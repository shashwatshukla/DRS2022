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C:\Users\sshukla\Documents\hydralit\temp\"/>
    </mc:Choice>
  </mc:AlternateContent>
  <xr:revisionPtr revIDLastSave="0" documentId="8_{09BBB837-F1BF-461D-974F-AFC023C7F694}" xr6:coauthVersionLast="47" xr6:coauthVersionMax="47" xr10:uidLastSave="{00000000-0000-0000-0000-000000000000}"/>
  <bookViews>
    <workbookView xWindow="28680" yWindow="-120" windowWidth="29040" windowHeight="15720" tabRatio="601" xr2:uid="{00000000-000D-0000-FFFF-FFFF00000000}"/>
  </bookViews>
  <sheets>
    <sheet name="DRSEND" sheetId="9" r:id="rId1"/>
    <sheet name="Instructions" sheetId="14" r:id="rId2"/>
    <sheet name="csv" sheetId="15" state="hidden" r:id="rId3"/>
    <sheet name="Severity Matrix" sheetId="16" r:id="rId4"/>
    <sheet name="ListInfo" sheetId="10" state="hidden" r:id="rId5"/>
    <sheet name="Changelog" sheetId="11" state="hidden" r:id="rId6"/>
  </sheets>
  <functionGroups builtInGroupCount="19"/>
  <definedNames>
    <definedName name="_xlnm._FilterDatabase" localSheetId="0" hidden="1">DRSEND!$B$6:$AE$6</definedName>
    <definedName name="ACC">ListInfo!$K$124:$K$130</definedName>
    <definedName name="AEQ">ListInfo!$K$201:$K$221</definedName>
    <definedName name="ahoge">ListInfo!$I$2</definedName>
    <definedName name="amoge">ListInfo!$G$2:$G$9</definedName>
    <definedName name="batPath">ListInfo!$BA$2</definedName>
    <definedName name="bhoge">ListInfo!$I$3</definedName>
    <definedName name="BLR">ListInfo!$K$194:$K$200</definedName>
    <definedName name="bmoge">ListInfo!$G$11:$G$13</definedName>
    <definedName name="choge">ListInfo!$I$4</definedName>
    <definedName name="CLS">ListInfo!$K$76:$K$99</definedName>
    <definedName name="cmoge">ListInfo!$G$14</definedName>
    <definedName name="combo1data">DRSEND!#REF!</definedName>
    <definedName name="copyline">DRSEND!$A$7:$CV$7</definedName>
    <definedName name="CRG">ListInfo!$K$138:$K$147</definedName>
    <definedName name="CRT">ListInfo!$K$15:$K$27</definedName>
    <definedName name="csvSavePath">ListInfo!$BA$3</definedName>
    <definedName name="DCK">ListInfo!$K$131:$K$137</definedName>
    <definedName name="DCR">ListInfo!$K$261:$K$262</definedName>
    <definedName name="Deatail4">ListInfo!$K$75</definedName>
    <definedName name="DefCode1">ListInfo!$I$2</definedName>
    <definedName name="DefCode2">ListInfo!$I$3</definedName>
    <definedName name="DefCode3">ListInfo!$I$4</definedName>
    <definedName name="DefCode4">ListInfo!$I$5</definedName>
    <definedName name="DefCode5">ListInfo!$I$6</definedName>
    <definedName name="DefCode6">ListInfo!$I$8:$I$33</definedName>
    <definedName name="DefCode7">ListInfo!$I$7</definedName>
    <definedName name="Detail1">ListInfo!$K$2:$K$14</definedName>
    <definedName name="Detail2">ListInfo!$K$15:$K$27</definedName>
    <definedName name="Detail3">ListInfo!$K$52:$K$75</definedName>
    <definedName name="Detail4">ListInfo!$K$28:$K$51</definedName>
    <definedName name="Detail5">ListInfo!$K$76:$K$99</definedName>
    <definedName name="Detail6">ListInfo!$K$124:$K$272</definedName>
    <definedName name="Detail7">ListInfo!$K$100:$K$123</definedName>
    <definedName name="dhoge">ListInfo!$I$5</definedName>
    <definedName name="dmoge">ListInfo!$G$15:$G$17</definedName>
    <definedName name="DSH">ListInfo!$K$257:$K$260</definedName>
    <definedName name="ehoge">ListInfo!$I$6</definedName>
    <definedName name="ELC">ListInfo!$K$232:$K$239</definedName>
    <definedName name="emoge">ListInfo!$G$19:$G$22</definedName>
    <definedName name="ext">ListInfo!$AH$2:$AH$8</definedName>
    <definedName name="FFA">ListInfo!$K$158</definedName>
    <definedName name="fhoge">ListInfo!$I$8:$I$33</definedName>
    <definedName name="FitUnfit">ListInfo!$W$2:$W$4</definedName>
    <definedName name="fmoge">ListInfo!$G$24:$G$25</definedName>
    <definedName name="fullDefCode">ListInfo!$I$1:$I$33</definedName>
    <definedName name="fullList">ListInfo!$K$1:$K$272</definedName>
    <definedName name="GEN">ListInfo!$K$179:$K$193</definedName>
    <definedName name="ghoge">ListInfo!$I$7</definedName>
    <definedName name="gmoge">ListInfo!$G$27:$G$30</definedName>
    <definedName name="HAC">ListInfo!$K$230</definedName>
    <definedName name="IGS">ListInfo!$K$251:$K$256</definedName>
    <definedName name="ILL">ListInfo!$K$268:$K$272</definedName>
    <definedName name="INJ">ListInfo!$K$263:$K$267</definedName>
    <definedName name="Inspector1">ListInfo!$G$2:$G$9</definedName>
    <definedName name="Inspector2">ListInfo!$G$10:$G$13</definedName>
    <definedName name="Inspector3">ListInfo!$G$14</definedName>
    <definedName name="Inspector4">ListInfo!$G$15:$G$17</definedName>
    <definedName name="Inspector5">ListInfo!$G$18:$G$22</definedName>
    <definedName name="Inspector6">ListInfo!$G$23:$G$25</definedName>
    <definedName name="Inspector7">ListInfo!$G$26:$G$30</definedName>
    <definedName name="LLE">ListInfo!$K$156</definedName>
    <definedName name="LSA">ListInfo!$K$157</definedName>
    <definedName name="MacBrk">ListInfo!$M$2:$M$3</definedName>
    <definedName name="MajMin">ListInfo!$Y$2:$Y$3</definedName>
    <definedName name="MEN">ListInfo!$K$161:$K$178</definedName>
    <definedName name="MMS">ListInfo!$K$52:$K$75</definedName>
    <definedName name="MPR">ListInfo!$K$222:$K$229</definedName>
    <definedName name="NEQ">ListInfo!$K$148:$K$152</definedName>
    <definedName name="NIL">ListInfo!$K$263</definedName>
    <definedName name="ODD">ListInfo!$K$160</definedName>
    <definedName name="orgcode">DRSEND!$A$7</definedName>
    <definedName name="OTR">ListInfo!$K$100:$K$123</definedName>
    <definedName name="PAE">ListInfo!$K$231</definedName>
    <definedName name="pasteline">DRSEND!$A$21</definedName>
    <definedName name="PAV">ListInfo!$K$159</definedName>
    <definedName name="_xlnm.Print_Area" localSheetId="0">DRSEND!$A$1:$AE$6</definedName>
    <definedName name="PSC">ListInfo!$K$28:$K$51</definedName>
    <definedName name="Reason">ListInfo!$AA$2:$AA$8</definedName>
    <definedName name="RepBy">ListInfo!$D$2:$D$8</definedName>
    <definedName name="severity">ListInfo!$AY$2:$AY$6</definedName>
    <definedName name="SHF">ListInfo!$K$240:$K$245</definedName>
    <definedName name="shipname">ListInfo!$N$5:$N$99</definedName>
    <definedName name="Status">ListInfo!$AD$2:$AD$3</definedName>
    <definedName name="STR">ListInfo!$K$246:$K$250</definedName>
    <definedName name="threelettershipcode">ListInfo!$AN$2:$AN$69</definedName>
    <definedName name="vesseldata">ListInfo!$N$5:$Q$99</definedName>
    <definedName name="VET">ListInfo!$K$2:$K$14</definedName>
    <definedName name="vettingeq">ListInfo!$AQ$2:$AS$38</definedName>
    <definedName name="WAR">ListInfo!$K$153:$K$155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1" i="9" l="1"/>
  <c r="C5" i="9"/>
  <c r="C2" i="9"/>
  <c r="C3" i="9"/>
  <c r="AW7" i="9" l="1"/>
  <c r="AX7" i="9"/>
  <c r="AY7" i="9"/>
  <c r="AV7" i="9"/>
  <c r="L7" i="9"/>
  <c r="J7" i="9"/>
  <c r="F7" i="9"/>
  <c r="E7" i="9"/>
  <c r="AU7" i="9" l="1"/>
</calcChain>
</file>

<file path=xl/sharedStrings.xml><?xml version="1.0" encoding="utf-8"?>
<sst xmlns="http://schemas.openxmlformats.org/spreadsheetml/2006/main" count="2449" uniqueCount="1268">
  <si>
    <t>NG</t>
  </si>
  <si>
    <t>S1 Maintenance Deficiency</t>
  </si>
  <si>
    <t>S2 Improper Handling</t>
  </si>
  <si>
    <t>S3 Lack of Knowledge</t>
  </si>
  <si>
    <t>S6 Material/Process</t>
  </si>
  <si>
    <t>S7 Others</t>
  </si>
  <si>
    <t>Root cause</t>
  </si>
  <si>
    <t>ACC Accident</t>
  </si>
  <si>
    <t>NEQ Nav. Equipment</t>
  </si>
  <si>
    <t>WAR Wire &amp; Rope</t>
  </si>
  <si>
    <t>LLE Load Line Equipment</t>
  </si>
  <si>
    <t>LSA Life Saving Appliance</t>
  </si>
  <si>
    <t>FFA Fire Fighting Appliance</t>
  </si>
  <si>
    <t>ODD Others Deck dept.</t>
  </si>
  <si>
    <t>MEN M/E</t>
  </si>
  <si>
    <t>GEN G/E</t>
  </si>
  <si>
    <t>BLR Boiler</t>
  </si>
  <si>
    <t>AEQ Aux. Equipment</t>
  </si>
  <si>
    <t>HAC Heater and Cooler (Except M/E &amp; G/E)</t>
  </si>
  <si>
    <t>ELC Electric</t>
  </si>
  <si>
    <t>SHF Shaft</t>
  </si>
  <si>
    <t>STR Steering</t>
  </si>
  <si>
    <t>IGS IG System</t>
  </si>
  <si>
    <t>DSH Documents Ship</t>
  </si>
  <si>
    <t>DCR Documents Crew</t>
  </si>
  <si>
    <t>ILL Crew Illness</t>
  </si>
  <si>
    <t>VET02 Certification and Documentation</t>
  </si>
  <si>
    <t>VET03 Crew Management</t>
  </si>
  <si>
    <t>VET05 Safety Management</t>
  </si>
  <si>
    <t>VET06 Pollution Prevention</t>
  </si>
  <si>
    <t>VET08 Cargo and Ballast Systems</t>
  </si>
  <si>
    <t>VET09 Mooring</t>
  </si>
  <si>
    <t>PSC02 Crew</t>
  </si>
  <si>
    <t>PSC04 Food and Catering</t>
  </si>
  <si>
    <t>PSC05 Working Space</t>
  </si>
  <si>
    <t>PSC06 Life Saving Appliances</t>
  </si>
  <si>
    <t>PSC07 Fire Fighting Appliances</t>
  </si>
  <si>
    <t>PSC08 Accident Prevention</t>
  </si>
  <si>
    <t>PSC09 Safety in General</t>
  </si>
  <si>
    <t>PSC10 Alarms - signals</t>
  </si>
  <si>
    <t>PSC11 Cargo</t>
  </si>
  <si>
    <t>PSC12 Load Lines</t>
  </si>
  <si>
    <t>PSC13 Mooring Arrangements</t>
  </si>
  <si>
    <t>PSC14 Propulsion &amp; Aux. Machinery</t>
  </si>
  <si>
    <t>PSC15 Navigation</t>
  </si>
  <si>
    <t>PSC16 Radio</t>
  </si>
  <si>
    <t>PSC17 Marine Pollution - Annex I</t>
  </si>
  <si>
    <t>PSC18 Tankers (def. Specify for)</t>
  </si>
  <si>
    <t>PSC19 Marine Pollution - Annex II</t>
  </si>
  <si>
    <t>PSC20 SOLAS Related Operational</t>
  </si>
  <si>
    <t>PSC21 MARPOL Related Operational</t>
  </si>
  <si>
    <t>PSC22 Marine Pollution - Annex III</t>
  </si>
  <si>
    <t>PSC23 Other</t>
  </si>
  <si>
    <t>ACC01 Collision</t>
  </si>
  <si>
    <t>ACC02 Fire</t>
  </si>
  <si>
    <t>ACC03 Oil Spill</t>
  </si>
  <si>
    <t>ACC04 Grounding</t>
  </si>
  <si>
    <t>ACC05 Bottom Touch</t>
  </si>
  <si>
    <t>ACC06 Contact Berth and foreign object</t>
  </si>
  <si>
    <t>ACC07 Hull Structure</t>
  </si>
  <si>
    <t>DCK03 Hatch Cover Opening system(Bulker,WCC)</t>
  </si>
  <si>
    <t>DCK04 Deck Crane (Bulker, WCC)</t>
  </si>
  <si>
    <t>DCK05 Hose Handling Crane (Tanker)</t>
  </si>
  <si>
    <t>DCK06 Other Cranes.</t>
  </si>
  <si>
    <t>DCK07 Grabs (Bulker, WCC)</t>
  </si>
  <si>
    <t>CRG02 C.O.P (Tanker)</t>
  </si>
  <si>
    <t>CRG03 Ballast Pump (Tanker)</t>
  </si>
  <si>
    <t>CRG04 AUS (Tanker)</t>
  </si>
  <si>
    <t>CRG05 ODMCS (Tanker)</t>
  </si>
  <si>
    <t>CRG06 Cargo Operation system(Tanker)</t>
  </si>
  <si>
    <t>CRG08 Loading Computer</t>
  </si>
  <si>
    <t>CRG09 Hold Fan (PCC)</t>
  </si>
  <si>
    <t>NEQ01 Steering Gear Auto Pilot</t>
  </si>
  <si>
    <t>NEQ02 Gyro Compass</t>
  </si>
  <si>
    <t>NEQ03 Speed Log</t>
  </si>
  <si>
    <t>NEQ04 Others of Navigation Equipments</t>
  </si>
  <si>
    <t>NEQ05 Radio Equipments</t>
  </si>
  <si>
    <t>WAR01 Mooring Wires and Hawsers</t>
  </si>
  <si>
    <t>WAR02 Cargo Wire and Rope</t>
  </si>
  <si>
    <t>WAR03 Other Wire and Rope</t>
  </si>
  <si>
    <t>LLE01 Load Line Equipment</t>
  </si>
  <si>
    <t>LSA01 Life Saving Appliance</t>
  </si>
  <si>
    <t>PAV01 Piping and Valves all Kinds(Except E/R)</t>
  </si>
  <si>
    <t>ODD01 Others Deck dept related</t>
  </si>
  <si>
    <t>MEN01 ME cyl Cover</t>
  </si>
  <si>
    <t>MEN02 ME Liner</t>
  </si>
  <si>
    <t>MEN03 ME Piston</t>
  </si>
  <si>
    <t>MEN04 ME Bearings</t>
  </si>
  <si>
    <t>MEN05 ME Fuel Injector</t>
  </si>
  <si>
    <t>MEN06 ME Starting valve</t>
  </si>
  <si>
    <t>MEN07 ME Safety valve</t>
  </si>
  <si>
    <t>MEN08 ME Exhaust valve</t>
  </si>
  <si>
    <t>MEN09 ME F.O Injection Pump</t>
  </si>
  <si>
    <t>MEN10 ME Indicator valve</t>
  </si>
  <si>
    <t>MEN11 ME Turbo charger</t>
  </si>
  <si>
    <t>MEN12 ME Aux. Blower</t>
  </si>
  <si>
    <t>MEN13 ME Air inter cooler</t>
  </si>
  <si>
    <t>MEN14 ME Governor</t>
  </si>
  <si>
    <t>MEN15 ME Control system (Electrical)</t>
  </si>
  <si>
    <t>MEN17 ME Construction</t>
  </si>
  <si>
    <t>MEN18 ME Others</t>
  </si>
  <si>
    <t>GEN01 GE cyl Cover</t>
  </si>
  <si>
    <t>GEN02 GE cyl Liner</t>
  </si>
  <si>
    <t>GEN03 GE Piston</t>
  </si>
  <si>
    <t>GEN04 GE Bearings</t>
  </si>
  <si>
    <t>GEN05 GE Fuel Injector</t>
  </si>
  <si>
    <t>GEN06 GE Starting v/v and devices</t>
  </si>
  <si>
    <t>GEN07 GE Safety Valve</t>
  </si>
  <si>
    <t>GEN08 GE Exh, and Intake valve</t>
  </si>
  <si>
    <t>GEN09 GE Exhaust valve</t>
  </si>
  <si>
    <t>GEN10 GE F.O Injection Pump</t>
  </si>
  <si>
    <t>GEN11 GE Governor</t>
  </si>
  <si>
    <t>GEN12 GE Turbo charger</t>
  </si>
  <si>
    <t>GEN13 GE Air intercooler</t>
  </si>
  <si>
    <t>GEN15 GE Others</t>
  </si>
  <si>
    <t>BLR01 Boiler construction</t>
  </si>
  <si>
    <t>BLR02 Safety valve and mounting valves</t>
  </si>
  <si>
    <t>BLR03 Burner units</t>
  </si>
  <si>
    <t>BLR04 ACC related</t>
  </si>
  <si>
    <t>BLR05 F.D.Fan</t>
  </si>
  <si>
    <t>BLR06 Water Gauge and other fittings</t>
  </si>
  <si>
    <t>BLR07 Boiler Others</t>
  </si>
  <si>
    <t>AEQ01 Air Compressor cyl cover ,Liner &amp; Piston</t>
  </si>
  <si>
    <t>AEQ02 HP &amp; LP valves</t>
  </si>
  <si>
    <t>AEQ03 Unloader system</t>
  </si>
  <si>
    <t>AEQ04 Safety devices</t>
  </si>
  <si>
    <t>AEQ06 Air compressor Others</t>
  </si>
  <si>
    <t>AEQ10 Air Cond, Heating unit</t>
  </si>
  <si>
    <t>AEQ12 FWG, Evaporator</t>
  </si>
  <si>
    <t>AEQ14 FWG, Ejector Pump</t>
  </si>
  <si>
    <t>AEQ15 FWG, Water Ejector</t>
  </si>
  <si>
    <t>AEQ16 FWG, Others</t>
  </si>
  <si>
    <t>AEQ17 Purifier, Construction</t>
  </si>
  <si>
    <t>AEQ20 Purifier, Others</t>
  </si>
  <si>
    <t>MPR01 Bilge separator</t>
  </si>
  <si>
    <t>MPR02 OCM</t>
  </si>
  <si>
    <t>MPR03 Bilge Separator. Others.</t>
  </si>
  <si>
    <t>MPR04 Incinerator, Burner Unit</t>
  </si>
  <si>
    <t>MPR05 Incinerator, Furnace</t>
  </si>
  <si>
    <t>MPR06 Incinerator, Safety devices</t>
  </si>
  <si>
    <t>MPR07 Incinerator Operation system</t>
  </si>
  <si>
    <t>MPR08 Incinerator, Others</t>
  </si>
  <si>
    <t>HAC01 Heater and Cooler (except ME &amp; GE)</t>
  </si>
  <si>
    <t>PAE01 Piping &amp; Valves. (E/R)</t>
  </si>
  <si>
    <t>ELC01 Electrical- Main switch board</t>
  </si>
  <si>
    <t>ELC02 Electrical-Other switch board</t>
  </si>
  <si>
    <t>ELC03 Electrical Wiring (Power and Lighting)</t>
  </si>
  <si>
    <t>ELC04 Electrical control &amp; operation system</t>
  </si>
  <si>
    <t>ELC05 Alarm system</t>
  </si>
  <si>
    <t>ELC07 Motors</t>
  </si>
  <si>
    <t>ELC08 Electrical Others</t>
  </si>
  <si>
    <t>SHF01 Shafting, Propeller</t>
  </si>
  <si>
    <t>SHF02 Shafting, Tail shaft</t>
  </si>
  <si>
    <t>SHF03 Shafting, Intermediate shaft</t>
  </si>
  <si>
    <t>SHF04 Shafting, Intermediate Bearing</t>
  </si>
  <si>
    <t>SHF05 Shafting, Sealing device</t>
  </si>
  <si>
    <t>SHF06 Shafting, Others</t>
  </si>
  <si>
    <t>IGS01 IGS-Blower</t>
  </si>
  <si>
    <t>IGS02 IGS-Piping and valves</t>
  </si>
  <si>
    <t>IGS03 IGS-Safety devices</t>
  </si>
  <si>
    <t>IGS04 IGS-Operation system</t>
  </si>
  <si>
    <t>IGS05 PV valves, Scrubber.etc</t>
  </si>
  <si>
    <t>IGS06 IGS-Others</t>
  </si>
  <si>
    <t>DSH02 Circular</t>
  </si>
  <si>
    <t>DSH03 SQEMS Documents</t>
  </si>
  <si>
    <t>DSH04 Other</t>
  </si>
  <si>
    <t>DCR02 Other</t>
  </si>
  <si>
    <t>S5 Design Deficient</t>
  </si>
  <si>
    <t>PSC03 Accommodation</t>
  </si>
  <si>
    <t>INJ Crew Injury</t>
  </si>
  <si>
    <t>MMS03 Accommodation</t>
  </si>
  <si>
    <t>CLS03 Accommodation</t>
  </si>
  <si>
    <t>DCK01 Windlass (Inc Hydro system)</t>
  </si>
  <si>
    <t>DCK02 Winch (Inc Hydro system)</t>
  </si>
  <si>
    <t>CRG01 Unloader system (WCC)</t>
  </si>
  <si>
    <t>CRG07 Cargo Monitoring system(Tanker)</t>
  </si>
  <si>
    <t>CRG10 Car Ramp Related</t>
  </si>
  <si>
    <t>FFA01 Fire Fighting Appliance</t>
  </si>
  <si>
    <t>MEN16 ME control system (Air)</t>
  </si>
  <si>
    <t>GEN14 GE Operation mechanism (Air &amp; Electrical)</t>
  </si>
  <si>
    <t>AEQ05 Operation mechanism</t>
  </si>
  <si>
    <t>AEQ07 Reefer &amp; Air Cond, and ECR A/C Compressor</t>
  </si>
  <si>
    <t>AEQ08 Reefer &amp; Air Cond, and ECR safety devices</t>
  </si>
  <si>
    <t>AEQ09 Reefer &amp; Air Cond, and ECR Lines</t>
  </si>
  <si>
    <t>AEQ11 Reefer &amp; Air Cond, and ECR A/C Others</t>
  </si>
  <si>
    <t>AEQ13 FWG, Condenser</t>
  </si>
  <si>
    <t>AEQ18 Purifier, Safety Devices</t>
  </si>
  <si>
    <t>AEQ19 Purifier, Operation system</t>
  </si>
  <si>
    <t>AEQ21 Pumps, except Hydro pump</t>
  </si>
  <si>
    <t>ELC06 Monitoring system</t>
  </si>
  <si>
    <t>DSH01 Trading Certificate</t>
  </si>
  <si>
    <t>DCR01 License &amp; Certificate</t>
  </si>
  <si>
    <t>TC1996001</t>
  </si>
  <si>
    <t>TM HARMONY</t>
  </si>
  <si>
    <t>TC1999002</t>
  </si>
  <si>
    <t>TAKASE</t>
  </si>
  <si>
    <t>TC2003003</t>
  </si>
  <si>
    <t>SINGAPORE VOYAGER</t>
  </si>
  <si>
    <t>TP1997001</t>
  </si>
  <si>
    <t>TP2000003</t>
  </si>
  <si>
    <t>MIKOM BRAVE</t>
  </si>
  <si>
    <t>TP2003004</t>
  </si>
  <si>
    <t>SILVER LINING</t>
  </si>
  <si>
    <t>CB1995002</t>
  </si>
  <si>
    <t>ATOYAC</t>
  </si>
  <si>
    <t>CB1999003</t>
  </si>
  <si>
    <t>SPRINGDRAKE</t>
  </si>
  <si>
    <t>CB2003004</t>
  </si>
  <si>
    <t>TRITON EAGLE</t>
  </si>
  <si>
    <t>CB2001009</t>
  </si>
  <si>
    <t>PAX PHOENIX</t>
  </si>
  <si>
    <t>CB2002010</t>
  </si>
  <si>
    <t>LEGEND PHOENIX</t>
  </si>
  <si>
    <t>CP1983002</t>
  </si>
  <si>
    <t>OCEAN ACE</t>
  </si>
  <si>
    <t>CP1977003</t>
  </si>
  <si>
    <t>OLIVE ACE</t>
  </si>
  <si>
    <t>CP1983004</t>
  </si>
  <si>
    <t>PALMA</t>
  </si>
  <si>
    <t>CP1996005</t>
  </si>
  <si>
    <t>LUMINOUS ACE</t>
  </si>
  <si>
    <t>CP2000006</t>
  </si>
  <si>
    <t>COMET ACE</t>
  </si>
  <si>
    <t>CP1980007</t>
  </si>
  <si>
    <t>SOUTHERN ACE</t>
  </si>
  <si>
    <t>CP2003008</t>
  </si>
  <si>
    <t>PROGRESS ACE</t>
  </si>
  <si>
    <t>CW1998001</t>
  </si>
  <si>
    <t>DAIO CREACION</t>
  </si>
  <si>
    <t>CW1996002</t>
  </si>
  <si>
    <t>DAIO COPIHUE</t>
  </si>
  <si>
    <t>CW1994003</t>
  </si>
  <si>
    <t>SALIGNA</t>
  </si>
  <si>
    <t>TP2005001</t>
  </si>
  <si>
    <t>Challenge Plus</t>
  </si>
  <si>
    <t>TC2006001</t>
  </si>
  <si>
    <t>Esteem Brilliance</t>
  </si>
  <si>
    <t>TC2004001</t>
  </si>
  <si>
    <t>Esteem Splendour</t>
  </si>
  <si>
    <t>TC2004002</t>
  </si>
  <si>
    <t>Eternal Diligence</t>
  </si>
  <si>
    <t>TC2004003</t>
  </si>
  <si>
    <t>Eternal Pride</t>
  </si>
  <si>
    <t>TC2004004</t>
  </si>
  <si>
    <t>Tokio</t>
  </si>
  <si>
    <t>TC2007001</t>
  </si>
  <si>
    <t>Taiga</t>
  </si>
  <si>
    <t>CB2005001</t>
  </si>
  <si>
    <t>Fleet Phoenix</t>
  </si>
  <si>
    <t>CB2004001</t>
  </si>
  <si>
    <t>Gaia Celeris</t>
  </si>
  <si>
    <t>CB2001001</t>
  </si>
  <si>
    <t>Ken Goh</t>
  </si>
  <si>
    <t>CB1997001</t>
  </si>
  <si>
    <t>Ken San</t>
  </si>
  <si>
    <t>CB2006001</t>
  </si>
  <si>
    <t>Ken Un</t>
  </si>
  <si>
    <t>CP2004001</t>
  </si>
  <si>
    <t>Paradise Ace</t>
  </si>
  <si>
    <t>CW1994001</t>
  </si>
  <si>
    <t>Siam Ocean</t>
  </si>
  <si>
    <t>OPEN</t>
  </si>
  <si>
    <t>N/A</t>
  </si>
  <si>
    <t>Astro Venus</t>
  </si>
  <si>
    <t>CP1982001</t>
  </si>
  <si>
    <t>Challenge Pacific</t>
  </si>
  <si>
    <t>TP2007001</t>
  </si>
  <si>
    <t>Nord Annapolis</t>
  </si>
  <si>
    <t>CW1995001</t>
  </si>
  <si>
    <t>CHIJIN</t>
  </si>
  <si>
    <t>MAERSK MISUMI</t>
  </si>
  <si>
    <t>TP2008001</t>
  </si>
  <si>
    <t>CP1982002</t>
  </si>
  <si>
    <t>Crystal Pioneer</t>
  </si>
  <si>
    <t>CW2008001</t>
  </si>
  <si>
    <t xml:space="preserve">Eagle Sapporo </t>
  </si>
  <si>
    <t>TC2008001</t>
  </si>
  <si>
    <t>Maersk Matsuyama</t>
  </si>
  <si>
    <t>TP2008002</t>
  </si>
  <si>
    <t>Tsushima</t>
  </si>
  <si>
    <t>TC2008002</t>
  </si>
  <si>
    <t>TG2009001</t>
  </si>
  <si>
    <t>CLIPPER POLARIS</t>
  </si>
  <si>
    <t>CB2009001</t>
  </si>
  <si>
    <t>CP2009001</t>
  </si>
  <si>
    <t>FREJA NORDICA</t>
  </si>
  <si>
    <t>TP2010002</t>
  </si>
  <si>
    <t>FREJA SCANDIA</t>
  </si>
  <si>
    <t>TP2010001</t>
  </si>
  <si>
    <t>OCEAN CHALLENGER</t>
  </si>
  <si>
    <t>CP2009002</t>
  </si>
  <si>
    <t>OCEAN PHOENIX</t>
  </si>
  <si>
    <t>CB2009002</t>
  </si>
  <si>
    <t>GLOBAL PHOENIX</t>
  </si>
  <si>
    <t>CB2010001</t>
  </si>
  <si>
    <t>0</t>
  </si>
  <si>
    <t>Last Check:</t>
  </si>
  <si>
    <t>Ship Code:</t>
  </si>
  <si>
    <t>Report Date:</t>
  </si>
  <si>
    <t>Last Import:</t>
  </si>
  <si>
    <t>Master:</t>
  </si>
  <si>
    <t>COMPANY USE ONLY</t>
  </si>
  <si>
    <t>Code</t>
  </si>
  <si>
    <t>Date Occurred</t>
  </si>
  <si>
    <t>Serial Number</t>
  </si>
  <si>
    <t>Reported by</t>
  </si>
  <si>
    <t>Inspector
/Auditor</t>
  </si>
  <si>
    <t>Detail of Inspector, etc.</t>
  </si>
  <si>
    <t>Deficiency Code</t>
  </si>
  <si>
    <t>Detail of Item</t>
  </si>
  <si>
    <t>Dose this report include machinery/ equipment breakdown, malfunction or trouble?
(Yes/No)</t>
  </si>
  <si>
    <t>Detail of NC
(Description)</t>
  </si>
  <si>
    <t>Estimated cause by Ship</t>
  </si>
  <si>
    <t>Remedial Action by ship</t>
  </si>
  <si>
    <t>Date of Remedial Action taken</t>
  </si>
  <si>
    <t>Target date
(if any)</t>
  </si>
  <si>
    <t>Follow up Action by ship</t>
  </si>
  <si>
    <t>Date of Follow up Action</t>
  </si>
  <si>
    <t>Lost Time Injury
(Hours)</t>
  </si>
  <si>
    <t>Stoppage Time
(Hours)</t>
  </si>
  <si>
    <t>Fit 
or
Unfit</t>
  </si>
  <si>
    <t>Evaluation by the Company</t>
  </si>
  <si>
    <t>Major/Minor</t>
  </si>
  <si>
    <t>Reason</t>
  </si>
  <si>
    <t>Corrective Action</t>
  </si>
  <si>
    <t>Date of Completion of Corrective Action</t>
  </si>
  <si>
    <t>Status</t>
  </si>
  <si>
    <t>Verification by Company</t>
  </si>
  <si>
    <t>STR01 Steering- Hydro Pump</t>
  </si>
  <si>
    <t>STR02 Steering- Hydro Cylinder</t>
  </si>
  <si>
    <t>STR03 Steering- Rudder</t>
  </si>
  <si>
    <t>STR04 Steering-Hydro pipings</t>
  </si>
  <si>
    <t>STR05 Steering-Others</t>
  </si>
  <si>
    <t>OTR01 Ship's Certs and docs</t>
  </si>
  <si>
    <t>CLS01 Ship's Certs and docs</t>
  </si>
  <si>
    <t>MMS01 Ship's Certs and docs</t>
  </si>
  <si>
    <t>PSC01 Ship's Certs and docs</t>
  </si>
  <si>
    <t>A Vetting</t>
  </si>
  <si>
    <t>A1 EXON</t>
  </si>
  <si>
    <t>VET Vetting</t>
  </si>
  <si>
    <t>VET01 General Information</t>
  </si>
  <si>
    <t>YES</t>
  </si>
  <si>
    <t>Major</t>
  </si>
  <si>
    <t>B Charterer</t>
  </si>
  <si>
    <t>A2 SHELL</t>
  </si>
  <si>
    <t>CRT Charterer</t>
  </si>
  <si>
    <t>NO</t>
  </si>
  <si>
    <t>Fit</t>
  </si>
  <si>
    <t>Minor</t>
  </si>
  <si>
    <t>CLOSE</t>
  </si>
  <si>
    <t>AMITY ACE</t>
  </si>
  <si>
    <t>CP1981001</t>
  </si>
  <si>
    <t>C MMS</t>
  </si>
  <si>
    <t>A3 CHEVRON</t>
  </si>
  <si>
    <t>MMS MMS</t>
  </si>
  <si>
    <t>Unfit</t>
  </si>
  <si>
    <t>ASIAN PIONEER</t>
  </si>
  <si>
    <t>CB2007002</t>
  </si>
  <si>
    <t>D PSC</t>
  </si>
  <si>
    <t>A4 BP</t>
  </si>
  <si>
    <t>PSC Port States Control</t>
  </si>
  <si>
    <t>E Class</t>
  </si>
  <si>
    <t>A5 BHP</t>
  </si>
  <si>
    <t>CLS Class</t>
  </si>
  <si>
    <t>F Vessel</t>
  </si>
  <si>
    <t>A6 PETRONAS</t>
  </si>
  <si>
    <t>OTR Other</t>
  </si>
  <si>
    <t>BW TOKYO</t>
  </si>
  <si>
    <t>G Other</t>
  </si>
  <si>
    <t>A7 TOTAL</t>
  </si>
  <si>
    <t>A8 OTHERS</t>
  </si>
  <si>
    <t>B1 NYK</t>
  </si>
  <si>
    <t>B2 MOL</t>
  </si>
  <si>
    <t>B3 OTHERS</t>
  </si>
  <si>
    <t>C1 S.I.</t>
  </si>
  <si>
    <t>D1 USCG</t>
  </si>
  <si>
    <t>VET13 Nil</t>
  </si>
  <si>
    <t>D2 AMSA</t>
  </si>
  <si>
    <t>CRT01 General Information</t>
  </si>
  <si>
    <t>D3 OTHERS</t>
  </si>
  <si>
    <t>CRT02 Certification and Documentation</t>
  </si>
  <si>
    <t>E1 NKK</t>
  </si>
  <si>
    <t>CRT03 Crew Management</t>
  </si>
  <si>
    <t>E2 LR</t>
  </si>
  <si>
    <t>ESTEEM GRANDEUR</t>
  </si>
  <si>
    <t>E3 ABS</t>
  </si>
  <si>
    <t>CRT05 Safety Management</t>
  </si>
  <si>
    <t>E4 OTEHRS</t>
  </si>
  <si>
    <t>CRT06 Pollution Prevention</t>
  </si>
  <si>
    <t>F1 MASTER</t>
  </si>
  <si>
    <t>F2 OTHERS</t>
  </si>
  <si>
    <t>MPR MARPOL</t>
  </si>
  <si>
    <t>CRT08 Cargo and Ballast Systems</t>
  </si>
  <si>
    <t>G1 QUARANTINE</t>
  </si>
  <si>
    <t>CRT09 Mooring</t>
  </si>
  <si>
    <t>G2 MARITIME POLICE</t>
  </si>
  <si>
    <t>G3 DEPT OF ECOLOGY</t>
  </si>
  <si>
    <t>G4 OTHERS</t>
  </si>
  <si>
    <t>CB2007001</t>
  </si>
  <si>
    <t>QUEEN SAPPHIRE</t>
  </si>
  <si>
    <t>SOUTHERN STAR</t>
  </si>
  <si>
    <t>CW2007001</t>
  </si>
  <si>
    <t>PSC24 Nil</t>
  </si>
  <si>
    <t>STELLA MARIS</t>
  </si>
  <si>
    <t>CB2007003</t>
  </si>
  <si>
    <t>MMS02 Crew</t>
  </si>
  <si>
    <t>MMS04 Food and Catering</t>
  </si>
  <si>
    <t>MMS05 Working Space</t>
  </si>
  <si>
    <t>MMS06 Life Saving Appliances</t>
  </si>
  <si>
    <t>MMS07 Fire Fighting Appliances</t>
  </si>
  <si>
    <t>MMS08 Accident Prevention</t>
  </si>
  <si>
    <t>WORLD SWAN</t>
  </si>
  <si>
    <t>MMS09 Safety in General</t>
  </si>
  <si>
    <t>MMS10 Alarms - signals</t>
  </si>
  <si>
    <t>MMS11 Cargo</t>
  </si>
  <si>
    <t>MMS12 Load Lines</t>
  </si>
  <si>
    <t>MMS13 Mooring Arrangements</t>
  </si>
  <si>
    <t>MMS14 Propulsion &amp; Aux. Machinery</t>
  </si>
  <si>
    <t>MMS15 Navigation</t>
  </si>
  <si>
    <t>MMS16 Radio</t>
  </si>
  <si>
    <t>MMS17 Marine Pollution - Annex I</t>
  </si>
  <si>
    <t>MMS18 Tankers (def. Specify for)</t>
  </si>
  <si>
    <t>MMS19 Marine Pollution - Annex II</t>
  </si>
  <si>
    <t>MMS20 SOLAS Related Operational</t>
  </si>
  <si>
    <t>MMS21 MARPOL Related Operational</t>
  </si>
  <si>
    <t>MMS22 Marine Pollution - Annex III</t>
  </si>
  <si>
    <t>MMS23 Other</t>
  </si>
  <si>
    <t>CLS02 Crew</t>
  </si>
  <si>
    <t>CLS04 Food and Catering</t>
  </si>
  <si>
    <t>CLS05 Working Space</t>
  </si>
  <si>
    <t>CLS06 Life Saving Appliances</t>
  </si>
  <si>
    <t>CLS07 Fire Fighting Appliances</t>
  </si>
  <si>
    <t>CLS08 Accident Prevention</t>
  </si>
  <si>
    <t>CLS09 Safety in General</t>
  </si>
  <si>
    <t>CLS10 Alarms - signals</t>
  </si>
  <si>
    <t>CLS11 Cargo</t>
  </si>
  <si>
    <t>CLS12 Load Lines</t>
  </si>
  <si>
    <t>CLS13 Mooring Arrangements</t>
  </si>
  <si>
    <t>CLS14 Propulsion &amp; Aux. Machinery</t>
  </si>
  <si>
    <t>CLS15 Navigation</t>
  </si>
  <si>
    <t>CLS16 Radio</t>
  </si>
  <si>
    <t>CLS17 Marine Pollution - Annex I</t>
  </si>
  <si>
    <t>CLS18 Tankers (def. Specify for)</t>
  </si>
  <si>
    <t>CLS19 Marine Pollution - Annex II</t>
  </si>
  <si>
    <t>CLS20 SOLAS Related Operational</t>
  </si>
  <si>
    <t>CLS21 MARPOL Related Operational</t>
  </si>
  <si>
    <t>CLS22 Marine Pollution - Annex III</t>
  </si>
  <si>
    <t>CLS23 Other</t>
  </si>
  <si>
    <t>CLS24 Nil</t>
  </si>
  <si>
    <t>OTR02 Crew</t>
  </si>
  <si>
    <t>OTR03 Accommodation</t>
  </si>
  <si>
    <t>OTR04 Food and Catering</t>
  </si>
  <si>
    <t>OTR05 Working Space</t>
  </si>
  <si>
    <t>OTR06 Life Saving Appliances</t>
  </si>
  <si>
    <t>OTR07 Fire Fighting Appliances</t>
  </si>
  <si>
    <t>OTR08 Accident Prevention</t>
  </si>
  <si>
    <t>OTR09 Safety in General</t>
  </si>
  <si>
    <t>OTR10 Alarms - signals</t>
  </si>
  <si>
    <t>OTR11 Cargo</t>
  </si>
  <si>
    <t>OTR12 Load Lines</t>
  </si>
  <si>
    <t>OTR13 Mooring Arrangements</t>
  </si>
  <si>
    <t>OTR14 Propulsion &amp; Aux. Machinery</t>
  </si>
  <si>
    <t>OTR15 Navigation</t>
  </si>
  <si>
    <t>OTR16 Radio</t>
  </si>
  <si>
    <t>OTR17 Marine Pollution - Annex I</t>
  </si>
  <si>
    <t>OTR18 Tankers (def. Specify for)</t>
  </si>
  <si>
    <t>OTR19 Marine Pollution - Annex II</t>
  </si>
  <si>
    <t>OTR20 SOLAS Related Operational</t>
  </si>
  <si>
    <t>OTR21 MARPOL Related Operational</t>
  </si>
  <si>
    <t>OTR22 Marine Pollution - Annex III</t>
  </si>
  <si>
    <t>OTR23 Other</t>
  </si>
  <si>
    <t>OTR24 Nil</t>
  </si>
  <si>
    <t>INJ02 Lost Time Injury (LTI)</t>
  </si>
  <si>
    <t>INJ03 Restricted Work Case (RWC)</t>
  </si>
  <si>
    <t>INJ04 Medical Treatment Case (MTC)</t>
  </si>
  <si>
    <t>INJ05 First Aid Case (FAC)</t>
  </si>
  <si>
    <t>ILL01 Fatality</t>
  </si>
  <si>
    <t>ILL02 Lost Time Injury (LTI)</t>
  </si>
  <si>
    <t>ILL03 Restricted Work Case</t>
  </si>
  <si>
    <t>ILL04 Medical Treatment Case (MTC)</t>
  </si>
  <si>
    <t>ILL05 First Aid Case (FAC)</t>
  </si>
  <si>
    <t>Vessel IMO</t>
  </si>
  <si>
    <t>Delay_Vsl</t>
  </si>
  <si>
    <t>Downtime_Vsl</t>
  </si>
  <si>
    <t>Criticaleq</t>
  </si>
  <si>
    <t>Blackout</t>
  </si>
  <si>
    <t>Docking</t>
  </si>
  <si>
    <t>Dispensation</t>
  </si>
  <si>
    <t>CoC</t>
  </si>
  <si>
    <t>Brkdn_Unsch_Maint</t>
  </si>
  <si>
    <t>Downtime_Hrs</t>
  </si>
  <si>
    <t>vslIMO</t>
  </si>
  <si>
    <t>Alert</t>
  </si>
  <si>
    <t>Ship_Name</t>
  </si>
  <si>
    <t>Ship_Code</t>
  </si>
  <si>
    <t>Report_Date</t>
  </si>
  <si>
    <t>Master</t>
  </si>
  <si>
    <t>moge</t>
  </si>
  <si>
    <t>hoge</t>
  </si>
  <si>
    <t>NA</t>
  </si>
  <si>
    <t>defshort</t>
  </si>
  <si>
    <t>Sys_Code</t>
  </si>
  <si>
    <t>PSC_Code</t>
  </si>
  <si>
    <t>SIRE_Code</t>
  </si>
  <si>
    <t>SIRE_Chapter</t>
  </si>
  <si>
    <t>Ext Reason</t>
  </si>
  <si>
    <t>ext_rsn</t>
  </si>
  <si>
    <t>ext_dt</t>
  </si>
  <si>
    <t>Delay_Hrs</t>
  </si>
  <si>
    <t>Fleet_Alert</t>
  </si>
  <si>
    <t>Ver 43</t>
  </si>
  <si>
    <t>Removed RCA checkbox</t>
  </si>
  <si>
    <t>DRS_ID</t>
  </si>
  <si>
    <t>dt_ocurred</t>
  </si>
  <si>
    <t>ser_no</t>
  </si>
  <si>
    <t>rpt_by</t>
  </si>
  <si>
    <t>insp_by</t>
  </si>
  <si>
    <t>insp_detail</t>
  </si>
  <si>
    <t>def_code</t>
  </si>
  <si>
    <t>def_short</t>
  </si>
  <si>
    <t>item_code</t>
  </si>
  <si>
    <t>item_short</t>
  </si>
  <si>
    <t>brkdn_yn</t>
  </si>
  <si>
    <t>nc_detail</t>
  </si>
  <si>
    <t>est_cause_ship</t>
  </si>
  <si>
    <t>init_action_ship</t>
  </si>
  <si>
    <t>init_action_ship_dt</t>
  </si>
  <si>
    <t>target_dt</t>
  </si>
  <si>
    <t>final_action_ship</t>
  </si>
  <si>
    <t>final_action_ship_dt</t>
  </si>
  <si>
    <t>lti_hr</t>
  </si>
  <si>
    <t>stop_hr</t>
  </si>
  <si>
    <t>fit</t>
  </si>
  <si>
    <t>co_eval</t>
  </si>
  <si>
    <t>maj_min</t>
  </si>
  <si>
    <t>rca</t>
  </si>
  <si>
    <t>reason_rc</t>
  </si>
  <si>
    <t>corr_action</t>
  </si>
  <si>
    <t>done_dt</t>
  </si>
  <si>
    <t>status</t>
  </si>
  <si>
    <t>update_by</t>
  </si>
  <si>
    <t>dummy1</t>
  </si>
  <si>
    <t>dummy2</t>
  </si>
  <si>
    <t>major</t>
  </si>
  <si>
    <t>ship_name</t>
  </si>
  <si>
    <t>sys_code</t>
  </si>
  <si>
    <t>eq_code</t>
  </si>
  <si>
    <t>fleet_alert</t>
  </si>
  <si>
    <t>downtime_tf</t>
  </si>
  <si>
    <t>delay_tf</t>
  </si>
  <si>
    <t>delay_hr</t>
  </si>
  <si>
    <t>downtime_hr</t>
  </si>
  <si>
    <t>brkdn_tf</t>
  </si>
  <si>
    <t>critical_eq_tf</t>
  </si>
  <si>
    <t>blackout_tf</t>
  </si>
  <si>
    <t>docking_tf</t>
  </si>
  <si>
    <t>dispensation_tf</t>
  </si>
  <si>
    <t>coc_tf</t>
  </si>
  <si>
    <t>alert_req</t>
  </si>
  <si>
    <t>vsl_imo</t>
  </si>
  <si>
    <t>ship_drs_code</t>
  </si>
  <si>
    <t>update_dt</t>
  </si>
  <si>
    <t>capt_name</t>
  </si>
  <si>
    <t>psc_def_code</t>
  </si>
  <si>
    <t>psc_def_ch</t>
  </si>
  <si>
    <t>sire_def_ch</t>
  </si>
  <si>
    <t>sire_def_code</t>
  </si>
  <si>
    <t>Added data export to csv file</t>
  </si>
  <si>
    <t/>
  </si>
  <si>
    <t>extension date and reason</t>
  </si>
  <si>
    <t>req_num</t>
  </si>
  <si>
    <t>Others</t>
  </si>
  <si>
    <t>Under Observation</t>
  </si>
  <si>
    <t>Jobs in Progress</t>
  </si>
  <si>
    <t>Spares supply</t>
  </si>
  <si>
    <t>Awaiting opportunity</t>
  </si>
  <si>
    <t>VET07 Maritime Security</t>
  </si>
  <si>
    <t>VET10 Engine &amp; Steering Compartments</t>
  </si>
  <si>
    <t>VET11 General Appearance ^&amp; Condition</t>
  </si>
  <si>
    <t>VET12 Ice Operations</t>
  </si>
  <si>
    <t>VIQ 7 Chapters</t>
  </si>
  <si>
    <t>DCK Deck Equipment</t>
  </si>
  <si>
    <t>CRG Cargo handling system</t>
  </si>
  <si>
    <t>PAE Piping and Valves in E/R</t>
  </si>
  <si>
    <t>PAV Piping and Valves (not in E/R)</t>
  </si>
  <si>
    <t>ext_cmnt</t>
  </si>
  <si>
    <t>Requisition number to be entered in case spares or any items required</t>
  </si>
  <si>
    <t>#</t>
  </si>
  <si>
    <t>Name</t>
  </si>
  <si>
    <t>Description</t>
  </si>
  <si>
    <t>Req No.</t>
  </si>
  <si>
    <t>Target Date</t>
  </si>
  <si>
    <t>Final Action by Ship</t>
  </si>
  <si>
    <t>Immediate action taken</t>
  </si>
  <si>
    <t>The immediate or temporary action taken to rectify or mitigate the deficiency.</t>
  </si>
  <si>
    <t>Select the appropiate PSC and SIRE categories.</t>
  </si>
  <si>
    <t>Est Cause</t>
  </si>
  <si>
    <t>The estimated cause of deficiency is to be mentioned here by vessel</t>
  </si>
  <si>
    <t>Date Ocurred</t>
  </si>
  <si>
    <t>Auto-generated refrence number, but can be changed if required.</t>
  </si>
  <si>
    <t>Deficiency details</t>
  </si>
  <si>
    <t>Mention a brief description of the deficiency. Keep it short but clear.</t>
  </si>
  <si>
    <t>Form Bar</t>
  </si>
  <si>
    <t>Form Instructions</t>
  </si>
  <si>
    <t>Review and update the Open Entries and send the DR Sender to the PIC at max monthly intervals</t>
  </si>
  <si>
    <t>In  case of any errors in the sheet or data corruption please contact itsupport@mmstokyo.co.jp</t>
  </si>
  <si>
    <t>Delay to vsl</t>
  </si>
  <si>
    <t>Downtime</t>
  </si>
  <si>
    <t xml:space="preserve">Breakdown / Unscheduled </t>
  </si>
  <si>
    <t>Critical Equipment Failure</t>
  </si>
  <si>
    <t>Blackout Occured</t>
  </si>
  <si>
    <t>Docking job</t>
  </si>
  <si>
    <t>Fleet Alert Required</t>
  </si>
  <si>
    <t>Tick this if the deficiency caused any delay or stoppage in Navigation or cargo operation. Tine (in decimal hours) to be entered also.</t>
  </si>
  <si>
    <t>Tick this for the downtime when the machinery was being repaired (not available) - from start of breakdown to completion of repair. Time to be entered in decimal hours.</t>
  </si>
  <si>
    <t>Tick this for recording breakdowns or unscheduled maintenance. PMS to be updated accordingly.</t>
  </si>
  <si>
    <t xml:space="preserve">Tick this to record FAILURES of critical equipment (SMP-16-01A). </t>
  </si>
  <si>
    <t>Tick this box if the dedfect/deficiency resulted in blackout. Enter the delay and downtime ocurred.</t>
  </si>
  <si>
    <t>Tick this to record Issuance of Flag Dispensation to the vessel for any abnormal condition.</t>
  </si>
  <si>
    <t>Tick this to record CoC or Outstanding Recommendation on the vessel by Class</t>
  </si>
  <si>
    <t>Final action taken to rectify the deficiency. If Immediate action was sufficient, then this can be blank.</t>
  </si>
  <si>
    <t>Enter date when the defect happened or deficiency was noted.</t>
  </si>
  <si>
    <t>Vessel Name and other information is displayed here.</t>
  </si>
  <si>
    <t>All Deficiencies, Observations, incidents and defects to be reported via DR Sender and followed up till closure. Entries become OVERDUE if not closed within 90 days of ocurrance or exceeding 'Target Date'.</t>
  </si>
  <si>
    <t>Entries in DR Sender to be made earliest possible. Write the entry clearly and in short. Do not delete any entries in the excel sheet.</t>
  </si>
  <si>
    <t>Upon receipt of updated DR Sender from the PIC, overwrite the older file on the shared drive. Do not rename the file.</t>
  </si>
  <si>
    <t>overdue</t>
  </si>
  <si>
    <t>ATE</t>
  </si>
  <si>
    <t>African Teist</t>
  </si>
  <si>
    <t>AMB</t>
  </si>
  <si>
    <t>Am Bremen</t>
  </si>
  <si>
    <t>AQU</t>
  </si>
  <si>
    <t>Andes Queen</t>
  </si>
  <si>
    <t>BAK</t>
  </si>
  <si>
    <t>Blue Akihabara</t>
  </si>
  <si>
    <t>BPH</t>
  </si>
  <si>
    <t>Bulk Phoenix</t>
  </si>
  <si>
    <t>COP</t>
  </si>
  <si>
    <t>Coral Opal</t>
  </si>
  <si>
    <t>FTO</t>
  </si>
  <si>
    <t>Federal Tokoro</t>
  </si>
  <si>
    <t>GCO</t>
  </si>
  <si>
    <t>Global Coral</t>
  </si>
  <si>
    <t>GPH</t>
  </si>
  <si>
    <t>Global Phoenix</t>
  </si>
  <si>
    <t>GRP</t>
  </si>
  <si>
    <t>Green Phoenix</t>
  </si>
  <si>
    <t>IPH</t>
  </si>
  <si>
    <t>KGO</t>
  </si>
  <si>
    <t>KHO</t>
  </si>
  <si>
    <t>Ken Hope</t>
  </si>
  <si>
    <t>KME</t>
  </si>
  <si>
    <t>Ken Mei</t>
  </si>
  <si>
    <t>KRE</t>
  </si>
  <si>
    <t>Ken Rei</t>
  </si>
  <si>
    <t>KRU</t>
  </si>
  <si>
    <t>Ken Ryu</t>
  </si>
  <si>
    <t>KSA</t>
  </si>
  <si>
    <t>LSH</t>
  </si>
  <si>
    <t>Loch Shuna</t>
  </si>
  <si>
    <t>MHA</t>
  </si>
  <si>
    <t>Mi Harmony</t>
  </si>
  <si>
    <t>OPH</t>
  </si>
  <si>
    <t>Ocean Phoenix</t>
  </si>
  <si>
    <t>PHE</t>
  </si>
  <si>
    <t>Pacific Hero</t>
  </si>
  <si>
    <t>PBD</t>
  </si>
  <si>
    <t>Paraburdoo</t>
  </si>
  <si>
    <t>PBR</t>
  </si>
  <si>
    <t>Pavo Bright</t>
  </si>
  <si>
    <t>RWI</t>
  </si>
  <si>
    <t>Robin Wind</t>
  </si>
  <si>
    <t>SFR</t>
  </si>
  <si>
    <t>Santa Francesca</t>
  </si>
  <si>
    <t>KTO</t>
  </si>
  <si>
    <t>Ken Toku</t>
  </si>
  <si>
    <t>ASP</t>
  </si>
  <si>
    <t>Andromeda Spirit</t>
  </si>
  <si>
    <t>ALE</t>
  </si>
  <si>
    <t>Antares Leader</t>
  </si>
  <si>
    <t>CMT</t>
  </si>
  <si>
    <t>Comet Ace</t>
  </si>
  <si>
    <t>GAC</t>
  </si>
  <si>
    <t>Glorious Ace</t>
  </si>
  <si>
    <t>KLE</t>
  </si>
  <si>
    <t>Kariyushi Leader</t>
  </si>
  <si>
    <t>LMN</t>
  </si>
  <si>
    <t>Luminous Ace</t>
  </si>
  <si>
    <t>MOC</t>
  </si>
  <si>
    <t>Morning Clara</t>
  </si>
  <si>
    <t>PRD</t>
  </si>
  <si>
    <t>PRG</t>
  </si>
  <si>
    <t>Progress Ace</t>
  </si>
  <si>
    <t>BWK</t>
  </si>
  <si>
    <t>BW Kyoto</t>
  </si>
  <si>
    <t>BWT</t>
  </si>
  <si>
    <t>BW Tokyo</t>
  </si>
  <si>
    <t>EAS</t>
  </si>
  <si>
    <t>Esteem Astro</t>
  </si>
  <si>
    <t>EEX</t>
  </si>
  <si>
    <t>Esteem Explorer</t>
  </si>
  <si>
    <t>MKI</t>
  </si>
  <si>
    <t>Marvel Kite</t>
  </si>
  <si>
    <t>TGA</t>
  </si>
  <si>
    <t>TSG</t>
  </si>
  <si>
    <t>Takasago</t>
  </si>
  <si>
    <t>TMA</t>
  </si>
  <si>
    <t>Tenma</t>
  </si>
  <si>
    <t>TKO</t>
  </si>
  <si>
    <t>TSM</t>
  </si>
  <si>
    <t>ADA</t>
  </si>
  <si>
    <t>Argent Daisy</t>
  </si>
  <si>
    <t>CMA</t>
  </si>
  <si>
    <t>Centennial Matsuyama</t>
  </si>
  <si>
    <t>CMI</t>
  </si>
  <si>
    <t>Centennial Misumi</t>
  </si>
  <si>
    <t>CPR</t>
  </si>
  <si>
    <t>Challenge Prospect II</t>
  </si>
  <si>
    <t>CJA</t>
  </si>
  <si>
    <t>Crimson Jade</t>
  </si>
  <si>
    <t>CPE</t>
  </si>
  <si>
    <t>Crimson Pearl</t>
  </si>
  <si>
    <t>EME</t>
  </si>
  <si>
    <t>Eagle Melbourne</t>
  </si>
  <si>
    <t>ESA</t>
  </si>
  <si>
    <t>Eagle Sapporo</t>
  </si>
  <si>
    <t>EBR</t>
  </si>
  <si>
    <t>EDI</t>
  </si>
  <si>
    <t>GHA</t>
  </si>
  <si>
    <t>GKI</t>
  </si>
  <si>
    <t>Ginga Kite</t>
  </si>
  <si>
    <t>GME</t>
  </si>
  <si>
    <t>Ginga Merlin</t>
  </si>
  <si>
    <t>HHO</t>
  </si>
  <si>
    <t>Hafnia Hong Kong</t>
  </si>
  <si>
    <t>HNO</t>
  </si>
  <si>
    <t>Hafnia Nordica</t>
  </si>
  <si>
    <t>HSH</t>
  </si>
  <si>
    <t>Hafnia Shanghai</t>
  </si>
  <si>
    <t>OCH</t>
  </si>
  <si>
    <t>Orient Challenge</t>
  </si>
  <si>
    <t>OIN</t>
  </si>
  <si>
    <t>Orient Innovation</t>
  </si>
  <si>
    <t>PCI</t>
  </si>
  <si>
    <t>Peace Victoria</t>
  </si>
  <si>
    <t>SCL</t>
  </si>
  <si>
    <t>SPA</t>
  </si>
  <si>
    <t>SOC</t>
  </si>
  <si>
    <t>SST</t>
  </si>
  <si>
    <t>Southern Star</t>
  </si>
  <si>
    <t>Ginga Hawk</t>
  </si>
  <si>
    <t>Ivs Phoenix</t>
  </si>
  <si>
    <t>St.Clemens</t>
  </si>
  <si>
    <t>St.Pauli</t>
  </si>
  <si>
    <t>PSC_Cat</t>
  </si>
  <si>
    <t>VET04 Navigation and communicatons</t>
  </si>
  <si>
    <t xml:space="preserve">VET10 Engine and steering compartments </t>
  </si>
  <si>
    <t>VET11 General Appearance and Condition</t>
  </si>
  <si>
    <t>CRT04 Navigation and communicatons</t>
  </si>
  <si>
    <t>CRT12 Ice Operations</t>
  </si>
  <si>
    <t>CRT11 General Appearance and Condition</t>
  </si>
  <si>
    <t>CRT10 Engine and steering compartments</t>
  </si>
  <si>
    <t>CRT07 Maritime Security</t>
  </si>
  <si>
    <t>ADNOC</t>
  </si>
  <si>
    <t>ARAMCO TRADING</t>
  </si>
  <si>
    <t>AMPOL</t>
  </si>
  <si>
    <t>BHP RIGHTSHIP</t>
  </si>
  <si>
    <t>BP</t>
  </si>
  <si>
    <t>CHEVRON</t>
  </si>
  <si>
    <t>CEPSA</t>
  </si>
  <si>
    <t>CONOCOPHILLIPS</t>
  </si>
  <si>
    <t>ENOC</t>
  </si>
  <si>
    <t>EQUINOR</t>
  </si>
  <si>
    <t>IDEMITSU</t>
  </si>
  <si>
    <t>INEOS</t>
  </si>
  <si>
    <t>IMT</t>
  </si>
  <si>
    <t>KOCH</t>
  </si>
  <si>
    <t>LUKOIL</t>
  </si>
  <si>
    <t>NESTE OIL</t>
  </si>
  <si>
    <t>NIGERIA LNG</t>
  </si>
  <si>
    <t>NOBLE AMERICAS</t>
  </si>
  <si>
    <t>NUSTAR</t>
  </si>
  <si>
    <t>PDVSA</t>
  </si>
  <si>
    <t>PERTAMINA</t>
  </si>
  <si>
    <t>PETROBRAS</t>
  </si>
  <si>
    <t>PETRONAS</t>
  </si>
  <si>
    <t>PHILLIPS 66</t>
  </si>
  <si>
    <t>PREEM</t>
  </si>
  <si>
    <t>PTT</t>
  </si>
  <si>
    <t>RELIANCE</t>
  </si>
  <si>
    <t>REPSOL</t>
  </si>
  <si>
    <t>SHELL</t>
  </si>
  <si>
    <t>STATOIL</t>
  </si>
  <si>
    <t>SUNOCO</t>
  </si>
  <si>
    <t>SAUDI ARAMCO</t>
  </si>
  <si>
    <t>TESERO</t>
  </si>
  <si>
    <t>TOTAL</t>
  </si>
  <si>
    <t>VALERO</t>
  </si>
  <si>
    <t>YPF</t>
  </si>
  <si>
    <t>Ship Name:</t>
  </si>
  <si>
    <t>VET04 Navigation and Communications</t>
  </si>
  <si>
    <t>VET13 Nil or Misc Comments</t>
  </si>
  <si>
    <t>CRT13 Nil or Misc Comments</t>
  </si>
  <si>
    <t>MMS24 Nil</t>
  </si>
  <si>
    <t>S4 Complacency</t>
  </si>
  <si>
    <t>A1 ADNOC</t>
  </si>
  <si>
    <t>A2 AMPOL</t>
  </si>
  <si>
    <t>A3 ARAMCO TRADING</t>
  </si>
  <si>
    <t>A4 BHP RIGHTSHIP</t>
  </si>
  <si>
    <t>A5 BP</t>
  </si>
  <si>
    <t>A6 CEPSA</t>
  </si>
  <si>
    <t>A7 CHEVRON</t>
  </si>
  <si>
    <t>A8 CONOCOPHILLIPS</t>
  </si>
  <si>
    <t>A9 ENOC</t>
  </si>
  <si>
    <t>A10 EQUINOR</t>
  </si>
  <si>
    <t>A11 IDEMITSU</t>
  </si>
  <si>
    <t>A12 IMT</t>
  </si>
  <si>
    <t>A13 INEOS</t>
  </si>
  <si>
    <t>A14 KOCH</t>
  </si>
  <si>
    <t>A15 LUKOIL</t>
  </si>
  <si>
    <t>A16 NESTE OIL</t>
  </si>
  <si>
    <t>A17 NIGERIA LNG</t>
  </si>
  <si>
    <t>A18 NOBLE AMERICAS</t>
  </si>
  <si>
    <t>A19 NUSTAR</t>
  </si>
  <si>
    <t>A20 PDVSA</t>
  </si>
  <si>
    <t>A21 PERTAMINA</t>
  </si>
  <si>
    <t>A22 PETROBRAS</t>
  </si>
  <si>
    <t>A23 PETRONAS</t>
  </si>
  <si>
    <t>A24 PHILLIPS 66</t>
  </si>
  <si>
    <t>A25 PREEM</t>
  </si>
  <si>
    <t>A26 PTT</t>
  </si>
  <si>
    <t>A27 RELIANCE</t>
  </si>
  <si>
    <t>A28 REPSOL</t>
  </si>
  <si>
    <t>A29 SAUDI ARAMCO</t>
  </si>
  <si>
    <t>A30 SHELL</t>
  </si>
  <si>
    <t>A31 STATOIL</t>
  </si>
  <si>
    <t>A32 SUNOCO</t>
  </si>
  <si>
    <t>A33 TESERO</t>
  </si>
  <si>
    <t>A34 TOTAL</t>
  </si>
  <si>
    <t>A35 VALERO</t>
  </si>
  <si>
    <t>A36 YPF</t>
  </si>
  <si>
    <t>ABUJA MOU</t>
  </si>
  <si>
    <t>AMSA</t>
  </si>
  <si>
    <t>BLACK SEA MOU</t>
  </si>
  <si>
    <t>CARIBBEAN MOU</t>
  </si>
  <si>
    <t xml:space="preserve">CHINA MSA </t>
  </si>
  <si>
    <t>INDIAN OCEAN MOU</t>
  </si>
  <si>
    <t>MEDITERRANEAN MOU</t>
  </si>
  <si>
    <t>NON MOU</t>
  </si>
  <si>
    <t>PARIS MOU</t>
  </si>
  <si>
    <t>RIYADH MOU</t>
  </si>
  <si>
    <t>TOKYO MOU (EXCEPT CHINA)</t>
  </si>
  <si>
    <t>USCG</t>
  </si>
  <si>
    <t>VINA DEL MAR MOU</t>
  </si>
  <si>
    <t>PSC07 Maritime Security</t>
  </si>
  <si>
    <t>Insp_id</t>
  </si>
  <si>
    <t>PSC_mou</t>
  </si>
  <si>
    <t>PSC_pic</t>
  </si>
  <si>
    <t>PSC_sndr_offimport</t>
  </si>
  <si>
    <t>PSC_picdt</t>
  </si>
  <si>
    <t>PSC_detain</t>
  </si>
  <si>
    <t>PSC_info2panama</t>
  </si>
  <si>
    <t>PSC_info2ownr</t>
  </si>
  <si>
    <t>PSC_info2ownr_dt</t>
  </si>
  <si>
    <t>PSC_info2chrtr</t>
  </si>
  <si>
    <t>PSC_info2chrtr_dt</t>
  </si>
  <si>
    <t>PSC_info2rtshp</t>
  </si>
  <si>
    <t>PSC_info2rtshp_dt</t>
  </si>
  <si>
    <t>PSC_info2oilmaj</t>
  </si>
  <si>
    <t>PSC_info2oilmaj_dt</t>
  </si>
  <si>
    <t>PSC_info2mmstpmgmt</t>
  </si>
  <si>
    <t>PSC_info2mmstpmgmt_dt</t>
  </si>
  <si>
    <t>PSC_sndr_offimport_dt</t>
  </si>
  <si>
    <t>VET_oilmaj</t>
  </si>
  <si>
    <t>VET_oilmaj_co</t>
  </si>
  <si>
    <t>VET_offattnd</t>
  </si>
  <si>
    <t>VET_risk</t>
  </si>
  <si>
    <t>VET_repupload</t>
  </si>
  <si>
    <t>VET_repfinalby</t>
  </si>
  <si>
    <t>VET_Q88upload</t>
  </si>
  <si>
    <t>country</t>
  </si>
  <si>
    <t>port</t>
  </si>
  <si>
    <t>type</t>
  </si>
  <si>
    <t>age</t>
  </si>
  <si>
    <t>choff</t>
  </si>
  <si>
    <t>cheng</t>
  </si>
  <si>
    <t>chrtr</t>
  </si>
  <si>
    <t>owner</t>
  </si>
  <si>
    <t>class</t>
  </si>
  <si>
    <t>flag</t>
  </si>
  <si>
    <t>Severity</t>
  </si>
  <si>
    <t>Column1</t>
  </si>
  <si>
    <t>Status2</t>
  </si>
  <si>
    <t>Root cause (Analysis required using SMP-18-02D)</t>
  </si>
  <si>
    <t>General Guidelines</t>
  </si>
  <si>
    <t>SubSys_Code</t>
  </si>
  <si>
    <t>Category 1</t>
  </si>
  <si>
    <t>Category 2</t>
  </si>
  <si>
    <t>Vetting sender,PSC sender and SI observations will be imported to DR sender from the respective sender at the office.</t>
  </si>
  <si>
    <t>IVS Phoenix</t>
  </si>
  <si>
    <t>Loch Ness</t>
  </si>
  <si>
    <t>LNS</t>
  </si>
  <si>
    <t>Loch Nevis</t>
  </si>
  <si>
    <t>LNV</t>
  </si>
  <si>
    <t>CPA</t>
  </si>
  <si>
    <t>ESP</t>
  </si>
  <si>
    <t>ICA</t>
  </si>
  <si>
    <t>PVI</t>
  </si>
  <si>
    <t>CB2017002</t>
  </si>
  <si>
    <t>CB2012001</t>
  </si>
  <si>
    <t>CB2013004</t>
  </si>
  <si>
    <t>CB2014005</t>
  </si>
  <si>
    <t>CB2014006</t>
  </si>
  <si>
    <t>CB2013002</t>
  </si>
  <si>
    <t>CB2017003</t>
  </si>
  <si>
    <t>CB2015002</t>
  </si>
  <si>
    <t>CB2014008</t>
  </si>
  <si>
    <t>CB2019001</t>
  </si>
  <si>
    <t>CB2015001</t>
  </si>
  <si>
    <t>CB2016004</t>
  </si>
  <si>
    <t>CB2016006</t>
  </si>
  <si>
    <t>CB2016005</t>
  </si>
  <si>
    <t>CB2016002</t>
  </si>
  <si>
    <t>CB2016003</t>
  </si>
  <si>
    <t>CB2014002</t>
  </si>
  <si>
    <t>CB2014007</t>
  </si>
  <si>
    <t>CB2014003</t>
  </si>
  <si>
    <t>CB2013001</t>
  </si>
  <si>
    <t>CB2017001</t>
  </si>
  <si>
    <t>CB2013003</t>
  </si>
  <si>
    <t>CB2016001</t>
  </si>
  <si>
    <t>CP2015001</t>
  </si>
  <si>
    <t>CP2017002</t>
  </si>
  <si>
    <t>CP2017001</t>
  </si>
  <si>
    <t>TG2010001</t>
  </si>
  <si>
    <t>TC2019001</t>
  </si>
  <si>
    <t>TG2019001</t>
  </si>
  <si>
    <t>TC2017001</t>
  </si>
  <si>
    <t>TC2018001</t>
  </si>
  <si>
    <t>TP2017003</t>
  </si>
  <si>
    <t>TP2017006</t>
  </si>
  <si>
    <t>TP2011001</t>
  </si>
  <si>
    <t>TP2019003</t>
  </si>
  <si>
    <t>TP2019001</t>
  </si>
  <si>
    <t>TP2019002</t>
  </si>
  <si>
    <t>TP2017004</t>
  </si>
  <si>
    <t>TP2017005</t>
  </si>
  <si>
    <t>TP2017001</t>
  </si>
  <si>
    <t>TP2017002</t>
  </si>
  <si>
    <t>TP2019004</t>
  </si>
  <si>
    <t>TP2019006</t>
  </si>
  <si>
    <t>TP2019005</t>
  </si>
  <si>
    <t>TP2019007</t>
  </si>
  <si>
    <t>CB2011001</t>
  </si>
  <si>
    <t>Machinery/ equipment breakdown, malfunction or trouble?
(Yes/No)</t>
  </si>
  <si>
    <t>Verification by PIC</t>
  </si>
  <si>
    <t>vslName</t>
  </si>
  <si>
    <t>IMO</t>
  </si>
  <si>
    <t>threeCode</t>
  </si>
  <si>
    <t>DRSCode</t>
  </si>
  <si>
    <t>Fengr</t>
  </si>
  <si>
    <t>grp</t>
  </si>
  <si>
    <t>fengr</t>
  </si>
  <si>
    <t>St Pauli</t>
  </si>
  <si>
    <t>St Clemens</t>
  </si>
  <si>
    <t>TP2020001</t>
  </si>
  <si>
    <t>\\mms_svr01\DRsender\DRSendApp\script.bat</t>
  </si>
  <si>
    <t>INJ01 Fatality</t>
  </si>
  <si>
    <t>TC2020001</t>
  </si>
  <si>
    <t>San Jack</t>
  </si>
  <si>
    <t>SJA</t>
  </si>
  <si>
    <t>TP2020002</t>
  </si>
  <si>
    <t>1</t>
  </si>
  <si>
    <t>Esteem Houston</t>
  </si>
  <si>
    <t>EHO</t>
  </si>
  <si>
    <t xml:space="preserve">Severity of the deficiency to be set to 1/2/3/4/5 as per the table given in the Severity Matrix sheet (Default value is 1). </t>
  </si>
  <si>
    <t>By default, Target dates are automatically set as per the Severity however it can be manually filled as well</t>
  </si>
  <si>
    <t>Solar Katherine</t>
  </si>
  <si>
    <t>Solar Melissa</t>
  </si>
  <si>
    <t>Solar Madelein</t>
  </si>
  <si>
    <t>Esteem Energy</t>
  </si>
  <si>
    <t>Solar Claire</t>
  </si>
  <si>
    <t>Esteem Discovery</t>
  </si>
  <si>
    <t>Esteem Endeavour</t>
  </si>
  <si>
    <t>SKA</t>
  </si>
  <si>
    <t>SME</t>
  </si>
  <si>
    <t>SMD</t>
  </si>
  <si>
    <t>EEN</t>
  </si>
  <si>
    <t>SCR</t>
  </si>
  <si>
    <t>EDS</t>
  </si>
  <si>
    <t>EED</t>
  </si>
  <si>
    <t>TP2020003</t>
  </si>
  <si>
    <t>5: Major </t>
  </si>
  <si>
    <t>Fatality </t>
  </si>
  <si>
    <t>Immediate layup or docking for repairs (Fire / Collision / Alison / Grounding) Claims from 3rd Parties  </t>
  </si>
  <si>
    <t>Major Industry Reaction &gt;1M $ </t>
  </si>
  <si>
    <t>Immediately by any available means: Vessel-SI-DPA </t>
  </si>
  <si>
    <t>DPA, Marine and Tech SI </t>
  </si>
  <si>
    <t>3 Months </t>
  </si>
  <si>
    <t>4: Serious </t>
  </si>
  <si>
    <t>PPD/PTD, D&amp;A Violation, PSC Detention </t>
  </si>
  <si>
    <t>COC Requiring layup repairs (Fire / Collision / Alison / Grounding), Cargo and 3rd Party Claims,  </t>
  </si>
  <si>
    <t>Pirate boarding, Stowaway, Serious criminal act -Burglary, theft, bribery, fraud, contraband, drugs, sabotage. Cyberattack on Vessel equipment </t>
  </si>
  <si>
    <t>3: Significant </t>
  </si>
  <si>
    <t>COC requiring in service repairs (Fire / Collision / Alison / Grounding) Blackout incident </t>
  </si>
  <si>
    <t>By any available means within 1 hour to SI </t>
  </si>
  <si>
    <t>2 Months </t>
  </si>
  <si>
    <t>2: Moderate </t>
  </si>
  <si>
    <t>RWC or Injury requiring Medical treatment ashore (MTC), Disciplinary action due to breach of company policies.</t>
  </si>
  <si>
    <t>Within 6 hours to SI </t>
  </si>
  <si>
    <t>Master and Safety Officer </t>
  </si>
  <si>
    <t>1 Month </t>
  </si>
  <si>
    <t>1: Minor </t>
  </si>
  <si>
    <t>Simple First Aid or NLTI </t>
  </si>
  <si>
    <t>Equipment breakdowns, defects repairable by ship staff </t>
  </si>
  <si>
    <t>Security incident, Breach of vessel security arrangements </t>
  </si>
  <si>
    <t>Loss &lt;10K $ </t>
  </si>
  <si>
    <t>Within 24 hours** to SI </t>
  </si>
  <si>
    <t>15 Days</t>
  </si>
  <si>
    <t>Spill on deck &lt; 1m3 but retained on board </t>
  </si>
  <si>
    <t>Off-hire, Loss 10K-50K$ </t>
  </si>
  <si>
    <t>1.Pollutant Spill / discharge in water &lt; 100L 
2.Emission or discharge in violation of MARPOL IV, V, VI </t>
  </si>
  <si>
    <t>Off-hire (&gt;7d) 
Loss of Charter, 250K – 1M $ </t>
  </si>
  <si>
    <t>DPA, SI (Marine or Tech) </t>
  </si>
  <si>
    <t>Serious injury or multiple minor injuries, sign off (LTI), Hospitalization, Dismissal on disciplinary ground, Desertion </t>
  </si>
  <si>
    <t>Vessel pursued by Pirates, Minor act of sabotage. Criminal act -bribery, fraud, contraband.Cyber Hack of Vessel IT Systems   </t>
  </si>
  <si>
    <t>Off-hire (&gt;24h)
50K – 250K $  </t>
  </si>
  <si>
    <t>SI (Marine or Tech) and Master </t>
  </si>
  <si>
    <t>Repair requiring external assistance Critical Equipment failure,Dispensation  </t>
  </si>
  <si>
    <t>Burglary, damage and theft. Cyber-incident rendering vessel IT equipment in-operational. Security incident, Breach of vessel security arrangements </t>
  </si>
  <si>
    <t>Accidental  discharge within containment </t>
  </si>
  <si>
    <t>Health and Safety </t>
  </si>
  <si>
    <t>Damage to Vessel/ Property </t>
  </si>
  <si>
    <t>Reporting  
Timeline </t>
  </si>
  <si>
    <t>Investigation 
Team </t>
  </si>
  <si>
    <t>Completion 
Timeline </t>
  </si>
  <si>
    <t>Financial 
Impact  </t>
  </si>
  <si>
    <t>Security 
Impact </t>
  </si>
  <si>
    <t>Environmental 
Impact  </t>
  </si>
  <si>
    <t>1.Pollutant Spill / discharge in water &gt; 100L 
2.Uncontrolled gas release &gt;10m3 </t>
  </si>
  <si>
    <t>Vessel Hijack, Kidnapping, Bombing, terrorism Cyber Hack of Entire Company IT infrastructure / System.</t>
  </si>
  <si>
    <t>Pollutants, Spill on deck &gt; 1m3 </t>
  </si>
  <si>
    <t>Severity 
Factor </t>
  </si>
  <si>
    <t>For any Inspection even if there are Nil obsevations from third party inspections it has to be entered in DR sender. Category 1 to be left blank and Category 2 PSC and Vetting to be set to Nil.Target date, Closure date and status is automatically set and the record is automatically closed.</t>
  </si>
  <si>
    <t xml:space="preserve"> Used for reporting of vessel defects, Accidents and Injury. System and subsystem  to be selected as per the defect.</t>
  </si>
  <si>
    <t>To be checked by PIC in case a Fleet alert is required.</t>
  </si>
  <si>
    <t>Record status</t>
  </si>
  <si>
    <t>Displays total number of ovedue items. Red Font color indicates that the currently displayed record is overdue.</t>
  </si>
  <si>
    <t>Hafnia Shenzhen</t>
  </si>
  <si>
    <t>HSZ</t>
  </si>
  <si>
    <t>TP2020008</t>
  </si>
  <si>
    <t>TP2020007</t>
  </si>
  <si>
    <t>TP2020010</t>
  </si>
  <si>
    <t>TP2020009</t>
  </si>
  <si>
    <t>TP2020004</t>
  </si>
  <si>
    <t>TP2020006</t>
  </si>
  <si>
    <t>TP2020005</t>
  </si>
  <si>
    <t>Beico</t>
  </si>
  <si>
    <t>TP2020011</t>
  </si>
  <si>
    <t xml:space="preserve"> - Vessel Mode</t>
  </si>
  <si>
    <t>ZZZ</t>
  </si>
  <si>
    <t>Methane Mickie Harper</t>
  </si>
  <si>
    <t>MHR</t>
  </si>
  <si>
    <t>TG2021001</t>
  </si>
  <si>
    <t>MPC</t>
  </si>
  <si>
    <t>Methane Patricia Camila</t>
  </si>
  <si>
    <t>TG2021002</t>
  </si>
  <si>
    <t>Ver 54</t>
  </si>
  <si>
    <t>In this upgrade the manual entry of vetting, PSC and SIRE is not possible and Data has to be imported.</t>
  </si>
  <si>
    <t>Aries Karin</t>
  </si>
  <si>
    <t>AKA</t>
  </si>
  <si>
    <t>CB2021002</t>
  </si>
  <si>
    <t>Aries Sumire</t>
  </si>
  <si>
    <t>ASU</t>
  </si>
  <si>
    <t>CB2020001</t>
  </si>
  <si>
    <t>Ikan Bawal</t>
  </si>
  <si>
    <t>IBA</t>
  </si>
  <si>
    <t>CB2020002</t>
  </si>
  <si>
    <t>Jubilant Devotion</t>
  </si>
  <si>
    <t>JDE</t>
  </si>
  <si>
    <t>CB2021001</t>
  </si>
  <si>
    <t>Pavo Brave</t>
  </si>
  <si>
    <t>PBA</t>
  </si>
  <si>
    <t>CB2021003</t>
  </si>
  <si>
    <t>RHI</t>
  </si>
  <si>
    <t>CB2020003</t>
  </si>
  <si>
    <t>CP2020001</t>
  </si>
  <si>
    <t>GT DEMETER</t>
  </si>
  <si>
    <t>GDE</t>
  </si>
  <si>
    <t>CW2021001</t>
  </si>
  <si>
    <t>VGD</t>
  </si>
  <si>
    <t>CW2021002</t>
  </si>
  <si>
    <t>Vanguardia</t>
  </si>
  <si>
    <t>v55</t>
  </si>
  <si>
    <t>DRSENDER V55 2021/09/13</t>
  </si>
  <si>
    <t>\\ORCASVR-101\shares\drsapp\Incoming</t>
  </si>
  <si>
    <t xml:space="preserve">To prevent unwnated changes, the DRSEND sheet is password protected. All changes are to be done using the data entry form. In case it is required to change data direcly in the sheet please contact PIC. </t>
  </si>
  <si>
    <t>Red Admiral</t>
  </si>
  <si>
    <t>TG2021003</t>
  </si>
  <si>
    <t>RAD</t>
  </si>
  <si>
    <t>Rising Himeji</t>
  </si>
  <si>
    <t>ESN</t>
  </si>
  <si>
    <t>TP2021002</t>
  </si>
  <si>
    <t>Esteem Sango</t>
  </si>
  <si>
    <t>TP201900420201112192705</t>
  </si>
  <si>
    <t>ADA-2020-058</t>
  </si>
  <si>
    <t>Amoge</t>
  </si>
  <si>
    <t>Ahoge</t>
  </si>
  <si>
    <t>Liu Anqing</t>
  </si>
  <si>
    <t>VET</t>
  </si>
  <si>
    <t>VET05</t>
  </si>
  <si>
    <t>One 4 in one portable gas meter GX-2009 was calibrated using span gas by Junior Office with Chief Officer, it was found the reading of H2S was zero. The reading of H2S of one PID PTC-608 was 23.5 PPM using same span gas.</t>
  </si>
  <si>
    <t>Gas detector GX2009, was last calibrated on 10-Sep-2020 and was found working in order, however during inspection the H2S sensor malfunctioned. Vessel has 4- GX2009 detectors onboard.</t>
  </si>
  <si>
    <t xml:space="preserve">We have well written Ship Management Procedures and Tanker Cargo Handling Procedures which also specify the requirements for calibration of key cargo instrumentation, including Personal Gas Meters onboard.
As per the procedures, vessel had carried out the onboard calibration of the equipment on 10-Sep-2020 and the equipment was calibrated successfully and operational. 
However, during inspection onboard, whilst calibrating the equipment in the presence of inspector, H2S sensor malfunctioned and showed in-correct reading for the span gas used. 
Vessel has total 4 personal gas meters onboard out of which 3 are operational.
The requisition for the spare H2S sensor for the equipment has been raised and will be arranged to be delivered to the vessel at next suitable port as per availability and lead time of the spare sensor. 
Meanwhile, this particular meter has been duly marked not to be used.
As part of our Information sharing, this observation has been shared with other fleet vessels.
</t>
  </si>
  <si>
    <t>CAPT. PANKAJ KAPOOR</t>
  </si>
  <si>
    <t>OK</t>
  </si>
  <si>
    <t>FALSE</t>
  </si>
  <si>
    <t>v52</t>
  </si>
  <si>
    <t>Aman  Walia</t>
  </si>
  <si>
    <t>5.23</t>
  </si>
  <si>
    <t>No</t>
  </si>
  <si>
    <t>9382061_VET_20200915_01</t>
  </si>
  <si>
    <t>China</t>
  </si>
  <si>
    <t>Yizheng, Berth 608</t>
  </si>
  <si>
    <t>Tanker 2</t>
  </si>
  <si>
    <t>CHEM</t>
  </si>
  <si>
    <t>Chitta Ranjan Mishra</t>
  </si>
  <si>
    <t>Basavaraj Veerana Kukanur</t>
  </si>
  <si>
    <t>Amar  Aketi</t>
  </si>
  <si>
    <t>Aethon Marine</t>
  </si>
  <si>
    <t>NONE</t>
  </si>
  <si>
    <t>TP201900420210203081053</t>
  </si>
  <si>
    <t>ADA-2021-066</t>
  </si>
  <si>
    <t>Power pack of the Framo cargo pump system was located inside the forecastle. The exhaust vent and suction vent were kept open leading to main deck at the time of inspection.</t>
  </si>
  <si>
    <t>Exhaust and Suction vent is provided for Supply fan for Fwd Hydraulic pack room. During port operation both vents are kept open and fan running to provide cooling to Hyd pack room.</t>
  </si>
  <si>
    <t>The exhaust vent and suction vent of Framo power pack room as per design are required to kept open for forced ventilation of Framo power pack electrical motors, when in operation. At time of inspection vessel was carrying out cargo discharging for which Framo power pack were operational and vents were kept open for forced ventilation of power pack room  These vents design is approved by Class. We consider this observation not valid.
As part of our Information sharing, this observation has been shared with other fleet vessels.</t>
  </si>
  <si>
    <t>5.17</t>
  </si>
  <si>
    <t>Yes</t>
  </si>
  <si>
    <t>TP201900420210203081055</t>
  </si>
  <si>
    <t>ADA-2021-067</t>
  </si>
  <si>
    <t>TP201900420210203081057</t>
  </si>
  <si>
    <t>ADA-2021-068</t>
  </si>
  <si>
    <t>VET10</t>
  </si>
  <si>
    <t>The cable out from the discharge air sensor of No.1 main air compressor was disconnected at the time of inspection.</t>
  </si>
  <si>
    <t xml:space="preserve">Capillary ( Referred as cable by inspector) of High temperature trip of Main air compressor No.1 got sheared off. Same was in order during last monthly test on 15 Aug 20.And Same was rectified during inspection. </t>
  </si>
  <si>
    <t>We have well written Ship Management Procedures and Engine Room Procedures which also specify the requirements for regular inspection and maintenance of the Engine Room Machinery onboard.
As per the PMS, vessel had carried out the testing of MAC trips on 15-Aug-2020 and the same was reported to be intact and operational.
However, the Capillary (referred to as cable in observation) of High temperature trip of Main air compressor No.1 had sheared off and was observed during the inspection. Same was rectified &amp; tested before the completion of inspection and was notified to the inspector. 
As part of our Information sharing, this observation has been shared with other fleet vessels.</t>
  </si>
  <si>
    <t>10.32</t>
  </si>
  <si>
    <t>TP201900420220131151511</t>
  </si>
  <si>
    <t>ADA-2022-010</t>
  </si>
  <si>
    <t xml:space="preserve"> Jung Rana Shailendra</t>
  </si>
  <si>
    <t>As per the analysis dated 01 Nov 2021, Auxiliary engine No.1 (Crankcase and cylinder) oil was reported as "Critical" with low BN, High soot/insolubles, High chromium, High Iron, High nickel and High vanadium.
Following actions had been taken:
On 13 Nov 2021: Oil was purified through AE LO purifier and 100 litres of sump oil was topped up.
On 29 Nov 2021: Oil was purified through AE LO purifier and 200 litres of sump oil was topped up.
On 04 Dec 2021: No.1 AE sump was cleaned and fresh sump oil was taken.Other Inspector Comments: The lubricating/ hydraulic oils were sent for analysis as per following interval.
a)	Three monthly: Main engine, auxiliary engine, stern tube. Last analysis was dated 01 Nov 2021.
b)	Six monthly: Steering system, remote valve control, Framo hydraulic system and emergency generator. Last analysis was dated 01 Nov 2021.
As per the analysis dated 01 Nov 2021, Auxiliary engine No.2 oil was reported as "Caution". The oil sample was again landed on 07 Dec 2021 and as per the latest report dated 16 Dec 2021, the oil was reported as "Normal".</t>
  </si>
  <si>
    <t>1.	A/E 2 lube oil was purified and partly replenished, and follow up sample landed at Singapore for analysis, and found fit for further use as per report dated  16-Dec-2021.
2.	A/E 1 lube oil which was found in critical condition, was immediately purified twice as stated by inspector and sump was partly replenished with 300 litres as a temporary measure owing to the short voyages and frequent cargo operations. As soon as the vessel got suitable opportunity from Fujairah to Singapore voyage , during full decarb routines, sump was cleaned and fresh oil taken on 6th December 2021. 
Vessel had planned to keep this generator in use till next suitable opportunity to land a follow up sample for analysis, so that we can get exact result after use.
Meanwhile oil condition was being monitored onboard in terms of TBN, water content and spot check and found satisfactory.
Currently the oil is used for 256 hours.
Follow up sample is planned to be landed at Korea o/a 9th January 2022.</t>
  </si>
  <si>
    <t xml:space="preserve">The vessel is subscribed to a testing program and as per the Inspectors comments this deficiency was indeed addressed by the carrying out the oil change as recommended and therefore the vessel is in compliance with the guidance. 
As per analysis report for A/E #1 lube oil was found critical. Owing to short voyages and frequent cargo operations, as an immediate measure sump oil was purified and partly replenished. 
As corrective action, decarb was performed, sump was cleaned, and fresh oil replenished on 6th Dec21. Oil condition is being monitored onboard as per company procedures in terms of TBN, water content and spot check and found satisfactory. 
All relevant lube oil samples have been sent as on 11th Jan22 for quarterly Lab analysis as per company procedures.
We would also like to clarify other comments for A/E # 2 where sump oil was reported as caution. After receiving the analysis report, A/E #2 sump oil was purified and partly replenished, thereafter sample was landed at Singapore for analysis. Analysis report received on 16-Dec-2021 confirmed oil is fit for further use.
The observations will be shared with fleet vessels as part of companys information sharing. </t>
  </si>
  <si>
    <t>Marine PIC</t>
  </si>
  <si>
    <t>v55_2022/02/15 13:34:17</t>
  </si>
  <si>
    <t>Kashyap Ichhaporia</t>
  </si>
  <si>
    <t>10.7</t>
  </si>
  <si>
    <t>9382061_VET_20220105_01</t>
  </si>
  <si>
    <t>Zhanjiaganag</t>
  </si>
  <si>
    <t>Himangshu Sekhar Biswas</t>
  </si>
  <si>
    <t>Saurabh  Mantri</t>
  </si>
  <si>
    <t>Jupiter Marine</t>
  </si>
  <si>
    <t>Cap. Yaduraj Singh Tyagi</t>
  </si>
  <si>
    <t>TP201900420200908010352</t>
  </si>
  <si>
    <t>ADA-2020-036</t>
  </si>
  <si>
    <t>Bmoge</t>
  </si>
  <si>
    <t>Bhoge</t>
  </si>
  <si>
    <t>Capt. S. Bahar</t>
  </si>
  <si>
    <t>CRT</t>
  </si>
  <si>
    <t>CRT11</t>
  </si>
  <si>
    <t>Rust started developing on main deck and cargo lines on deck including gratings</t>
  </si>
  <si>
    <t>Lack of maintenence  / Vessel is only able to carry out maintenance in trans pacific voy. Most of days heavy weather is encountered in trans pacific voy.</t>
  </si>
  <si>
    <t>Maintenance in progress.  2020/11/30 : Maintenance in progress . Covering area aft of manifold first. 2020/12/31 : Still covering area aft of manifold , covered about 40%. Work in progress, weather permitting. 01/04/2021 : Area from Bay aft of manifold to Bay 7W pump stack completed. Work is continuosly in progress as weather permits. 10/06/2021 : Work in progress and continue from next suitable oppurtunity to completee all sections of mani deck and upgrade cosmetic appearance of main deck. 30/06/2021 : Work in progress and tocontinue from next suitable oppurtunity to complete all sections of mani deck and upgrade cosmetic appearance of main deck as vessel was busy in continue port operations.30/08/2021 : De-rusting is being carried out whenever time and weather permits. Vessel has already completed de rusting till midship from fwd of the accodation. As this is a ongoing maintenance job, this observation CAN BE CLOSED NOW</t>
  </si>
  <si>
    <t>De-rusting is being carried out whenever time and weather permits. Vessel has already completed de rusting till midship from fwd of the accodation. As this is a ongoing maintenance job, this observation CAN BE CLOSED NOW</t>
  </si>
  <si>
    <t xml:space="preserve">30/06/2021 PK: Noted       27/09/2021 PK: PLease update status and confirm if all areas highlighted covered </t>
  </si>
  <si>
    <t>v54_21/12/2021 05:41:06</t>
  </si>
  <si>
    <t>TP201900420201126042518</t>
  </si>
  <si>
    <t>ADA-2020-060</t>
  </si>
  <si>
    <t>Cmoge</t>
  </si>
  <si>
    <t>Choge</t>
  </si>
  <si>
    <t>Salil Kumar</t>
  </si>
  <si>
    <t>MMS</t>
  </si>
  <si>
    <t>MMS09</t>
  </si>
  <si>
    <t>Denso tape on Electrical pipe duct to be removed</t>
  </si>
  <si>
    <t>Denso tape was on electricpipe line since takeover</t>
  </si>
  <si>
    <t>2020/11/30 : Removal of denso tape in progress. 2020/12/20 : About 60% denso from main conduit line has been removed. Work in progress, weather permitting. 01/04/2021 : Denso tape from Conduit line branches from Brk of F'cle to midship area completed. Work is continuosly in progress as weather and other priority job permits. 30/04/2021 : Branches for Aft of manifold to no.7 pump stack completed. 10/06/2021 : Work in in progress and continue from next suitable oppurtunity to complete all section of deck and upgrade cosmetic appearance of main deck. 10/06/2021 : All branch lines sections denso tape removed. Main line (3 nos) 60-70 mtrs section remaining. 30/06/2021 : Work to continue complete at next suitable oppurtunity as vessel was busy in continue port operations. 15.07.2021-work is in progress. 30/08/2021 Vessel is bussy in TC/loading/disch operations. Will contiue job whenever time permits.</t>
  </si>
  <si>
    <t>01/07/2021 PK: Vessel to complete the job on priority enroutet to Europe             27/09/2021 PK: Please update status</t>
  </si>
  <si>
    <t>v54_2021/09/27 16:08:03</t>
  </si>
  <si>
    <t>Amit Kaushal</t>
  </si>
  <si>
    <t>TP201900420210807133741</t>
  </si>
  <si>
    <t>ADA-2021-025</t>
  </si>
  <si>
    <t>Capt. Pankaj Kapoor / Chetan Arora</t>
  </si>
  <si>
    <t>DCK06</t>
  </si>
  <si>
    <t>Pilot ladder maintenance PMS records are all same. No detailed conditions/maintenance remarks are entered in PMS.</t>
  </si>
  <si>
    <t>Negligence on part of the responsible officer</t>
  </si>
  <si>
    <t xml:space="preserve">Responsible officer was briefed about the importance of proper record keeping of the maintenance work so that at later stages if required we can check the history of that equipment. </t>
  </si>
  <si>
    <t>All officers are briefed about the importance of proper record keeping of the maintenance work so that at later stages if required we can check the history of that equipment. THIS CAN BE CLOSED NOW</t>
  </si>
  <si>
    <t>Pilot ladder maintenance PMS records are all same for the past months. No detailed conditions/maintenance remarks are entered in PMS.Negligence on part of the responsible officer.</t>
  </si>
  <si>
    <t>v54_2021/09/27 16:15:07</t>
  </si>
  <si>
    <t>9382061_SI_20210621_01</t>
  </si>
  <si>
    <t>TP201900420210813181819</t>
  </si>
  <si>
    <t>ADA-2021-035</t>
  </si>
  <si>
    <t>Fmoge</t>
  </si>
  <si>
    <t>Fhoge</t>
  </si>
  <si>
    <t>Capt. Dev Raj</t>
  </si>
  <si>
    <t>ODD</t>
  </si>
  <si>
    <t>ODD01</t>
  </si>
  <si>
    <t>Port and stbd gangway air moters are not working</t>
  </si>
  <si>
    <t>Aging, wear and tear</t>
  </si>
  <si>
    <t xml:space="preserve">Vessel is using one davit air moter for operating both the gangays by shifting port and stbd. </t>
  </si>
  <si>
    <t xml:space="preserve">Requisition raise(ADA- 21-100) awaiting for supply. </t>
  </si>
  <si>
    <t>02/09/2021 : Motor needs to be replaced.</t>
  </si>
  <si>
    <t>v54_2021/12/30 10:40:03</t>
  </si>
  <si>
    <t>ADA- 21-100</t>
  </si>
  <si>
    <t>02/10/21 : Wrong spec motor supplied by maker. New motor to will be supplied in Jan,2022 as per lead time for new motor.</t>
  </si>
  <si>
    <t>TP201900420210927155650</t>
  </si>
  <si>
    <t>ADA-2021-042</t>
  </si>
  <si>
    <t xml:space="preserve">Khawar  Shafiq </t>
  </si>
  <si>
    <t>VET11</t>
  </si>
  <si>
    <t>Aft bulkhead of accommodation &amp; engine block was discoloured and had rust streak. Maintenance work was in progress.</t>
  </si>
  <si>
    <t xml:space="preserve">De-rusting and painting of accomodation block is already in progress. Vessel has already completed chipping and painting of B-deck aft bulkhead. Will complete rest of the area during present voyage if weather and time permits. </t>
  </si>
  <si>
    <t>Vessel has already completed chipping and painting of B-deck aft bulkhead. Defect can be closed.</t>
  </si>
  <si>
    <t>This is a fact stated, which was already identified by the vessel and reported to management. Following this, a maintenance plan was prepared. The maintenance work is in progress and the dis-colored section of the accommodation block highlighted is scheduled for maintenance during the present quarter with vessel implementing zonal maintenance and having completed the other sections of the accommodation block already. Same was also highlighted to the inspector.
Accommodation block maintenance is a continuous process and is affected by limitation of time with vessel engaged in short voyages and weather conditions. Maintenance has been carried out at every suitable opportunity to the maximum possible extent. 
As part of our Information sharing, this observation has been shared with other fleet vessels.</t>
  </si>
  <si>
    <t>v54_2021/12/21 2:27:16 AM</t>
  </si>
  <si>
    <t>11.8</t>
  </si>
  <si>
    <t>9382061_VET_20210809_01</t>
  </si>
  <si>
    <t>Netherlands</t>
  </si>
  <si>
    <t>Rotterdam</t>
  </si>
  <si>
    <t>Abhishek  Kumar</t>
  </si>
  <si>
    <t>International Energy Co</t>
  </si>
  <si>
    <t>TP201900420211207043500</t>
  </si>
  <si>
    <t>ADA-2021-047</t>
  </si>
  <si>
    <t>Gmoge</t>
  </si>
  <si>
    <t>Ghoge</t>
  </si>
  <si>
    <t>CE HS BISWAS</t>
  </si>
  <si>
    <t>OTR</t>
  </si>
  <si>
    <t>OTR24</t>
  </si>
  <si>
    <t xml:space="preserve">EGCS gas analyser found showing zero reading for SO2 . Vessel tried auto and manual calibration of the SO2 and CO2 sensors of the gas analyser as per the manual. The calibration failed repeatedly &amp; vessel informed this issue to office. </t>
  </si>
  <si>
    <t>Makers result is the probable cause of malfunction of the gas analyser is due to defective SO2 sensor.</t>
  </si>
  <si>
    <t>EGCS gas analyser found showing zero reading for SO2 . Vessel tried auto and manual calibration of the SO2 and CO2 sensors of the gas analyser as per the manual. The calibration failed repeatedly &amp; vessel informed this issue to office. Office consulted with the maker and maker send further trouble shooting guidelines to vessel . Vessel carried out trouble shooting as per makers recommendation &amp; send the results &amp; findings to the maker. Finally, makers result is the probable cause of malfunction of the gas analyser is due to defective SO2 sensor.</t>
  </si>
  <si>
    <t xml:space="preserve">Vessel HFO consumption at any given time should not be more than 1.65 MT/ Hr. New EGCS Gas analyser unit recived at Zhuhai on 17.12.2021. New Unit installed and EGCS tried out after sailig from China ECA area on 24.12.2021. Unit was found working satisfactroy.THIS DEFECT CAN BE CLOSED.
</t>
  </si>
  <si>
    <t>02/12/2021 : Gas analyser unit require replacement.</t>
  </si>
  <si>
    <t>Defective unit replaced.</t>
  </si>
  <si>
    <t>Tech PIC</t>
  </si>
  <si>
    <t>TRUE</t>
  </si>
  <si>
    <t>v54_2022/01/20 12:11:38</t>
  </si>
  <si>
    <t>TP201900420211221022805</t>
  </si>
  <si>
    <t>ADA-2021-048</t>
  </si>
  <si>
    <t>Dev Raj</t>
  </si>
  <si>
    <t>PAV</t>
  </si>
  <si>
    <t>PAV01</t>
  </si>
  <si>
    <t>A small hole(about 5mm) in ballast line just before 6P ballast valve in pipe duct.</t>
  </si>
  <si>
    <t>Ageing, material failure.</t>
  </si>
  <si>
    <t>Temporary arrangements for arresting the leakages with puuty , plug and rubber tube, clip done.</t>
  </si>
  <si>
    <t>Corroded section of pipeline renewed by shore workshop</t>
  </si>
  <si>
    <t>02/09/2021 : Corroded section to be renewed.</t>
  </si>
  <si>
    <t>Corroded section renewed.</t>
  </si>
  <si>
    <t>v54_2022/02/26 10:39:45</t>
  </si>
  <si>
    <t>Corroded section to be renewed by shore workshop.</t>
  </si>
  <si>
    <t>TP201900420211221023217</t>
  </si>
  <si>
    <t>ADA-2021-049</t>
  </si>
  <si>
    <t>NEQ</t>
  </si>
  <si>
    <t>NEQ03</t>
  </si>
  <si>
    <t>At sea , with no high currents ,vessel observed the speed log reading (7.5 knots), while vessels GPS speed was showing 13.7 knots.Also in coastal water difference between is signifcant even in absence of currents.</t>
  </si>
  <si>
    <t>Required  cleaning  the bottom of sensor.</t>
  </si>
  <si>
    <t>A for erractic speed log was made and dicussed .Offcie an dMaker consulted. As reocmended ,Job is to be done preferably  at anchorage or at port in Ballast Condition.awaitind Suitbale oppurtunity to clean sensor.</t>
  </si>
  <si>
    <t>01/12/2021 : Vessel to clean the surface of speed log sensor at first oppurtunity.</t>
  </si>
  <si>
    <t>v54_2021/12/30 10:10:54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</si>
</sst>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mm"/>
  </numFmts>
  <fonts count="35">
    <font>
      <sz val="11"/>
      <name val="ＭＳ Ｐゴシック"/>
      <family val="3"/>
      <charset val="128"/>
    </font>
    <font>
      <sz val="11"/>
      <color theme="1"/>
      <name val="Calibri"/>
      <family val="2"/>
      <scheme val="minor"/>
    </font>
    <font>
      <sz val="11"/>
      <color theme="1"/>
      <name val="Calibri"/>
      <family val="2"/>
      <scheme val="minor"/>
    </font>
    <font>
      <sz val="6"/>
      <name val="ＭＳ Ｐゴシック"/>
      <family val="3"/>
      <charset val="128"/>
    </font>
    <font>
      <u/>
      <sz val="11"/>
      <color indexed="12"/>
      <name val="ＭＳ Ｐゴシック"/>
      <family val="3"/>
      <charset val="128"/>
    </font>
    <font>
      <sz val="11"/>
      <name val="Arial"/>
      <family val="2"/>
    </font>
    <font>
      <b/>
      <sz val="9"/>
      <name val="Arial"/>
      <family val="2"/>
    </font>
    <font>
      <sz val="9"/>
      <name val="Arial"/>
      <family val="2"/>
    </font>
    <font>
      <sz val="10"/>
      <name val="Arial"/>
      <family val="2"/>
    </font>
    <font>
      <sz val="6"/>
      <name val="Arial"/>
      <family val="2"/>
    </font>
    <font>
      <sz val="11"/>
      <color indexed="10"/>
      <name val="Arial"/>
      <family val="2"/>
    </font>
    <font>
      <b/>
      <sz val="11"/>
      <name val="Arial"/>
      <family val="2"/>
    </font>
    <font>
      <b/>
      <sz val="8"/>
      <name val="Calibri"/>
      <family val="2"/>
    </font>
    <font>
      <b/>
      <sz val="8"/>
      <name val="Times New Roman"/>
      <family val="1"/>
    </font>
    <font>
      <b/>
      <sz val="10"/>
      <name val="Arial"/>
      <family val="2"/>
    </font>
    <font>
      <b/>
      <sz val="22"/>
      <name val="Arial"/>
      <family val="2"/>
    </font>
    <font>
      <sz val="22"/>
      <name val="Arial"/>
      <family val="2"/>
    </font>
    <font>
      <sz val="12"/>
      <name val="Arial"/>
      <family val="2"/>
    </font>
    <font>
      <b/>
      <sz val="11"/>
      <color theme="1"/>
      <name val="Calibri"/>
      <family val="2"/>
      <scheme val="minor"/>
    </font>
    <font>
      <sz val="10"/>
      <name val="MS Reference Sans Serif"/>
      <family val="2"/>
    </font>
    <font>
      <b/>
      <sz val="10"/>
      <color rgb="FFFF0000"/>
      <name val="Arial"/>
      <family val="2"/>
    </font>
    <font>
      <sz val="10"/>
      <name val="ＭＳ Ｐゴシック"/>
      <family val="3"/>
      <charset val="128"/>
    </font>
    <font>
      <sz val="10"/>
      <color rgb="FF4D5156"/>
      <name val="Arial"/>
      <family val="2"/>
    </font>
    <font>
      <sz val="10"/>
      <color rgb="FFFF0000"/>
      <name val="Calibri"/>
      <family val="2"/>
    </font>
    <font>
      <b/>
      <sz val="9"/>
      <color theme="1" tint="4.9989318521683403E-2"/>
      <name val="Arial Narrow"/>
      <family val="2"/>
    </font>
    <font>
      <b/>
      <sz val="11"/>
      <color theme="1" tint="4.9989318521683403E-2"/>
      <name val="Arial Narrow"/>
      <family val="2"/>
    </font>
    <font>
      <sz val="11"/>
      <name val="Arial Narrow"/>
      <family val="2"/>
    </font>
    <font>
      <sz val="10"/>
      <color theme="1"/>
      <name val="Arial Narrow"/>
      <family val="2"/>
    </font>
    <font>
      <b/>
      <sz val="10"/>
      <color theme="1"/>
      <name val="Arial Narrow"/>
      <family val="2"/>
    </font>
    <font>
      <sz val="10"/>
      <color indexed="10"/>
      <name val="Arial Narrow"/>
      <family val="2"/>
    </font>
    <font>
      <sz val="11"/>
      <color rgb="FFFFFF00"/>
      <name val="Arial Narrow"/>
      <family val="2"/>
    </font>
    <font>
      <b/>
      <sz val="11"/>
      <name val="Arial Narrow"/>
      <family val="2"/>
    </font>
    <font>
      <sz val="11"/>
      <color indexed="12"/>
      <name val="Arial Narrow"/>
      <family val="2"/>
    </font>
    <font>
      <sz val="10"/>
      <name val="MS Reference Sans Serif"/>
    </font>
    <font>
      <sz val="10"/>
      <name val="Arial"/>
    </font>
  </fonts>
  <fills count="16">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46"/>
        <bgColor indexed="64"/>
      </patternFill>
    </fill>
    <fill>
      <patternFill patternType="solid">
        <fgColor indexed="45"/>
        <bgColor indexed="64"/>
      </patternFill>
    </fill>
    <fill>
      <patternFill patternType="solid">
        <fgColor indexed="13"/>
        <bgColor indexed="64"/>
      </patternFill>
    </fill>
    <fill>
      <patternFill patternType="solid">
        <fgColor indexed="53"/>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bgColor indexed="64"/>
      </patternFill>
    </fill>
    <fill>
      <patternFill patternType="solid">
        <fgColor theme="4"/>
        <bgColor theme="4"/>
      </patternFill>
    </fill>
    <fill>
      <patternFill patternType="solid">
        <fgColor theme="3" tint="0.79998168889431442"/>
        <bgColor indexed="64"/>
      </patternFill>
    </fill>
    <fill>
      <patternFill patternType="solid">
        <fgColor indexed="9"/>
        <bgColor indexed="64"/>
      </patternFill>
    </fill>
  </fills>
  <borders count="16">
    <border>
      <left/>
      <right/>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style="medium">
        <color indexed="64"/>
      </right>
      <top/>
      <bottom/>
      <diagonal/>
    </border>
  </borders>
  <cellStyleXfs count="3">
    <xf numFmtId="0" fontId="0" fillId="0" borderId="0"/>
    <xf numFmtId="0" fontId="4" fillId="0" borderId="0" applyNumberFormat="0" applyFill="0" applyBorder="0" applyAlignment="0" applyProtection="0">
      <alignment vertical="top"/>
      <protection locked="0"/>
    </xf>
    <xf numFmtId="0" fontId="2" fillId="0" borderId="0"/>
  </cellStyleXfs>
  <cellXfs count="133">
    <xf numFmtId="0" fontId="0" fillId="0" borderId="0" xfId="0"/>
    <xf numFmtId="0" fontId="6" fillId="2" borderId="4" xfId="0" applyFont="1" applyFill="1" applyBorder="1" applyAlignment="1" applyProtection="1">
      <alignment horizontal="center" vertical="center" wrapText="1" shrinkToFit="1"/>
    </xf>
    <xf numFmtId="0" fontId="5" fillId="0" borderId="0" xfId="0" applyFont="1" applyFill="1" applyProtection="1"/>
    <xf numFmtId="0" fontId="5" fillId="0" borderId="0" xfId="0" applyFont="1" applyFill="1" applyAlignment="1" applyProtection="1">
      <alignment horizontal="center"/>
    </xf>
    <xf numFmtId="0" fontId="6" fillId="2" borderId="5" xfId="0" applyFont="1" applyFill="1" applyBorder="1" applyAlignment="1" applyProtection="1">
      <alignment horizontal="center" vertical="center" wrapText="1" shrinkToFit="1"/>
    </xf>
    <xf numFmtId="0" fontId="7" fillId="2" borderId="5" xfId="0" applyFont="1" applyFill="1" applyBorder="1" applyAlignment="1" applyProtection="1">
      <alignment horizontal="center" vertical="center" wrapText="1" shrinkToFit="1"/>
    </xf>
    <xf numFmtId="0" fontId="7" fillId="4" borderId="5" xfId="0" applyFont="1" applyFill="1" applyBorder="1" applyAlignment="1" applyProtection="1">
      <alignment horizontal="center" vertical="center" wrapText="1" shrinkToFit="1"/>
    </xf>
    <xf numFmtId="0" fontId="6" fillId="4" borderId="5" xfId="0" applyFont="1" applyFill="1" applyBorder="1" applyAlignment="1" applyProtection="1">
      <alignment horizontal="center" vertical="center" wrapText="1" shrinkToFit="1"/>
    </xf>
    <xf numFmtId="0" fontId="8" fillId="0" borderId="0" xfId="0" applyFont="1" applyAlignment="1" applyProtection="1">
      <alignment horizontal="justify"/>
    </xf>
    <xf numFmtId="0" fontId="9" fillId="0" borderId="0" xfId="0" applyFont="1" applyAlignment="1" applyProtection="1">
      <alignment horizontal="justify"/>
    </xf>
    <xf numFmtId="0" fontId="5" fillId="0" borderId="0" xfId="0" applyFont="1" applyAlignment="1" applyProtection="1"/>
    <xf numFmtId="0" fontId="0" fillId="0" borderId="0" xfId="0" applyAlignment="1"/>
    <xf numFmtId="0" fontId="11" fillId="0" borderId="0" xfId="0" applyFont="1" applyFill="1" applyAlignment="1" applyProtection="1">
      <alignment wrapText="1"/>
    </xf>
    <xf numFmtId="0" fontId="5" fillId="0" borderId="0" xfId="0" applyNumberFormat="1" applyFont="1" applyAlignment="1" applyProtection="1">
      <alignment wrapText="1"/>
    </xf>
    <xf numFmtId="0" fontId="12" fillId="0" borderId="3" xfId="0" applyFont="1" applyBorder="1" applyAlignment="1">
      <alignment vertical="center" wrapText="1"/>
    </xf>
    <xf numFmtId="0" fontId="7" fillId="2" borderId="4" xfId="0" applyFont="1" applyFill="1" applyBorder="1" applyAlignment="1" applyProtection="1">
      <alignment horizontal="center" vertical="center" shrinkToFit="1"/>
    </xf>
    <xf numFmtId="0" fontId="7" fillId="4" borderId="4" xfId="0" applyFont="1" applyFill="1" applyBorder="1" applyAlignment="1" applyProtection="1">
      <alignment horizontal="center" vertical="center" shrinkToFit="1"/>
    </xf>
    <xf numFmtId="0" fontId="5" fillId="0" borderId="0" xfId="0" applyFont="1" applyFill="1" applyAlignment="1" applyProtection="1"/>
    <xf numFmtId="0" fontId="5" fillId="0" borderId="0" xfId="0" applyFont="1" applyAlignment="1"/>
    <xf numFmtId="0" fontId="5" fillId="5" borderId="0" xfId="0" applyFont="1" applyFill="1" applyAlignment="1" applyProtection="1"/>
    <xf numFmtId="0" fontId="5" fillId="6" borderId="0" xfId="0" applyFont="1" applyFill="1" applyAlignment="1" applyProtection="1"/>
    <xf numFmtId="0" fontId="12" fillId="0" borderId="13" xfId="0" applyFont="1" applyBorder="1" applyAlignment="1">
      <alignment vertical="center"/>
    </xf>
    <xf numFmtId="0" fontId="5" fillId="4" borderId="0" xfId="0" applyFont="1" applyFill="1" applyAlignment="1" applyProtection="1"/>
    <xf numFmtId="0" fontId="12" fillId="0" borderId="3" xfId="0" applyFont="1" applyBorder="1" applyAlignment="1">
      <alignment vertical="center"/>
    </xf>
    <xf numFmtId="0" fontId="5" fillId="2" borderId="0" xfId="0" applyFont="1" applyFill="1" applyAlignment="1" applyProtection="1"/>
    <xf numFmtId="0" fontId="5" fillId="7" borderId="0" xfId="0" applyFont="1" applyFill="1" applyAlignment="1" applyProtection="1"/>
    <xf numFmtId="0" fontId="13" fillId="0" borderId="3" xfId="0" applyFont="1" applyBorder="1" applyAlignment="1">
      <alignment vertical="center"/>
    </xf>
    <xf numFmtId="0" fontId="5" fillId="8" borderId="0" xfId="0" applyFont="1" applyFill="1" applyAlignment="1" applyProtection="1"/>
    <xf numFmtId="0" fontId="5" fillId="9" borderId="0" xfId="0" applyFont="1" applyFill="1" applyAlignment="1" applyProtection="1"/>
    <xf numFmtId="0" fontId="5" fillId="2" borderId="0" xfId="0" applyFont="1" applyFill="1" applyBorder="1" applyAlignment="1" applyProtection="1"/>
    <xf numFmtId="0" fontId="5" fillId="2" borderId="6" xfId="0" applyFont="1" applyFill="1" applyBorder="1" applyAlignment="1" applyProtection="1"/>
    <xf numFmtId="0" fontId="5" fillId="2" borderId="7" xfId="0" applyFont="1" applyFill="1" applyBorder="1" applyAlignment="1" applyProtection="1"/>
    <xf numFmtId="0" fontId="5" fillId="2" borderId="8" xfId="0" applyFont="1" applyFill="1" applyBorder="1" applyAlignment="1" applyProtection="1"/>
    <xf numFmtId="0" fontId="5" fillId="2" borderId="9" xfId="0" applyFont="1" applyFill="1" applyBorder="1" applyAlignment="1" applyProtection="1"/>
    <xf numFmtId="0" fontId="10" fillId="2" borderId="7" xfId="0" applyFont="1" applyFill="1" applyBorder="1" applyAlignment="1" applyProtection="1"/>
    <xf numFmtId="0" fontId="5" fillId="0" borderId="0" xfId="0" applyFont="1" applyAlignment="1" applyProtection="1">
      <alignment wrapText="1"/>
    </xf>
    <xf numFmtId="0" fontId="5" fillId="8" borderId="0" xfId="0" applyFont="1" applyFill="1" applyAlignment="1" applyProtection="1">
      <alignment wrapText="1"/>
    </xf>
    <xf numFmtId="0" fontId="5" fillId="5" borderId="0" xfId="0" applyFont="1" applyFill="1" applyAlignment="1" applyProtection="1">
      <alignment wrapText="1"/>
    </xf>
    <xf numFmtId="0" fontId="5" fillId="2" borderId="0" xfId="0" applyFont="1" applyFill="1" applyAlignment="1" applyProtection="1">
      <alignment wrapText="1"/>
    </xf>
    <xf numFmtId="0" fontId="5" fillId="6" borderId="0" xfId="0" applyFont="1" applyFill="1" applyAlignment="1" applyProtection="1">
      <alignment wrapText="1"/>
    </xf>
    <xf numFmtId="0" fontId="8" fillId="0" borderId="0" xfId="0" applyFont="1" applyAlignment="1" applyProtection="1">
      <alignment horizontal="justify" wrapText="1"/>
    </xf>
    <xf numFmtId="0" fontId="9" fillId="0" borderId="0" xfId="0" applyFont="1" applyAlignment="1" applyProtection="1">
      <alignment horizontal="justify" wrapText="1"/>
    </xf>
    <xf numFmtId="0" fontId="2" fillId="0" borderId="0" xfId="2" applyAlignment="1">
      <alignment horizontal="left"/>
    </xf>
    <xf numFmtId="0" fontId="2" fillId="0" borderId="0" xfId="2"/>
    <xf numFmtId="0" fontId="16" fillId="0" borderId="0" xfId="0" applyFont="1" applyAlignment="1">
      <alignment vertical="center"/>
    </xf>
    <xf numFmtId="0" fontId="5" fillId="0" borderId="0" xfId="0" applyFont="1" applyAlignment="1">
      <alignment horizontal="center" vertical="center"/>
    </xf>
    <xf numFmtId="0" fontId="11" fillId="0" borderId="0" xfId="0" applyFont="1" applyAlignment="1">
      <alignment vertical="center"/>
    </xf>
    <xf numFmtId="0" fontId="5" fillId="0" borderId="0" xfId="0" applyFont="1" applyAlignment="1">
      <alignment vertical="center"/>
    </xf>
    <xf numFmtId="0" fontId="5" fillId="0" borderId="8" xfId="0" applyFont="1" applyBorder="1" applyAlignment="1">
      <alignment horizontal="center" vertical="center"/>
    </xf>
    <xf numFmtId="0" fontId="5" fillId="0" borderId="10" xfId="0" applyFont="1" applyBorder="1" applyAlignment="1">
      <alignment horizontal="center" vertical="center"/>
    </xf>
    <xf numFmtId="0" fontId="5" fillId="0" borderId="11" xfId="0" applyFont="1" applyBorder="1" applyAlignment="1">
      <alignment vertical="center"/>
    </xf>
    <xf numFmtId="0" fontId="8" fillId="0" borderId="5" xfId="0" applyFont="1" applyBorder="1" applyAlignment="1">
      <alignment horizontal="center" vertical="center" wrapText="1"/>
    </xf>
    <xf numFmtId="0" fontId="8" fillId="0" borderId="5" xfId="0" applyFont="1" applyBorder="1" applyAlignment="1">
      <alignment vertical="center" wrapText="1"/>
    </xf>
    <xf numFmtId="0" fontId="8" fillId="0" borderId="9" xfId="0" applyFont="1" applyBorder="1" applyAlignment="1">
      <alignment horizontal="center" vertical="center" wrapText="1"/>
    </xf>
    <xf numFmtId="0" fontId="14" fillId="0" borderId="5" xfId="0" applyFont="1" applyBorder="1" applyAlignment="1">
      <alignment horizontal="center" vertical="center" wrapText="1"/>
    </xf>
    <xf numFmtId="0" fontId="8" fillId="0" borderId="1" xfId="0" applyFont="1" applyBorder="1" applyAlignment="1">
      <alignment vertical="center" wrapText="1"/>
    </xf>
    <xf numFmtId="0" fontId="8" fillId="0" borderId="6" xfId="0" applyFont="1" applyBorder="1" applyAlignment="1">
      <alignment horizontal="center" vertical="center" wrapText="1"/>
    </xf>
    <xf numFmtId="0" fontId="14" fillId="0" borderId="4" xfId="0" applyFont="1" applyBorder="1" applyAlignment="1">
      <alignment horizontal="center" vertical="center" wrapText="1"/>
    </xf>
    <xf numFmtId="0" fontId="8" fillId="0" borderId="12" xfId="0" applyFont="1" applyBorder="1" applyAlignment="1">
      <alignment vertical="center" wrapText="1"/>
    </xf>
    <xf numFmtId="0" fontId="8" fillId="0" borderId="4" xfId="0" applyFont="1" applyBorder="1" applyAlignment="1">
      <alignment horizontal="center" vertical="center" wrapText="1"/>
    </xf>
    <xf numFmtId="0" fontId="8" fillId="0" borderId="0" xfId="0" applyFont="1" applyAlignment="1">
      <alignment vertical="center" wrapText="1"/>
    </xf>
    <xf numFmtId="0" fontId="8" fillId="0" borderId="0" xfId="0" applyFont="1" applyAlignment="1">
      <alignment vertical="center"/>
    </xf>
    <xf numFmtId="0" fontId="17" fillId="0" borderId="0" xfId="0" applyFont="1" applyAlignment="1">
      <alignment horizontal="left" vertical="center"/>
    </xf>
    <xf numFmtId="0" fontId="5" fillId="12" borderId="0" xfId="0" applyFont="1" applyFill="1" applyAlignment="1">
      <alignment vertical="center"/>
    </xf>
    <xf numFmtId="0" fontId="8" fillId="12" borderId="0" xfId="0" applyFont="1" applyFill="1" applyAlignment="1">
      <alignment vertical="center" wrapText="1"/>
    </xf>
    <xf numFmtId="0" fontId="16" fillId="12" borderId="0" xfId="0" applyFont="1" applyFill="1" applyAlignment="1">
      <alignment vertical="center"/>
    </xf>
    <xf numFmtId="0" fontId="8" fillId="0" borderId="4" xfId="0" applyFont="1" applyBorder="1" applyAlignment="1">
      <alignment vertical="center" wrapText="1"/>
    </xf>
    <xf numFmtId="0" fontId="4" fillId="0" borderId="0" xfId="1" applyFill="1" applyAlignment="1" applyProtection="1"/>
    <xf numFmtId="0" fontId="5" fillId="2" borderId="6" xfId="0" applyFont="1" applyFill="1" applyBorder="1"/>
    <xf numFmtId="0" fontId="2" fillId="0" borderId="0" xfId="2" applyAlignment="1">
      <alignment wrapText="1"/>
    </xf>
    <xf numFmtId="0" fontId="1" fillId="0" borderId="5" xfId="2" applyFont="1" applyBorder="1" applyAlignment="1">
      <alignment horizontal="left" vertical="center" wrapText="1"/>
    </xf>
    <xf numFmtId="0" fontId="2" fillId="0" borderId="5" xfId="2" applyBorder="1" applyAlignment="1">
      <alignment horizontal="left" vertical="center" wrapText="1"/>
    </xf>
    <xf numFmtId="0" fontId="18" fillId="14" borderId="5" xfId="2" applyFont="1" applyFill="1" applyBorder="1" applyAlignment="1">
      <alignment horizontal="center" vertical="center" wrapText="1"/>
    </xf>
    <xf numFmtId="0" fontId="5" fillId="0" borderId="0" xfId="0" applyFont="1" applyAlignment="1" applyProtection="1">
      <alignment horizontal="right"/>
    </xf>
    <xf numFmtId="0" fontId="5" fillId="0" borderId="0" xfId="0" applyFont="1" applyAlignment="1" applyProtection="1">
      <alignment horizontal="right" wrapText="1"/>
    </xf>
    <xf numFmtId="0" fontId="19" fillId="0" borderId="0" xfId="0" applyFont="1"/>
    <xf numFmtId="0" fontId="20" fillId="0" borderId="4" xfId="0" applyFont="1" applyBorder="1" applyAlignment="1">
      <alignment vertical="center" wrapText="1"/>
    </xf>
    <xf numFmtId="0" fontId="8" fillId="0" borderId="0" xfId="0" applyFont="1"/>
    <xf numFmtId="0" fontId="21" fillId="0" borderId="0" xfId="0" applyFont="1"/>
    <xf numFmtId="1" fontId="19" fillId="0" borderId="0" xfId="0" applyNumberFormat="1" applyFont="1"/>
    <xf numFmtId="0" fontId="19" fillId="0" borderId="0" xfId="0" applyFont="1" applyAlignment="1" applyProtection="1"/>
    <xf numFmtId="0" fontId="8" fillId="0" borderId="0" xfId="0" applyFont="1" applyAlignment="1" applyProtection="1"/>
    <xf numFmtId="0" fontId="22" fillId="0" borderId="0" xfId="0" applyFont="1"/>
    <xf numFmtId="0" fontId="23" fillId="0" borderId="0" xfId="0" applyFont="1"/>
    <xf numFmtId="0" fontId="2" fillId="0" borderId="5" xfId="2" applyBorder="1" applyAlignment="1">
      <alignment horizontal="center" vertical="center" wrapText="1"/>
    </xf>
    <xf numFmtId="0" fontId="2" fillId="0" borderId="0" xfId="2" applyAlignment="1">
      <alignment horizontal="center" vertical="center" wrapText="1"/>
    </xf>
    <xf numFmtId="0" fontId="2" fillId="0" borderId="0" xfId="2" applyAlignment="1">
      <alignment horizontal="center" vertical="center"/>
    </xf>
    <xf numFmtId="14" fontId="27" fillId="0" borderId="5" xfId="0" applyNumberFormat="1" applyFont="1" applyBorder="1" applyAlignment="1"/>
    <xf numFmtId="0" fontId="26" fillId="0" borderId="0" xfId="0" applyFont="1" applyAlignment="1"/>
    <xf numFmtId="0" fontId="26" fillId="0" borderId="0" xfId="0" applyFont="1" applyAlignment="1" applyProtection="1"/>
    <xf numFmtId="14" fontId="26" fillId="2" borderId="1" xfId="0" applyNumberFormat="1" applyFont="1" applyFill="1" applyBorder="1" applyAlignment="1" applyProtection="1"/>
    <xf numFmtId="49" fontId="30" fillId="3" borderId="2" xfId="0" applyNumberFormat="1" applyFont="1" applyFill="1" applyBorder="1" applyAlignment="1" applyProtection="1">
      <alignment horizontal="center" vertical="center"/>
      <protection locked="0"/>
    </xf>
    <xf numFmtId="14" fontId="26" fillId="3" borderId="2" xfId="0" applyNumberFormat="1" applyFont="1" applyFill="1" applyBorder="1" applyAlignment="1" applyProtection="1">
      <alignment horizontal="center" vertical="center"/>
    </xf>
    <xf numFmtId="49" fontId="26" fillId="0" borderId="0" xfId="0" applyNumberFormat="1" applyFont="1" applyAlignment="1" applyProtection="1"/>
    <xf numFmtId="22" fontId="26" fillId="0" borderId="0" xfId="0" applyNumberFormat="1" applyFont="1" applyAlignment="1" applyProtection="1">
      <alignment horizontal="left"/>
    </xf>
    <xf numFmtId="0" fontId="26" fillId="0" borderId="0" xfId="0" applyFont="1" applyAlignment="1" applyProtection="1">
      <alignment horizontal="center"/>
    </xf>
    <xf numFmtId="0" fontId="26" fillId="2" borderId="1" xfId="0" applyFont="1" applyFill="1" applyBorder="1" applyAlignment="1" applyProtection="1"/>
    <xf numFmtId="0" fontId="26" fillId="3" borderId="2" xfId="0" applyNumberFormat="1" applyFont="1" applyFill="1" applyBorder="1" applyAlignment="1" applyProtection="1">
      <alignment horizontal="center" vertical="center"/>
    </xf>
    <xf numFmtId="0" fontId="26" fillId="0" borderId="0" xfId="0" applyFont="1" applyAlignment="1" applyProtection="1">
      <alignment horizontal="left"/>
    </xf>
    <xf numFmtId="0" fontId="26" fillId="0" borderId="0" xfId="0" applyFont="1" applyFill="1" applyBorder="1" applyAlignment="1" applyProtection="1"/>
    <xf numFmtId="0" fontId="26" fillId="3" borderId="3" xfId="0" applyNumberFormat="1" applyFont="1" applyFill="1" applyBorder="1" applyAlignment="1" applyProtection="1">
      <alignment horizontal="center" vertical="center"/>
      <protection locked="0"/>
    </xf>
    <xf numFmtId="0" fontId="31" fillId="0" borderId="0" xfId="0" applyFont="1" applyFill="1" applyAlignment="1" applyProtection="1"/>
    <xf numFmtId="0" fontId="26" fillId="2" borderId="12" xfId="0" applyFont="1" applyFill="1" applyBorder="1" applyAlignment="1" applyProtection="1"/>
    <xf numFmtId="1" fontId="26" fillId="3" borderId="15" xfId="0" applyNumberFormat="1" applyFont="1" applyFill="1" applyBorder="1" applyAlignment="1" applyProtection="1">
      <alignment horizontal="center" vertical="center"/>
    </xf>
    <xf numFmtId="0" fontId="33" fillId="0" borderId="0" xfId="0" applyFont="1"/>
    <xf numFmtId="0" fontId="34" fillId="0" borderId="0" xfId="0" applyFont="1"/>
    <xf numFmtId="0" fontId="24" fillId="2" borderId="5" xfId="0" applyFont="1" applyFill="1" applyBorder="1" applyAlignment="1">
      <alignment horizontal="center" vertical="center" wrapText="1" shrinkToFit="1"/>
    </xf>
    <xf numFmtId="0" fontId="24" fillId="2" borderId="5" xfId="0" applyFont="1" applyFill="1" applyBorder="1" applyAlignment="1">
      <alignment horizontal="center" vertical="center" wrapText="1"/>
    </xf>
    <xf numFmtId="0" fontId="24" fillId="4" borderId="5" xfId="0" applyFont="1" applyFill="1" applyBorder="1" applyAlignment="1">
      <alignment horizontal="center" vertical="center" wrapText="1" shrinkToFit="1"/>
    </xf>
    <xf numFmtId="0" fontId="25" fillId="13" borderId="5" xfId="0" applyFont="1" applyFill="1" applyBorder="1" applyAlignment="1">
      <alignment horizontal="center" vertical="center" wrapText="1"/>
    </xf>
    <xf numFmtId="0" fontId="25" fillId="11" borderId="5" xfId="0" applyFont="1" applyFill="1" applyBorder="1" applyAlignment="1">
      <alignment horizontal="center" vertical="center" wrapText="1"/>
    </xf>
    <xf numFmtId="49" fontId="27" fillId="0" borderId="5" xfId="0" applyNumberFormat="1" applyFont="1" applyBorder="1" applyAlignment="1"/>
    <xf numFmtId="0" fontId="27" fillId="0" borderId="5" xfId="0" applyFont="1" applyBorder="1" applyAlignment="1"/>
    <xf numFmtId="49" fontId="27" fillId="0" borderId="5" xfId="0" applyNumberFormat="1" applyFont="1" applyBorder="1" applyAlignment="1">
      <alignment horizontal="right"/>
    </xf>
    <xf numFmtId="49" fontId="27" fillId="0" borderId="5" xfId="0" applyNumberFormat="1" applyFont="1" applyBorder="1" applyAlignment="1">
      <alignment horizontal="center"/>
    </xf>
    <xf numFmtId="0" fontId="27" fillId="0" borderId="5" xfId="0" applyFont="1" applyBorder="1" applyAlignment="1">
      <alignment horizontal="center"/>
    </xf>
    <xf numFmtId="1" fontId="27" fillId="0" borderId="5" xfId="0" applyNumberFormat="1" applyFont="1" applyBorder="1" applyAlignment="1">
      <alignment horizontal="center"/>
    </xf>
    <xf numFmtId="49" fontId="29" fillId="15" borderId="0" xfId="0" applyNumberFormat="1" applyFont="1" applyFill="1" applyBorder="1" applyAlignment="1"/>
    <xf numFmtId="0" fontId="26" fillId="0" borderId="0" xfId="0" applyFont="1" applyBorder="1" applyAlignment="1"/>
    <xf numFmtId="0" fontId="24" fillId="2" borderId="0" xfId="0" applyFont="1" applyFill="1" applyBorder="1" applyAlignment="1">
      <alignment horizontal="center" vertical="center" wrapText="1" shrinkToFit="1"/>
    </xf>
    <xf numFmtId="0" fontId="26" fillId="0" borderId="0" xfId="0" applyFont="1" applyBorder="1" applyAlignment="1">
      <alignment wrapText="1"/>
    </xf>
    <xf numFmtId="49" fontId="27" fillId="0" borderId="0" xfId="0" applyNumberFormat="1" applyFont="1" applyBorder="1" applyAlignment="1"/>
    <xf numFmtId="0" fontId="25" fillId="11" borderId="5" xfId="0" applyNumberFormat="1" applyFont="1" applyFill="1" applyBorder="1" applyAlignment="1">
      <alignment horizontal="center" vertical="center" wrapText="1"/>
    </xf>
    <xf numFmtId="0" fontId="26" fillId="0" borderId="5" xfId="0" applyFont="1" applyBorder="1" applyAlignment="1">
      <alignment wrapText="1"/>
    </xf>
    <xf numFmtId="164" fontId="27" fillId="0" borderId="5" xfId="0" applyNumberFormat="1" applyFont="1" applyBorder="1" applyAlignment="1"/>
    <xf numFmtId="0" fontId="28" fillId="0" borderId="5" xfId="0" applyFont="1" applyBorder="1" applyAlignment="1"/>
    <xf numFmtId="0" fontId="26" fillId="0" borderId="5" xfId="0" applyFont="1" applyBorder="1" applyAlignment="1"/>
    <xf numFmtId="0" fontId="32" fillId="4" borderId="12" xfId="0" applyFont="1" applyFill="1" applyBorder="1" applyAlignment="1" applyProtection="1">
      <alignment horizontal="center" shrinkToFit="1"/>
    </xf>
    <xf numFmtId="0" fontId="32" fillId="4" borderId="14" xfId="0" applyFont="1" applyFill="1" applyBorder="1" applyAlignment="1" applyProtection="1">
      <alignment horizontal="center" shrinkToFit="1"/>
    </xf>
    <xf numFmtId="0" fontId="32" fillId="4" borderId="6" xfId="0" applyFont="1" applyFill="1" applyBorder="1" applyAlignment="1" applyProtection="1">
      <alignment horizontal="center" shrinkToFit="1"/>
    </xf>
    <xf numFmtId="0" fontId="15" fillId="11" borderId="5" xfId="0" applyFont="1" applyFill="1" applyBorder="1" applyAlignment="1">
      <alignment horizontal="center" vertical="center"/>
    </xf>
    <xf numFmtId="0" fontId="15" fillId="10" borderId="5" xfId="0" applyFont="1" applyFill="1" applyBorder="1" applyAlignment="1">
      <alignment horizontal="center" vertical="center"/>
    </xf>
    <xf numFmtId="49" fontId="27" fillId="0" borderId="5" xfId="0" applyNumberFormat="1" applyFont="1" applyBorder="1" applyAlignment="1">
      <alignment wrapText="1"/>
    </xf>
  </cellXfs>
  <cellStyles count="3">
    <cellStyle name="Hyperlink" xfId="1" builtinId="8"/>
    <cellStyle name="Normal" xfId="0" builtinId="0"/>
    <cellStyle name="Normal 2" xfId="2" xr:uid="{00000000-0005-0000-0000-000002000000}"/>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MS Reference Sans Serif"/>
        <scheme val="none"/>
      </font>
    </dxf>
    <dxf>
      <font>
        <strike val="0"/>
        <outline val="0"/>
        <shadow val="0"/>
        <u val="none"/>
        <vertAlign val="baseline"/>
        <sz val="10"/>
      </font>
    </dxf>
    <dxf>
      <font>
        <strike val="0"/>
        <outline val="0"/>
        <shadow val="0"/>
        <u val="none"/>
        <vertAlign val="baseline"/>
        <sz val="10"/>
      </font>
    </dxf>
    <dxf>
      <font>
        <strike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alignment horizontal="general" vertical="center" textRotation="0" wrapText="0" indent="0" justifyLastLine="0" shrinkToFit="0" readingOrder="0"/>
    </dxf>
    <dxf>
      <font>
        <strike val="0"/>
        <outline val="0"/>
        <shadow val="0"/>
        <u val="none"/>
        <vertAlign val="baseline"/>
        <color auto="1"/>
        <name val="Arial"/>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dxf>
    <dxf>
      <border>
        <bottom style="thin">
          <color indexed="64"/>
        </bottom>
      </border>
    </dxf>
    <dxf>
      <font>
        <strike val="0"/>
        <outline val="0"/>
        <shadow val="0"/>
        <u val="none"/>
        <vertAlign val="baseline"/>
        <color auto="1"/>
        <name val="Arial"/>
        <scheme val="none"/>
      </font>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xdr:colOff>
          <xdr:row>1</xdr:row>
          <xdr:rowOff>57150</xdr:rowOff>
        </xdr:from>
        <xdr:to>
          <xdr:col>10</xdr:col>
          <xdr:colOff>1543050</xdr:colOff>
          <xdr:row>2</xdr:row>
          <xdr:rowOff>200025</xdr:rowOff>
        </xdr:to>
        <xdr:sp macro="" textlink="">
          <xdr:nvSpPr>
            <xdr:cNvPr id="8213" name="CommandButton2" hidden="1">
              <a:extLst>
                <a:ext uri="{63B3BB69-23CF-44E3-9099-C40C66FF867C}">
                  <a14:compatExt spid="_x0000_s8213"/>
                </a:ext>
                <a:ext uri="{FF2B5EF4-FFF2-40B4-BE49-F238E27FC236}">
                  <a16:creationId xmlns:a16="http://schemas.microsoft.com/office/drawing/2014/main" id="{00000000-0008-0000-00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1638300</xdr:colOff>
          <xdr:row>3</xdr:row>
          <xdr:rowOff>31750</xdr:rowOff>
        </xdr:from>
        <xdr:to>
          <xdr:col>13</xdr:col>
          <xdr:colOff>276225</xdr:colOff>
          <xdr:row>4</xdr:row>
          <xdr:rowOff>161925</xdr:rowOff>
        </xdr:to>
        <xdr:sp macro="" textlink="">
          <xdr:nvSpPr>
            <xdr:cNvPr id="8214" name="CommandButton3"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38100</xdr:rowOff>
        </xdr:from>
        <xdr:to>
          <xdr:col>10</xdr:col>
          <xdr:colOff>1590675</xdr:colOff>
          <xdr:row>4</xdr:row>
          <xdr:rowOff>200025</xdr:rowOff>
        </xdr:to>
        <xdr:sp macro="" textlink="">
          <xdr:nvSpPr>
            <xdr:cNvPr id="8264" name="CommandButton4" hidden="1">
              <a:extLst>
                <a:ext uri="{63B3BB69-23CF-44E3-9099-C40C66FF867C}">
                  <a14:compatExt spid="_x0000_s8264"/>
                </a:ext>
                <a:ext uri="{FF2B5EF4-FFF2-40B4-BE49-F238E27FC236}">
                  <a16:creationId xmlns:a16="http://schemas.microsoft.com/office/drawing/2014/main" id="{00000000-0008-0000-0000-00004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1631950</xdr:colOff>
          <xdr:row>1</xdr:row>
          <xdr:rowOff>57150</xdr:rowOff>
        </xdr:from>
        <xdr:to>
          <xdr:col>13</xdr:col>
          <xdr:colOff>266700</xdr:colOff>
          <xdr:row>2</xdr:row>
          <xdr:rowOff>190500</xdr:rowOff>
        </xdr:to>
        <xdr:sp macro="" textlink="">
          <xdr:nvSpPr>
            <xdr:cNvPr id="8294" name="CommandButton1" hidden="1">
              <a:extLst>
                <a:ext uri="{63B3BB69-23CF-44E3-9099-C40C66FF867C}">
                  <a14:compatExt spid="_x0000_s8294"/>
                </a:ext>
                <a:ext uri="{FF2B5EF4-FFF2-40B4-BE49-F238E27FC236}">
                  <a16:creationId xmlns:a16="http://schemas.microsoft.com/office/drawing/2014/main" id="{00000000-0008-0000-0000-00006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0</xdr:row>
          <xdr:rowOff>0</xdr:rowOff>
        </xdr:from>
        <xdr:to>
          <xdr:col>3</xdr:col>
          <xdr:colOff>0</xdr:colOff>
          <xdr:row>0</xdr:row>
          <xdr:rowOff>219075</xdr:rowOff>
        </xdr:to>
        <xdr:sp macro="" textlink="">
          <xdr:nvSpPr>
            <xdr:cNvPr id="8299" name="ComboBox1" hidden="1">
              <a:extLst>
                <a:ext uri="{63B3BB69-23CF-44E3-9099-C40C66FF867C}">
                  <a14:compatExt spid="_x0000_s8299"/>
                </a:ext>
                <a:ext uri="{FF2B5EF4-FFF2-40B4-BE49-F238E27FC236}">
                  <a16:creationId xmlns:a16="http://schemas.microsoft.com/office/drawing/2014/main" id="{00000000-0008-0000-0000-00006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2</xdr:col>
      <xdr:colOff>254467</xdr:colOff>
      <xdr:row>27</xdr:row>
      <xdr:rowOff>0</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976563"/>
          <a:ext cx="7517280" cy="481210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D3:F25" totalsRowShown="0" headerRowDxfId="20" dataDxfId="18" headerRowBorderDxfId="19" tableBorderDxfId="17" totalsRowBorderDxfId="16">
  <tableColumns count="3">
    <tableColumn id="1" xr3:uid="{00000000-0010-0000-0000-000001000000}" name="#" dataDxfId="15"/>
    <tableColumn id="2" xr3:uid="{00000000-0010-0000-0000-000002000000}" name="Name" dataDxfId="14"/>
    <tableColumn id="3" xr3:uid="{00000000-0010-0000-0000-000003000000}" name="Description" dataDxfId="1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3:B11" totalsRowShown="0" headerRowDxfId="12" dataDxfId="11">
  <tableColumns count="2">
    <tableColumn id="1" xr3:uid="{00000000-0010-0000-0100-000001000000}" name="#" dataDxfId="10"/>
    <tableColumn id="2" xr3:uid="{00000000-0010-0000-0100-000002000000}" name="General Guidelines" dataDxfId="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N4:Q99" totalsRowShown="0" headerRowDxfId="8" dataDxfId="7">
  <autoFilter ref="N4:Q99" xr:uid="{00000000-0009-0000-0100-000003000000}"/>
  <sortState xmlns:xlrd2="http://schemas.microsoft.com/office/spreadsheetml/2017/richdata2" ref="N5:Q99">
    <sortCondition ref="N4:N99"/>
  </sortState>
  <tableColumns count="4">
    <tableColumn id="1" xr3:uid="{00000000-0010-0000-0200-000001000000}" name="vslName" dataDxfId="6"/>
    <tableColumn id="2" xr3:uid="{00000000-0010-0000-0200-000002000000}" name="IMO" dataDxfId="5"/>
    <tableColumn id="3" xr3:uid="{00000000-0010-0000-0200-000003000000}" name="threeCode" dataDxfId="4"/>
    <tableColumn id="4" xr3:uid="{00000000-0010-0000-0200-000004000000}" name="DRSCode" dataDxfId="3"/>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file:///\\ORCASVR-101\shares\drsapp\Incoming" TargetMode="External"/><Relationship Id="rId1" Type="http://schemas.openxmlformats.org/officeDocument/2006/relationships/hyperlink" Target="file:///\\mms_svr01\DRsender\DRSendApp\script.bat" TargetMode="Externa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Z21"/>
  <sheetViews>
    <sheetView showGridLines="0" tabSelected="1" topLeftCell="AM1" zoomScaleNormal="100" workbookViewId="0">
      <pane ySplit="6" topLeftCell="A8" activePane="bottomLeft" state="frozen"/>
      <selection pane="bottomLeft" activeCell="B8" sqref="B8:CW8"/>
    </sheetView>
  </sheetViews>
  <sheetFormatPr defaultColWidth="9" defaultRowHeight="15" customHeight="1"/>
  <cols>
    <col min="1" max="1" width="16.36328125" style="88" hidden="1" customWidth="1"/>
    <col min="2" max="2" width="11.90625" style="88" customWidth="1"/>
    <col min="3" max="3" width="20.26953125" style="88" customWidth="1"/>
    <col min="4" max="4" width="14.90625" style="88" customWidth="1"/>
    <col min="5" max="5" width="6.7265625" style="88" hidden="1" customWidth="1"/>
    <col min="6" max="6" width="9.36328125" style="88" hidden="1" customWidth="1"/>
    <col min="7" max="7" width="11.453125" style="88" customWidth="1"/>
    <col min="8" max="8" width="16" style="88" customWidth="1"/>
    <col min="9" max="9" width="19.6328125" style="88" customWidth="1"/>
    <col min="10" max="10" width="8.6328125" style="88" customWidth="1"/>
    <col min="11" max="11" width="31.453125" style="88" customWidth="1"/>
    <col min="12" max="12" width="15.26953125" style="88" hidden="1" customWidth="1"/>
    <col min="13" max="13" width="9" style="88" customWidth="1"/>
    <col min="14" max="14" width="43" style="88" customWidth="1"/>
    <col min="15" max="15" width="33.453125" style="88" customWidth="1"/>
    <col min="16" max="16" width="11.453125" style="88" customWidth="1"/>
    <col min="17" max="17" width="13.26953125" style="88" customWidth="1"/>
    <col min="18" max="18" width="9.6328125" style="88" bestFit="1" customWidth="1"/>
    <col min="19" max="19" width="21.453125" style="88" customWidth="1"/>
    <col min="20" max="20" width="12.90625" style="88" customWidth="1"/>
    <col min="21" max="23" width="9" style="88" customWidth="1"/>
    <col min="24" max="24" width="21.453125" style="88" customWidth="1"/>
    <col min="25" max="25" width="11.08984375" style="88" customWidth="1"/>
    <col min="26" max="26" width="10.453125" style="88" customWidth="1"/>
    <col min="27" max="27" width="16.90625" style="88" customWidth="1"/>
    <col min="28" max="28" width="23.453125" style="88" customWidth="1"/>
    <col min="29" max="29" width="13.453125" style="88" customWidth="1"/>
    <col min="30" max="30" width="9" style="88" customWidth="1"/>
    <col min="31" max="31" width="11.453125" style="88" customWidth="1"/>
    <col min="32" max="33" width="11" style="88" hidden="1" customWidth="1"/>
    <col min="34" max="34" width="11" style="88" customWidth="1"/>
    <col min="35" max="35" width="11.26953125" style="88" customWidth="1"/>
    <col min="36" max="36" width="11.6328125" style="88" customWidth="1"/>
    <col min="37" max="37" width="15.08984375" style="88" customWidth="1"/>
    <col min="38" max="38" width="15.453125" style="88" customWidth="1"/>
    <col min="39" max="39" width="20.453125" style="88" customWidth="1"/>
    <col min="40" max="40" width="11.26953125" style="88" customWidth="1"/>
    <col min="41" max="42" width="11" style="88" customWidth="1"/>
    <col min="43" max="43" width="14.453125" style="88" customWidth="1"/>
    <col min="44" max="47" width="11" style="88" customWidth="1"/>
    <col min="48" max="48" width="12.6328125" style="88" customWidth="1"/>
    <col min="49" max="49" width="12.453125" style="88" hidden="1" customWidth="1"/>
    <col min="50" max="50" width="14" style="88" hidden="1" customWidth="1"/>
    <col min="51" max="51" width="11" style="88" hidden="1" customWidth="1"/>
    <col min="52" max="52" width="11.453125" style="88" hidden="1" customWidth="1"/>
    <col min="53" max="53" width="11.26953125" style="88" hidden="1" customWidth="1"/>
    <col min="54" max="54" width="11" style="88" hidden="1" customWidth="1"/>
    <col min="55" max="55" width="12.453125" style="88" hidden="1" customWidth="1"/>
    <col min="56" max="56" width="15.26953125" style="88" hidden="1" customWidth="1"/>
    <col min="57" max="57" width="12.90625" style="88" hidden="1" customWidth="1"/>
    <col min="58" max="59" width="11" style="88" hidden="1" customWidth="1"/>
    <col min="60" max="60" width="12.453125" style="88" hidden="1" customWidth="1"/>
    <col min="61" max="63" width="11" style="88" hidden="1" customWidth="1"/>
    <col min="64" max="64" width="25.26953125" style="88" hidden="1" customWidth="1"/>
    <col min="65" max="65" width="13.6328125" style="88" hidden="1" customWidth="1"/>
    <col min="66" max="66" width="13.453125" style="88" hidden="1" customWidth="1"/>
    <col min="67" max="68" width="11.6328125" style="88" hidden="1" customWidth="1"/>
    <col min="69" max="69" width="11.26953125" style="88" hidden="1" customWidth="1"/>
    <col min="70" max="70" width="10" style="88" hidden="1" customWidth="1"/>
    <col min="71" max="74" width="9" style="88" hidden="1" customWidth="1"/>
    <col min="75" max="75" width="11.453125" style="88" hidden="1" customWidth="1"/>
    <col min="76" max="76" width="9" style="88" hidden="1" customWidth="1"/>
    <col min="77" max="77" width="10.90625" style="88" hidden="1" customWidth="1"/>
    <col min="78" max="78" width="8.453125" style="88" hidden="1" customWidth="1"/>
    <col min="79" max="81" width="10.453125" style="88" hidden="1" customWidth="1"/>
    <col min="82" max="99" width="9.90625" style="88" hidden="1" customWidth="1"/>
    <col min="100" max="100" width="13.6328125" style="88" hidden="1" customWidth="1"/>
    <col min="101" max="132" width="9" style="88" customWidth="1"/>
    <col min="133" max="133" width="38.6328125" style="88" customWidth="1"/>
    <col min="134" max="16384" width="9" style="88"/>
  </cols>
  <sheetData>
    <row r="1" spans="1:104" ht="18" customHeight="1" thickBot="1">
      <c r="A1" s="89"/>
      <c r="B1" s="90" t="s">
        <v>799</v>
      </c>
      <c r="C1" s="91" t="s">
        <v>711</v>
      </c>
      <c r="D1" s="92" t="str">
        <f>VLOOKUP(C1,vesseldata,3,FALSE)</f>
        <v>ADA</v>
      </c>
      <c r="E1" s="89"/>
      <c r="F1" s="89"/>
      <c r="G1" s="89"/>
      <c r="H1" s="93" t="s">
        <v>296</v>
      </c>
      <c r="I1" s="94">
        <v>44464.803206018521</v>
      </c>
      <c r="J1" s="89"/>
      <c r="K1" s="94" t="s">
        <v>1094</v>
      </c>
      <c r="L1" s="89"/>
      <c r="M1" s="89" t="s">
        <v>1093</v>
      </c>
      <c r="N1" s="89"/>
      <c r="O1" s="89"/>
      <c r="P1" s="89"/>
      <c r="Q1" s="89"/>
      <c r="R1" s="89"/>
      <c r="S1" s="89"/>
      <c r="T1" s="89"/>
      <c r="U1" s="89"/>
      <c r="V1" s="89"/>
      <c r="W1" s="89"/>
      <c r="X1" s="89"/>
      <c r="Y1" s="89"/>
      <c r="Z1" s="89"/>
      <c r="AA1" s="89"/>
      <c r="AB1" s="89"/>
      <c r="AC1" s="89"/>
      <c r="AD1" s="89"/>
      <c r="AE1" s="89"/>
      <c r="AF1" s="89"/>
      <c r="AG1" s="89"/>
      <c r="AH1" s="95"/>
      <c r="AI1" s="95"/>
      <c r="AJ1" s="95"/>
      <c r="AK1" s="95"/>
      <c r="AL1" s="95"/>
      <c r="AM1" s="95"/>
      <c r="AN1" s="95"/>
      <c r="AO1" s="95"/>
      <c r="AP1" s="95"/>
      <c r="AQ1" s="95"/>
      <c r="AR1" s="95"/>
      <c r="AS1" s="95"/>
      <c r="AT1" s="95"/>
      <c r="AU1" s="89"/>
      <c r="AV1" s="89"/>
      <c r="AW1" s="89"/>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row>
    <row r="2" spans="1:104" ht="18" customHeight="1" thickBot="1">
      <c r="A2" s="89"/>
      <c r="B2" s="96" t="s">
        <v>297</v>
      </c>
      <c r="C2" s="97" t="str">
        <f>VLOOKUP($C$1,vesseldata,4,FALSE)</f>
        <v>TP2019004</v>
      </c>
      <c r="D2" s="89"/>
      <c r="E2" s="89"/>
      <c r="F2" s="89"/>
      <c r="G2" s="89"/>
      <c r="H2" s="93"/>
      <c r="I2" s="98"/>
      <c r="J2" s="89"/>
      <c r="K2" s="99"/>
      <c r="L2" s="99"/>
      <c r="M2" s="99"/>
      <c r="N2" s="99"/>
      <c r="O2" s="89"/>
      <c r="P2" s="89"/>
      <c r="Q2" s="89"/>
      <c r="R2" s="89"/>
      <c r="S2" s="89"/>
      <c r="T2" s="89"/>
      <c r="U2" s="89"/>
      <c r="V2" s="89"/>
      <c r="W2" s="89"/>
      <c r="X2" s="89"/>
      <c r="Y2" s="89"/>
      <c r="Z2" s="89"/>
      <c r="AA2" s="89"/>
      <c r="AB2" s="89"/>
      <c r="AC2" s="89"/>
      <c r="AD2" s="89"/>
      <c r="AE2" s="89"/>
      <c r="AF2" s="89"/>
      <c r="AG2" s="89"/>
      <c r="AH2" s="95"/>
      <c r="AI2" s="95"/>
      <c r="AJ2" s="95"/>
      <c r="AK2" s="95"/>
      <c r="AL2" s="95"/>
      <c r="AM2" s="95"/>
      <c r="AN2" s="95"/>
      <c r="AO2" s="95"/>
      <c r="AP2" s="95"/>
      <c r="AQ2" s="95"/>
      <c r="AR2" s="95"/>
      <c r="AS2" s="95"/>
      <c r="AT2" s="95"/>
      <c r="AU2" s="89"/>
      <c r="AV2" s="89"/>
      <c r="AW2" s="89"/>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row>
    <row r="3" spans="1:104" ht="18" customHeight="1" thickBot="1">
      <c r="A3" s="89"/>
      <c r="B3" s="96" t="s">
        <v>298</v>
      </c>
      <c r="C3" s="92">
        <f ca="1">TODAY()</f>
        <v>44650</v>
      </c>
      <c r="D3" s="89"/>
      <c r="E3" s="89"/>
      <c r="F3" s="89"/>
      <c r="G3" s="89"/>
      <c r="H3" s="93" t="s">
        <v>299</v>
      </c>
      <c r="I3" s="94"/>
      <c r="J3" s="89"/>
      <c r="K3" s="99"/>
      <c r="L3" s="99"/>
      <c r="M3" s="99"/>
      <c r="N3" s="99"/>
      <c r="O3" s="89"/>
      <c r="P3" s="89"/>
      <c r="Q3" s="89"/>
      <c r="R3" s="89"/>
      <c r="S3" s="89"/>
      <c r="T3" s="89"/>
      <c r="U3" s="89"/>
      <c r="V3" s="89"/>
      <c r="W3" s="89"/>
      <c r="X3" s="89"/>
      <c r="Y3" s="89"/>
      <c r="Z3" s="89"/>
      <c r="AA3" s="89"/>
      <c r="AB3" s="89"/>
      <c r="AC3" s="89"/>
      <c r="AD3" s="89"/>
      <c r="AE3" s="89"/>
      <c r="AF3" s="89"/>
      <c r="AG3" s="89"/>
      <c r="AH3" s="95"/>
      <c r="AI3" s="95"/>
      <c r="AJ3" s="95"/>
      <c r="AK3" s="95"/>
      <c r="AL3" s="95"/>
      <c r="AM3" s="95"/>
      <c r="AN3" s="95"/>
      <c r="AO3" s="95"/>
      <c r="AP3" s="95"/>
      <c r="AQ3" s="95"/>
      <c r="AR3" s="95"/>
      <c r="AS3" s="95"/>
      <c r="AT3" s="95"/>
      <c r="AU3" s="89"/>
      <c r="AV3" s="89"/>
      <c r="AW3" s="89"/>
      <c r="AX3" s="89"/>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row>
    <row r="4" spans="1:104" ht="18" customHeight="1" thickBot="1">
      <c r="A4" s="89"/>
      <c r="B4" s="96" t="s">
        <v>300</v>
      </c>
      <c r="C4" s="100"/>
      <c r="D4" s="89"/>
      <c r="E4" s="89"/>
      <c r="F4" s="89"/>
      <c r="G4" s="89"/>
      <c r="H4" s="89"/>
      <c r="I4" s="89"/>
      <c r="J4" s="89"/>
      <c r="K4" s="99"/>
      <c r="L4" s="99"/>
      <c r="M4" s="99"/>
      <c r="N4" s="99"/>
      <c r="O4" s="89"/>
      <c r="P4" s="89"/>
      <c r="Q4" s="89"/>
      <c r="R4" s="89"/>
      <c r="S4" s="89"/>
      <c r="T4" s="89"/>
      <c r="U4" s="89"/>
      <c r="V4" s="89"/>
      <c r="W4" s="89"/>
      <c r="X4" s="89"/>
      <c r="Y4" s="89"/>
      <c r="Z4" s="89"/>
      <c r="AA4" s="89"/>
      <c r="AB4" s="89"/>
      <c r="AC4" s="89"/>
      <c r="AD4" s="89"/>
      <c r="AE4" s="89"/>
      <c r="AF4" s="89"/>
      <c r="AG4" s="89"/>
      <c r="AH4" s="95"/>
      <c r="AI4" s="95"/>
      <c r="AJ4" s="95"/>
      <c r="AK4" s="95"/>
      <c r="AL4" s="95"/>
      <c r="AM4" s="95"/>
      <c r="AN4" s="95"/>
      <c r="AO4" s="95"/>
      <c r="AP4" s="95"/>
      <c r="AQ4" s="95"/>
      <c r="AR4" s="95"/>
      <c r="AS4" s="95"/>
      <c r="AT4" s="95"/>
      <c r="AU4" s="89"/>
      <c r="AV4" s="89"/>
      <c r="AW4" s="89"/>
      <c r="AX4" s="89"/>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101"/>
      <c r="CG4" s="101"/>
      <c r="CH4" s="89"/>
      <c r="CI4" s="89"/>
      <c r="CJ4" s="89"/>
      <c r="CK4" s="89"/>
      <c r="CL4" s="89"/>
      <c r="CM4" s="89"/>
      <c r="CN4" s="89"/>
      <c r="CO4" s="89"/>
      <c r="CP4" s="89"/>
      <c r="CQ4" s="89"/>
      <c r="CR4" s="89"/>
      <c r="CS4" s="89"/>
      <c r="CT4" s="89"/>
      <c r="CU4" s="89"/>
      <c r="CV4" s="89"/>
    </row>
    <row r="5" spans="1:104" ht="18" customHeight="1">
      <c r="A5" s="89"/>
      <c r="B5" s="102" t="s">
        <v>481</v>
      </c>
      <c r="C5" s="103">
        <f>VLOOKUP($C$1,vesseldata,2,FALSE)</f>
        <v>9382061</v>
      </c>
      <c r="D5" s="89"/>
      <c r="E5" s="89"/>
      <c r="F5" s="89"/>
      <c r="G5" s="89"/>
      <c r="H5" s="89"/>
      <c r="I5" s="89"/>
      <c r="J5" s="89"/>
      <c r="K5" s="99"/>
      <c r="L5" s="99"/>
      <c r="M5" s="99"/>
      <c r="N5" s="99"/>
      <c r="O5" s="89"/>
      <c r="P5" s="89"/>
      <c r="Q5" s="89"/>
      <c r="R5" s="89"/>
      <c r="S5" s="89"/>
      <c r="T5" s="89"/>
      <c r="U5" s="89"/>
      <c r="V5" s="89"/>
      <c r="W5" s="89"/>
      <c r="X5" s="127" t="s">
        <v>301</v>
      </c>
      <c r="Y5" s="128"/>
      <c r="Z5" s="128"/>
      <c r="AA5" s="128"/>
      <c r="AB5" s="128"/>
      <c r="AC5" s="128"/>
      <c r="AD5" s="128"/>
      <c r="AE5" s="129"/>
      <c r="AF5" s="89"/>
      <c r="AG5" s="89"/>
      <c r="AH5" s="95"/>
      <c r="AI5" s="95"/>
      <c r="AJ5" s="95"/>
      <c r="AK5" s="95"/>
      <c r="AL5" s="95"/>
      <c r="AM5" s="95"/>
      <c r="AN5" s="95"/>
      <c r="AO5" s="95"/>
      <c r="AP5" s="95"/>
      <c r="AQ5" s="95"/>
      <c r="AR5" s="95"/>
      <c r="AS5" s="95"/>
      <c r="AT5" s="95"/>
      <c r="AU5" s="89"/>
      <c r="AV5" s="89"/>
      <c r="AW5" s="89"/>
      <c r="AX5" s="89"/>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row>
    <row r="6" spans="1:104" s="120" customFormat="1" ht="24.75" customHeight="1">
      <c r="A6" s="119" t="s">
        <v>302</v>
      </c>
      <c r="B6" s="106" t="s">
        <v>303</v>
      </c>
      <c r="C6" s="106" t="s">
        <v>304</v>
      </c>
      <c r="D6" s="106" t="s">
        <v>305</v>
      </c>
      <c r="E6" s="106" t="s">
        <v>497</v>
      </c>
      <c r="F6" s="106" t="s">
        <v>498</v>
      </c>
      <c r="G6" s="106" t="s">
        <v>306</v>
      </c>
      <c r="H6" s="106" t="s">
        <v>307</v>
      </c>
      <c r="I6" s="106" t="s">
        <v>308</v>
      </c>
      <c r="J6" s="106" t="s">
        <v>500</v>
      </c>
      <c r="K6" s="106" t="s">
        <v>309</v>
      </c>
      <c r="L6" s="106" t="s">
        <v>891</v>
      </c>
      <c r="M6" s="107" t="s">
        <v>954</v>
      </c>
      <c r="N6" s="106" t="s">
        <v>311</v>
      </c>
      <c r="O6" s="106" t="s">
        <v>312</v>
      </c>
      <c r="P6" s="106" t="s">
        <v>313</v>
      </c>
      <c r="Q6" s="106" t="s">
        <v>314</v>
      </c>
      <c r="R6" s="106" t="s">
        <v>315</v>
      </c>
      <c r="S6" s="106" t="s">
        <v>316</v>
      </c>
      <c r="T6" s="106" t="s">
        <v>317</v>
      </c>
      <c r="U6" s="106" t="s">
        <v>318</v>
      </c>
      <c r="V6" s="106" t="s">
        <v>319</v>
      </c>
      <c r="W6" s="106" t="s">
        <v>320</v>
      </c>
      <c r="X6" s="108" t="s">
        <v>321</v>
      </c>
      <c r="Y6" s="108" t="s">
        <v>322</v>
      </c>
      <c r="Z6" s="108" t="s">
        <v>893</v>
      </c>
      <c r="AA6" s="108" t="s">
        <v>323</v>
      </c>
      <c r="AB6" s="108" t="s">
        <v>324</v>
      </c>
      <c r="AC6" s="108" t="s">
        <v>325</v>
      </c>
      <c r="AD6" s="108" t="s">
        <v>326</v>
      </c>
      <c r="AE6" s="108" t="s">
        <v>955</v>
      </c>
      <c r="AF6" s="109" t="s">
        <v>499</v>
      </c>
      <c r="AG6" s="109" t="s">
        <v>892</v>
      </c>
      <c r="AH6" s="110" t="s">
        <v>890</v>
      </c>
      <c r="AI6" s="110" t="s">
        <v>482</v>
      </c>
      <c r="AJ6" s="110" t="s">
        <v>508</v>
      </c>
      <c r="AK6" s="110" t="s">
        <v>483</v>
      </c>
      <c r="AL6" s="110" t="s">
        <v>490</v>
      </c>
      <c r="AM6" s="110" t="s">
        <v>489</v>
      </c>
      <c r="AN6" s="110" t="s">
        <v>484</v>
      </c>
      <c r="AO6" s="110" t="s">
        <v>485</v>
      </c>
      <c r="AP6" s="110" t="s">
        <v>486</v>
      </c>
      <c r="AQ6" s="110" t="s">
        <v>487</v>
      </c>
      <c r="AR6" s="110" t="s">
        <v>488</v>
      </c>
      <c r="AS6" s="110" t="s">
        <v>342</v>
      </c>
      <c r="AT6" s="110" t="s">
        <v>492</v>
      </c>
      <c r="AU6" s="110" t="s">
        <v>491</v>
      </c>
      <c r="AV6" s="110" t="s">
        <v>493</v>
      </c>
      <c r="AW6" s="110" t="s">
        <v>494</v>
      </c>
      <c r="AX6" s="110" t="s">
        <v>495</v>
      </c>
      <c r="AY6" s="110" t="s">
        <v>496</v>
      </c>
      <c r="AZ6" s="110" t="s">
        <v>501</v>
      </c>
      <c r="BA6" s="110" t="s">
        <v>895</v>
      </c>
      <c r="BB6" s="110" t="s">
        <v>754</v>
      </c>
      <c r="BC6" s="110" t="s">
        <v>502</v>
      </c>
      <c r="BD6" s="110" t="s">
        <v>504</v>
      </c>
      <c r="BE6" s="110" t="s">
        <v>503</v>
      </c>
      <c r="BF6" s="110" t="s">
        <v>506</v>
      </c>
      <c r="BG6" s="110" t="s">
        <v>507</v>
      </c>
      <c r="BH6" s="110" t="s">
        <v>509</v>
      </c>
      <c r="BI6" s="110" t="s">
        <v>570</v>
      </c>
      <c r="BJ6" s="110" t="s">
        <v>585</v>
      </c>
      <c r="BK6" s="110" t="s">
        <v>626</v>
      </c>
      <c r="BL6" s="110" t="s">
        <v>855</v>
      </c>
      <c r="BM6" s="110" t="s">
        <v>856</v>
      </c>
      <c r="BN6" s="110" t="s">
        <v>880</v>
      </c>
      <c r="BO6" s="110" t="s">
        <v>881</v>
      </c>
      <c r="BP6" s="110" t="s">
        <v>961</v>
      </c>
      <c r="BQ6" s="110" t="s">
        <v>882</v>
      </c>
      <c r="BR6" s="110" t="s">
        <v>883</v>
      </c>
      <c r="BS6" s="110" t="s">
        <v>884</v>
      </c>
      <c r="BT6" s="110" t="s">
        <v>885</v>
      </c>
      <c r="BU6" s="110" t="s">
        <v>960</v>
      </c>
      <c r="BV6" s="110" t="s">
        <v>886</v>
      </c>
      <c r="BW6" s="110" t="s">
        <v>887</v>
      </c>
      <c r="BX6" s="110" t="s">
        <v>889</v>
      </c>
      <c r="BY6" s="110" t="s">
        <v>888</v>
      </c>
      <c r="BZ6" s="110" t="s">
        <v>860</v>
      </c>
      <c r="CA6" s="110" t="s">
        <v>861</v>
      </c>
      <c r="CB6" s="110" t="s">
        <v>857</v>
      </c>
      <c r="CC6" s="122" t="s">
        <v>859</v>
      </c>
      <c r="CD6" s="110" t="s">
        <v>862</v>
      </c>
      <c r="CE6" s="110" t="s">
        <v>863</v>
      </c>
      <c r="CF6" s="110" t="s">
        <v>864</v>
      </c>
      <c r="CG6" s="110" t="s">
        <v>865</v>
      </c>
      <c r="CH6" s="110" t="s">
        <v>866</v>
      </c>
      <c r="CI6" s="110" t="s">
        <v>867</v>
      </c>
      <c r="CJ6" s="110" t="s">
        <v>868</v>
      </c>
      <c r="CK6" s="110" t="s">
        <v>869</v>
      </c>
      <c r="CL6" s="110" t="s">
        <v>870</v>
      </c>
      <c r="CM6" s="110" t="s">
        <v>871</v>
      </c>
      <c r="CN6" s="110" t="s">
        <v>858</v>
      </c>
      <c r="CO6" s="110" t="s">
        <v>872</v>
      </c>
      <c r="CP6" s="110" t="s">
        <v>873</v>
      </c>
      <c r="CQ6" s="110" t="s">
        <v>874</v>
      </c>
      <c r="CR6" s="110" t="s">
        <v>875</v>
      </c>
      <c r="CS6" s="110" t="s">
        <v>876</v>
      </c>
      <c r="CT6" s="110" t="s">
        <v>877</v>
      </c>
      <c r="CU6" s="110" t="s">
        <v>878</v>
      </c>
      <c r="CV6" s="110" t="s">
        <v>879</v>
      </c>
      <c r="CW6" s="123"/>
    </row>
    <row r="7" spans="1:104" s="118" customFormat="1" ht="26.5" hidden="1" customHeight="1">
      <c r="A7" s="121" t="s">
        <v>568</v>
      </c>
      <c r="B7" s="87"/>
      <c r="C7" s="111"/>
      <c r="D7" s="111"/>
      <c r="E7" s="112" t="str">
        <f>LEFT(D7,1)&amp;"moge"</f>
        <v>moge</v>
      </c>
      <c r="F7" s="111" t="str">
        <f>LEFT(D7,1)&amp;"hoge"</f>
        <v>hoge</v>
      </c>
      <c r="G7" s="111"/>
      <c r="H7" s="111"/>
      <c r="I7" s="111"/>
      <c r="J7" s="111" t="str">
        <f>LEFT(I7,3)</f>
        <v/>
      </c>
      <c r="K7" s="111"/>
      <c r="L7" s="111" t="str">
        <f>LEFT(K7,5)</f>
        <v/>
      </c>
      <c r="M7" s="112" t="s">
        <v>346</v>
      </c>
      <c r="N7" s="111"/>
      <c r="O7" s="111"/>
      <c r="P7" s="111"/>
      <c r="Q7" s="87"/>
      <c r="R7" s="87"/>
      <c r="S7" s="111"/>
      <c r="T7" s="87"/>
      <c r="U7" s="113" t="s">
        <v>295</v>
      </c>
      <c r="V7" s="113" t="s">
        <v>295</v>
      </c>
      <c r="W7" s="114" t="s">
        <v>262</v>
      </c>
      <c r="X7" s="111"/>
      <c r="Y7" s="111"/>
      <c r="Z7" s="111"/>
      <c r="AA7" s="111"/>
      <c r="AB7" s="111"/>
      <c r="AC7" s="87"/>
      <c r="AD7" s="111" t="s">
        <v>261</v>
      </c>
      <c r="AE7" s="111"/>
      <c r="AF7" s="111"/>
      <c r="AG7" s="111" t="s">
        <v>0</v>
      </c>
      <c r="AH7" s="114" t="s">
        <v>972</v>
      </c>
      <c r="AI7" s="114" t="b">
        <v>0</v>
      </c>
      <c r="AJ7" s="114"/>
      <c r="AK7" s="114" t="b">
        <v>0</v>
      </c>
      <c r="AL7" s="114"/>
      <c r="AM7" s="114" t="b">
        <v>0</v>
      </c>
      <c r="AN7" s="114" t="b">
        <v>0</v>
      </c>
      <c r="AO7" s="114" t="b">
        <v>0</v>
      </c>
      <c r="AP7" s="114" t="b">
        <v>0</v>
      </c>
      <c r="AQ7" s="114" t="b">
        <v>0</v>
      </c>
      <c r="AR7" s="114" t="b">
        <v>0</v>
      </c>
      <c r="AS7" s="114" t="b">
        <v>0</v>
      </c>
      <c r="AT7" s="115"/>
      <c r="AU7" s="116">
        <f>$C$5</f>
        <v>9382061</v>
      </c>
      <c r="AV7" s="111" t="str">
        <f>$C$1</f>
        <v>Argent Daisy</v>
      </c>
      <c r="AW7" s="112" t="str">
        <f>$C$2</f>
        <v>TP2019004</v>
      </c>
      <c r="AX7" s="87">
        <f ca="1">$C$3</f>
        <v>44650</v>
      </c>
      <c r="AY7" s="112">
        <f>$C$4</f>
        <v>0</v>
      </c>
      <c r="AZ7" s="111"/>
      <c r="BA7" s="111"/>
      <c r="BB7" s="111"/>
      <c r="BC7" s="111"/>
      <c r="BD7" s="111"/>
      <c r="BE7" s="111"/>
      <c r="BF7" s="111"/>
      <c r="BG7" s="87"/>
      <c r="BH7" s="114" t="b">
        <v>0</v>
      </c>
      <c r="BI7" s="111"/>
      <c r="BJ7" s="111"/>
      <c r="BK7" s="111"/>
      <c r="BL7" s="111"/>
      <c r="BM7" s="111"/>
      <c r="BN7" s="111"/>
      <c r="BO7" s="111"/>
      <c r="BP7" s="111"/>
      <c r="BQ7" s="111"/>
      <c r="BR7" s="124"/>
      <c r="BS7" s="111"/>
      <c r="BT7" s="111"/>
      <c r="BU7" s="111"/>
      <c r="BV7" s="111"/>
      <c r="BW7" s="111"/>
      <c r="BX7" s="111"/>
      <c r="BY7" s="111"/>
      <c r="BZ7" s="111"/>
      <c r="CA7" s="111"/>
      <c r="CB7" s="111"/>
      <c r="CC7" s="87"/>
      <c r="CD7" s="111"/>
      <c r="CE7" s="87"/>
      <c r="CF7" s="111"/>
      <c r="CG7" s="87"/>
      <c r="CH7" s="111"/>
      <c r="CI7" s="87"/>
      <c r="CJ7" s="111"/>
      <c r="CK7" s="87"/>
      <c r="CL7" s="111"/>
      <c r="CM7" s="87"/>
      <c r="CN7" s="125"/>
      <c r="CO7" s="87"/>
      <c r="CP7" s="111"/>
      <c r="CQ7" s="111"/>
      <c r="CR7" s="111"/>
      <c r="CS7" s="111"/>
      <c r="CT7" s="87"/>
      <c r="CU7" s="111"/>
      <c r="CV7" s="87"/>
      <c r="CW7" s="126"/>
    </row>
    <row r="8" spans="1:104" s="118" customFormat="1" ht="15" customHeight="1">
      <c r="A8" s="121" t="s">
        <v>1104</v>
      </c>
      <c r="B8" s="87">
        <v>44089</v>
      </c>
      <c r="C8" s="111" t="s">
        <v>1105</v>
      </c>
      <c r="D8" s="111" t="s">
        <v>337</v>
      </c>
      <c r="E8" s="112" t="s">
        <v>1106</v>
      </c>
      <c r="F8" s="111" t="s">
        <v>1107</v>
      </c>
      <c r="G8" s="111" t="s">
        <v>370</v>
      </c>
      <c r="H8" s="111" t="s">
        <v>1108</v>
      </c>
      <c r="I8" s="111" t="s">
        <v>339</v>
      </c>
      <c r="J8" s="111" t="s">
        <v>1109</v>
      </c>
      <c r="K8" s="111" t="s">
        <v>28</v>
      </c>
      <c r="L8" s="111" t="s">
        <v>1110</v>
      </c>
      <c r="M8" s="112" t="s">
        <v>346</v>
      </c>
      <c r="N8" s="111" t="s">
        <v>1111</v>
      </c>
      <c r="O8" s="111" t="s">
        <v>1112</v>
      </c>
      <c r="P8" s="111" t="s">
        <v>568</v>
      </c>
      <c r="Q8" s="87"/>
      <c r="R8" s="87"/>
      <c r="S8" s="111" t="s">
        <v>568</v>
      </c>
      <c r="T8" s="87"/>
      <c r="U8" s="113" t="s">
        <v>295</v>
      </c>
      <c r="V8" s="113" t="s">
        <v>295</v>
      </c>
      <c r="W8" s="114" t="s">
        <v>262</v>
      </c>
      <c r="X8" s="132" t="s">
        <v>1113</v>
      </c>
      <c r="Y8" s="111" t="s">
        <v>568</v>
      </c>
      <c r="Z8" s="111" t="s">
        <v>568</v>
      </c>
      <c r="AA8" s="111" t="s">
        <v>568</v>
      </c>
      <c r="AB8" s="111" t="s">
        <v>568</v>
      </c>
      <c r="AC8" s="87"/>
      <c r="AD8" s="111" t="s">
        <v>261</v>
      </c>
      <c r="AE8" s="111" t="s">
        <v>1114</v>
      </c>
      <c r="AF8" s="111" t="s">
        <v>1115</v>
      </c>
      <c r="AG8" s="111" t="s">
        <v>0</v>
      </c>
      <c r="AH8" s="114" t="s">
        <v>972</v>
      </c>
      <c r="AI8" s="114" t="s">
        <v>1116</v>
      </c>
      <c r="AJ8" s="114" t="s">
        <v>568</v>
      </c>
      <c r="AK8" s="114" t="s">
        <v>1116</v>
      </c>
      <c r="AL8" s="114" t="s">
        <v>568</v>
      </c>
      <c r="AM8" s="114" t="s">
        <v>1116</v>
      </c>
      <c r="AN8" s="114" t="s">
        <v>1116</v>
      </c>
      <c r="AO8" s="114" t="s">
        <v>1116</v>
      </c>
      <c r="AP8" s="114" t="s">
        <v>1116</v>
      </c>
      <c r="AQ8" s="114" t="s">
        <v>1116</v>
      </c>
      <c r="AR8" s="114" t="s">
        <v>1116</v>
      </c>
      <c r="AS8" s="114" t="s">
        <v>1116</v>
      </c>
      <c r="AT8" s="115" t="s">
        <v>1117</v>
      </c>
      <c r="AU8" s="116">
        <v>9382061</v>
      </c>
      <c r="AV8" s="111" t="s">
        <v>711</v>
      </c>
      <c r="AW8" s="112" t="s">
        <v>949</v>
      </c>
      <c r="AX8" s="87">
        <v>44147</v>
      </c>
      <c r="AY8" s="112" t="s">
        <v>1118</v>
      </c>
      <c r="AZ8" s="111" t="s">
        <v>568</v>
      </c>
      <c r="BA8" s="111" t="s">
        <v>568</v>
      </c>
      <c r="BB8" s="111" t="s">
        <v>568</v>
      </c>
      <c r="BC8" s="111" t="s">
        <v>568</v>
      </c>
      <c r="BD8" s="111" t="s">
        <v>28</v>
      </c>
      <c r="BE8" s="111" t="s">
        <v>1119</v>
      </c>
      <c r="BF8" s="111" t="s">
        <v>568</v>
      </c>
      <c r="BG8" s="87"/>
      <c r="BH8" s="114" t="s">
        <v>1116</v>
      </c>
      <c r="BI8" s="111" t="s">
        <v>568</v>
      </c>
      <c r="BJ8" s="111" t="s">
        <v>568</v>
      </c>
      <c r="BK8" s="111" t="s">
        <v>1120</v>
      </c>
      <c r="BL8" s="111" t="s">
        <v>1121</v>
      </c>
      <c r="BM8" s="111" t="s">
        <v>568</v>
      </c>
      <c r="BN8" s="111" t="s">
        <v>1122</v>
      </c>
      <c r="BO8" s="111" t="s">
        <v>1123</v>
      </c>
      <c r="BP8" s="111" t="s">
        <v>1124</v>
      </c>
      <c r="BQ8" s="111" t="s">
        <v>1125</v>
      </c>
      <c r="BR8" s="124"/>
      <c r="BS8" s="111" t="s">
        <v>1126</v>
      </c>
      <c r="BT8" s="111" t="s">
        <v>1127</v>
      </c>
      <c r="BU8" s="111" t="s">
        <v>1128</v>
      </c>
      <c r="BV8" s="111" t="s">
        <v>568</v>
      </c>
      <c r="BW8" s="111" t="s">
        <v>568</v>
      </c>
      <c r="BX8" s="111" t="s">
        <v>568</v>
      </c>
      <c r="BY8" s="111" t="s">
        <v>568</v>
      </c>
      <c r="BZ8" s="111" t="s">
        <v>568</v>
      </c>
      <c r="CA8" s="111" t="s">
        <v>568</v>
      </c>
      <c r="CB8" s="111" t="s">
        <v>568</v>
      </c>
      <c r="CC8" s="87"/>
      <c r="CD8" s="111" t="s">
        <v>568</v>
      </c>
      <c r="CE8" s="87"/>
      <c r="CF8" s="111" t="s">
        <v>568</v>
      </c>
      <c r="CG8" s="87"/>
      <c r="CH8" s="111" t="s">
        <v>568</v>
      </c>
      <c r="CI8" s="87"/>
      <c r="CJ8" s="111" t="s">
        <v>568</v>
      </c>
      <c r="CK8" s="87"/>
      <c r="CL8" s="111" t="s">
        <v>568</v>
      </c>
      <c r="CM8" s="87"/>
      <c r="CN8" s="125"/>
      <c r="CO8" s="87"/>
      <c r="CP8" s="111" t="s">
        <v>776</v>
      </c>
      <c r="CQ8" s="111" t="s">
        <v>1129</v>
      </c>
      <c r="CR8" s="111" t="s">
        <v>1130</v>
      </c>
      <c r="CS8" s="111">
        <v>10</v>
      </c>
      <c r="CT8" s="87">
        <v>44097</v>
      </c>
      <c r="CU8" s="111" t="s">
        <v>1114</v>
      </c>
      <c r="CV8" s="87">
        <v>44097</v>
      </c>
      <c r="CW8" s="126"/>
    </row>
    <row r="9" spans="1:104" ht="15" customHeight="1">
      <c r="A9" s="121" t="s">
        <v>1131</v>
      </c>
      <c r="B9" s="87">
        <v>44089</v>
      </c>
      <c r="C9" s="111" t="s">
        <v>1132</v>
      </c>
      <c r="D9" s="111" t="s">
        <v>337</v>
      </c>
      <c r="E9" s="112" t="s">
        <v>1106</v>
      </c>
      <c r="F9" s="111" t="s">
        <v>1107</v>
      </c>
      <c r="G9" s="111" t="s">
        <v>370</v>
      </c>
      <c r="H9" s="111" t="s">
        <v>1108</v>
      </c>
      <c r="I9" s="111" t="s">
        <v>339</v>
      </c>
      <c r="J9" s="111" t="s">
        <v>1109</v>
      </c>
      <c r="K9" s="111" t="s">
        <v>28</v>
      </c>
      <c r="L9" s="111" t="s">
        <v>1110</v>
      </c>
      <c r="M9" s="112" t="s">
        <v>346</v>
      </c>
      <c r="N9" s="111" t="s">
        <v>1133</v>
      </c>
      <c r="O9" s="111" t="s">
        <v>1134</v>
      </c>
      <c r="P9" s="111" t="s">
        <v>568</v>
      </c>
      <c r="Q9" s="87"/>
      <c r="R9" s="87"/>
      <c r="S9" s="111" t="s">
        <v>568</v>
      </c>
      <c r="T9" s="87"/>
      <c r="U9" s="113" t="s">
        <v>295</v>
      </c>
      <c r="V9" s="113" t="s">
        <v>295</v>
      </c>
      <c r="W9" s="114" t="s">
        <v>262</v>
      </c>
      <c r="X9" s="132" t="s">
        <v>1135</v>
      </c>
      <c r="Y9" s="111" t="s">
        <v>568</v>
      </c>
      <c r="Z9" s="111" t="s">
        <v>568</v>
      </c>
      <c r="AA9" s="111" t="s">
        <v>568</v>
      </c>
      <c r="AB9" s="111" t="s">
        <v>568</v>
      </c>
      <c r="AC9" s="87"/>
      <c r="AD9" s="111" t="s">
        <v>261</v>
      </c>
      <c r="AE9" s="111" t="s">
        <v>1114</v>
      </c>
      <c r="AF9" s="111" t="s">
        <v>1115</v>
      </c>
      <c r="AG9" s="111" t="s">
        <v>0</v>
      </c>
      <c r="AH9" s="114" t="s">
        <v>972</v>
      </c>
      <c r="AI9" s="114" t="s">
        <v>1116</v>
      </c>
      <c r="AJ9" s="114" t="s">
        <v>568</v>
      </c>
      <c r="AK9" s="114" t="s">
        <v>1116</v>
      </c>
      <c r="AL9" s="114" t="s">
        <v>568</v>
      </c>
      <c r="AM9" s="114" t="s">
        <v>1116</v>
      </c>
      <c r="AN9" s="114" t="s">
        <v>1116</v>
      </c>
      <c r="AO9" s="114" t="s">
        <v>1116</v>
      </c>
      <c r="AP9" s="114" t="s">
        <v>1116</v>
      </c>
      <c r="AQ9" s="114" t="s">
        <v>1116</v>
      </c>
      <c r="AR9" s="114" t="s">
        <v>1116</v>
      </c>
      <c r="AS9" s="114" t="s">
        <v>1116</v>
      </c>
      <c r="AT9" s="115" t="s">
        <v>1117</v>
      </c>
      <c r="AU9" s="116">
        <v>9382061</v>
      </c>
      <c r="AV9" s="111" t="s">
        <v>711</v>
      </c>
      <c r="AW9" s="112" t="s">
        <v>949</v>
      </c>
      <c r="AX9" s="87">
        <v>44230</v>
      </c>
      <c r="AY9" s="112" t="s">
        <v>1118</v>
      </c>
      <c r="AZ9" s="111" t="s">
        <v>568</v>
      </c>
      <c r="BA9" s="111" t="s">
        <v>568</v>
      </c>
      <c r="BB9" s="111" t="s">
        <v>568</v>
      </c>
      <c r="BC9" s="111" t="s">
        <v>568</v>
      </c>
      <c r="BD9" s="111" t="s">
        <v>28</v>
      </c>
      <c r="BE9" s="111" t="s">
        <v>1136</v>
      </c>
      <c r="BF9" s="111" t="s">
        <v>568</v>
      </c>
      <c r="BG9" s="87"/>
      <c r="BH9" s="114" t="s">
        <v>1116</v>
      </c>
      <c r="BI9" s="111" t="s">
        <v>568</v>
      </c>
      <c r="BJ9" s="111" t="s">
        <v>568</v>
      </c>
      <c r="BK9" s="111" t="s">
        <v>1137</v>
      </c>
      <c r="BL9" s="111" t="s">
        <v>1121</v>
      </c>
      <c r="BM9" s="111" t="s">
        <v>568</v>
      </c>
      <c r="BN9" s="111" t="s">
        <v>1122</v>
      </c>
      <c r="BO9" s="111" t="s">
        <v>1123</v>
      </c>
      <c r="BP9" s="111" t="s">
        <v>1124</v>
      </c>
      <c r="BQ9" s="111" t="s">
        <v>1125</v>
      </c>
      <c r="BR9" s="124"/>
      <c r="BS9" s="111" t="s">
        <v>1126</v>
      </c>
      <c r="BT9" s="111" t="s">
        <v>1127</v>
      </c>
      <c r="BU9" s="111" t="s">
        <v>1128</v>
      </c>
      <c r="BV9" s="111" t="s">
        <v>568</v>
      </c>
      <c r="BW9" s="111" t="s">
        <v>568</v>
      </c>
      <c r="BX9" s="111" t="s">
        <v>568</v>
      </c>
      <c r="BY9" s="111" t="s">
        <v>568</v>
      </c>
      <c r="BZ9" s="111" t="s">
        <v>568</v>
      </c>
      <c r="CA9" s="111" t="s">
        <v>568</v>
      </c>
      <c r="CB9" s="111" t="s">
        <v>568</v>
      </c>
      <c r="CC9" s="87"/>
      <c r="CD9" s="111" t="s">
        <v>568</v>
      </c>
      <c r="CE9" s="87"/>
      <c r="CF9" s="111" t="s">
        <v>568</v>
      </c>
      <c r="CG9" s="87"/>
      <c r="CH9" s="111" t="s">
        <v>568</v>
      </c>
      <c r="CI9" s="87"/>
      <c r="CJ9" s="111" t="s">
        <v>568</v>
      </c>
      <c r="CK9" s="87"/>
      <c r="CL9" s="111" t="s">
        <v>568</v>
      </c>
      <c r="CM9" s="87"/>
      <c r="CN9" s="125"/>
      <c r="CO9" s="87"/>
      <c r="CP9" s="111" t="s">
        <v>776</v>
      </c>
      <c r="CQ9" s="111" t="s">
        <v>1129</v>
      </c>
      <c r="CR9" s="111" t="s">
        <v>1130</v>
      </c>
      <c r="CS9" s="111">
        <v>10</v>
      </c>
      <c r="CT9" s="87">
        <v>44097</v>
      </c>
      <c r="CU9" s="111" t="s">
        <v>1114</v>
      </c>
      <c r="CV9" s="87">
        <v>44097</v>
      </c>
      <c r="CW9" s="126"/>
      <c r="CX9" s="118"/>
      <c r="CY9" s="118"/>
      <c r="CZ9" s="118"/>
    </row>
    <row r="10" spans="1:104" ht="15" customHeight="1">
      <c r="A10" s="121" t="s">
        <v>1138</v>
      </c>
      <c r="B10" s="87">
        <v>44089</v>
      </c>
      <c r="C10" s="111" t="s">
        <v>1139</v>
      </c>
      <c r="D10" s="111" t="s">
        <v>337</v>
      </c>
      <c r="E10" s="112" t="s">
        <v>1106</v>
      </c>
      <c r="F10" s="111" t="s">
        <v>1107</v>
      </c>
      <c r="G10" s="111" t="s">
        <v>370</v>
      </c>
      <c r="H10" s="111" t="s">
        <v>1108</v>
      </c>
      <c r="I10" s="111" t="s">
        <v>339</v>
      </c>
      <c r="J10" s="111" t="s">
        <v>1109</v>
      </c>
      <c r="K10" s="111" t="s">
        <v>28</v>
      </c>
      <c r="L10" s="111" t="s">
        <v>1110</v>
      </c>
      <c r="M10" s="112" t="s">
        <v>346</v>
      </c>
      <c r="N10" s="111" t="s">
        <v>1111</v>
      </c>
      <c r="O10" s="111" t="s">
        <v>1112</v>
      </c>
      <c r="P10" s="111" t="s">
        <v>568</v>
      </c>
      <c r="Q10" s="87"/>
      <c r="R10" s="87"/>
      <c r="S10" s="111" t="s">
        <v>568</v>
      </c>
      <c r="T10" s="87"/>
      <c r="U10" s="113" t="s">
        <v>295</v>
      </c>
      <c r="V10" s="113" t="s">
        <v>295</v>
      </c>
      <c r="W10" s="114" t="s">
        <v>262</v>
      </c>
      <c r="X10" s="132" t="s">
        <v>1113</v>
      </c>
      <c r="Y10" s="111" t="s">
        <v>568</v>
      </c>
      <c r="Z10" s="111" t="s">
        <v>568</v>
      </c>
      <c r="AA10" s="111" t="s">
        <v>568</v>
      </c>
      <c r="AB10" s="111" t="s">
        <v>568</v>
      </c>
      <c r="AC10" s="87"/>
      <c r="AD10" s="111" t="s">
        <v>261</v>
      </c>
      <c r="AE10" s="111" t="s">
        <v>1114</v>
      </c>
      <c r="AF10" s="111" t="s">
        <v>1115</v>
      </c>
      <c r="AG10" s="111" t="s">
        <v>0</v>
      </c>
      <c r="AH10" s="114" t="s">
        <v>972</v>
      </c>
      <c r="AI10" s="114" t="s">
        <v>1116</v>
      </c>
      <c r="AJ10" s="114" t="s">
        <v>568</v>
      </c>
      <c r="AK10" s="114" t="s">
        <v>1116</v>
      </c>
      <c r="AL10" s="114" t="s">
        <v>568</v>
      </c>
      <c r="AM10" s="114" t="s">
        <v>1116</v>
      </c>
      <c r="AN10" s="114" t="s">
        <v>1116</v>
      </c>
      <c r="AO10" s="114" t="s">
        <v>1116</v>
      </c>
      <c r="AP10" s="114" t="s">
        <v>1116</v>
      </c>
      <c r="AQ10" s="114" t="s">
        <v>1116</v>
      </c>
      <c r="AR10" s="114" t="s">
        <v>1116</v>
      </c>
      <c r="AS10" s="114" t="s">
        <v>1116</v>
      </c>
      <c r="AT10" s="115" t="s">
        <v>1117</v>
      </c>
      <c r="AU10" s="116">
        <v>9382061</v>
      </c>
      <c r="AV10" s="111" t="s">
        <v>711</v>
      </c>
      <c r="AW10" s="112" t="s">
        <v>949</v>
      </c>
      <c r="AX10" s="87">
        <v>44230</v>
      </c>
      <c r="AY10" s="112" t="s">
        <v>1118</v>
      </c>
      <c r="AZ10" s="111" t="s">
        <v>568</v>
      </c>
      <c r="BA10" s="111" t="s">
        <v>568</v>
      </c>
      <c r="BB10" s="111" t="s">
        <v>568</v>
      </c>
      <c r="BC10" s="111" t="s">
        <v>568</v>
      </c>
      <c r="BD10" s="111" t="s">
        <v>28</v>
      </c>
      <c r="BE10" s="111" t="s">
        <v>1119</v>
      </c>
      <c r="BF10" s="111" t="s">
        <v>568</v>
      </c>
      <c r="BG10" s="87"/>
      <c r="BH10" s="114" t="s">
        <v>1116</v>
      </c>
      <c r="BI10" s="111" t="s">
        <v>568</v>
      </c>
      <c r="BJ10" s="111" t="s">
        <v>568</v>
      </c>
      <c r="BK10" s="111" t="s">
        <v>1137</v>
      </c>
      <c r="BL10" s="111" t="s">
        <v>1121</v>
      </c>
      <c r="BM10" s="111" t="s">
        <v>568</v>
      </c>
      <c r="BN10" s="111" t="s">
        <v>1122</v>
      </c>
      <c r="BO10" s="111" t="s">
        <v>1123</v>
      </c>
      <c r="BP10" s="111" t="s">
        <v>1124</v>
      </c>
      <c r="BQ10" s="111" t="s">
        <v>1125</v>
      </c>
      <c r="BR10" s="124"/>
      <c r="BS10" s="111" t="s">
        <v>1126</v>
      </c>
      <c r="BT10" s="111" t="s">
        <v>1127</v>
      </c>
      <c r="BU10" s="111" t="s">
        <v>1128</v>
      </c>
      <c r="BV10" s="111" t="s">
        <v>568</v>
      </c>
      <c r="BW10" s="111" t="s">
        <v>568</v>
      </c>
      <c r="BX10" s="111" t="s">
        <v>568</v>
      </c>
      <c r="BY10" s="111" t="s">
        <v>568</v>
      </c>
      <c r="BZ10" s="111" t="s">
        <v>568</v>
      </c>
      <c r="CA10" s="111" t="s">
        <v>568</v>
      </c>
      <c r="CB10" s="111" t="s">
        <v>568</v>
      </c>
      <c r="CC10" s="87"/>
      <c r="CD10" s="111" t="s">
        <v>568</v>
      </c>
      <c r="CE10" s="87"/>
      <c r="CF10" s="111" t="s">
        <v>568</v>
      </c>
      <c r="CG10" s="87"/>
      <c r="CH10" s="111" t="s">
        <v>568</v>
      </c>
      <c r="CI10" s="87"/>
      <c r="CJ10" s="111" t="s">
        <v>568</v>
      </c>
      <c r="CK10" s="87"/>
      <c r="CL10" s="111" t="s">
        <v>568</v>
      </c>
      <c r="CM10" s="87"/>
      <c r="CN10" s="125"/>
      <c r="CO10" s="87"/>
      <c r="CP10" s="111" t="s">
        <v>776</v>
      </c>
      <c r="CQ10" s="111" t="s">
        <v>1129</v>
      </c>
      <c r="CR10" s="111" t="s">
        <v>1130</v>
      </c>
      <c r="CS10" s="111">
        <v>10</v>
      </c>
      <c r="CT10" s="87">
        <v>44097</v>
      </c>
      <c r="CU10" s="111" t="s">
        <v>1114</v>
      </c>
      <c r="CV10" s="87">
        <v>44097</v>
      </c>
      <c r="CW10" s="126"/>
      <c r="CX10" s="118"/>
      <c r="CY10" s="118"/>
      <c r="CZ10" s="118"/>
    </row>
    <row r="11" spans="1:104" ht="15" customHeight="1">
      <c r="A11" s="121" t="s">
        <v>1140</v>
      </c>
      <c r="B11" s="87">
        <v>44089</v>
      </c>
      <c r="C11" s="111" t="s">
        <v>1141</v>
      </c>
      <c r="D11" s="111" t="s">
        <v>337</v>
      </c>
      <c r="E11" s="112" t="s">
        <v>1106</v>
      </c>
      <c r="F11" s="111" t="s">
        <v>1107</v>
      </c>
      <c r="G11" s="111" t="s">
        <v>370</v>
      </c>
      <c r="H11" s="111" t="s">
        <v>1108</v>
      </c>
      <c r="I11" s="111" t="s">
        <v>339</v>
      </c>
      <c r="J11" s="111" t="s">
        <v>1109</v>
      </c>
      <c r="K11" s="111" t="s">
        <v>756</v>
      </c>
      <c r="L11" s="111" t="s">
        <v>1142</v>
      </c>
      <c r="M11" s="112" t="s">
        <v>346</v>
      </c>
      <c r="N11" s="111" t="s">
        <v>1143</v>
      </c>
      <c r="O11" s="111" t="s">
        <v>1144</v>
      </c>
      <c r="P11" s="111" t="s">
        <v>568</v>
      </c>
      <c r="Q11" s="87"/>
      <c r="R11" s="87"/>
      <c r="S11" s="111" t="s">
        <v>568</v>
      </c>
      <c r="T11" s="87"/>
      <c r="U11" s="113" t="s">
        <v>295</v>
      </c>
      <c r="V11" s="113" t="s">
        <v>295</v>
      </c>
      <c r="W11" s="114" t="s">
        <v>262</v>
      </c>
      <c r="X11" s="132" t="s">
        <v>1145</v>
      </c>
      <c r="Y11" s="111" t="s">
        <v>568</v>
      </c>
      <c r="Z11" s="111" t="s">
        <v>568</v>
      </c>
      <c r="AA11" s="111" t="s">
        <v>568</v>
      </c>
      <c r="AB11" s="111" t="s">
        <v>568</v>
      </c>
      <c r="AC11" s="87"/>
      <c r="AD11" s="111" t="s">
        <v>261</v>
      </c>
      <c r="AE11" s="111" t="s">
        <v>1114</v>
      </c>
      <c r="AF11" s="111" t="s">
        <v>1115</v>
      </c>
      <c r="AG11" s="111" t="s">
        <v>0</v>
      </c>
      <c r="AH11" s="114" t="s">
        <v>972</v>
      </c>
      <c r="AI11" s="114" t="s">
        <v>1116</v>
      </c>
      <c r="AJ11" s="114" t="s">
        <v>568</v>
      </c>
      <c r="AK11" s="114" t="s">
        <v>1116</v>
      </c>
      <c r="AL11" s="114" t="s">
        <v>568</v>
      </c>
      <c r="AM11" s="114" t="s">
        <v>1116</v>
      </c>
      <c r="AN11" s="114" t="s">
        <v>1116</v>
      </c>
      <c r="AO11" s="114" t="s">
        <v>1116</v>
      </c>
      <c r="AP11" s="114" t="s">
        <v>1116</v>
      </c>
      <c r="AQ11" s="114" t="s">
        <v>1116</v>
      </c>
      <c r="AR11" s="114" t="s">
        <v>1116</v>
      </c>
      <c r="AS11" s="114" t="s">
        <v>1116</v>
      </c>
      <c r="AT11" s="115" t="s">
        <v>1117</v>
      </c>
      <c r="AU11" s="116">
        <v>9382061</v>
      </c>
      <c r="AV11" s="111" t="s">
        <v>711</v>
      </c>
      <c r="AW11" s="112" t="s">
        <v>949</v>
      </c>
      <c r="AX11" s="87">
        <v>44230</v>
      </c>
      <c r="AY11" s="112" t="s">
        <v>1118</v>
      </c>
      <c r="AZ11" s="111" t="s">
        <v>568</v>
      </c>
      <c r="BA11" s="111" t="s">
        <v>568</v>
      </c>
      <c r="BB11" s="111" t="s">
        <v>568</v>
      </c>
      <c r="BC11" s="111" t="s">
        <v>568</v>
      </c>
      <c r="BD11" s="111" t="s">
        <v>756</v>
      </c>
      <c r="BE11" s="111" t="s">
        <v>1146</v>
      </c>
      <c r="BF11" s="111" t="s">
        <v>568</v>
      </c>
      <c r="BG11" s="87"/>
      <c r="BH11" s="114" t="s">
        <v>1116</v>
      </c>
      <c r="BI11" s="111" t="s">
        <v>568</v>
      </c>
      <c r="BJ11" s="111" t="s">
        <v>568</v>
      </c>
      <c r="BK11" s="111" t="s">
        <v>1137</v>
      </c>
      <c r="BL11" s="111" t="s">
        <v>1121</v>
      </c>
      <c r="BM11" s="111" t="s">
        <v>568</v>
      </c>
      <c r="BN11" s="111" t="s">
        <v>1122</v>
      </c>
      <c r="BO11" s="111" t="s">
        <v>1123</v>
      </c>
      <c r="BP11" s="111" t="s">
        <v>1124</v>
      </c>
      <c r="BQ11" s="111" t="s">
        <v>1125</v>
      </c>
      <c r="BR11" s="124"/>
      <c r="BS11" s="111" t="s">
        <v>1126</v>
      </c>
      <c r="BT11" s="111" t="s">
        <v>1127</v>
      </c>
      <c r="BU11" s="111" t="s">
        <v>1128</v>
      </c>
      <c r="BV11" s="111" t="s">
        <v>568</v>
      </c>
      <c r="BW11" s="111" t="s">
        <v>568</v>
      </c>
      <c r="BX11" s="111" t="s">
        <v>568</v>
      </c>
      <c r="BY11" s="111" t="s">
        <v>568</v>
      </c>
      <c r="BZ11" s="111" t="s">
        <v>568</v>
      </c>
      <c r="CA11" s="111" t="s">
        <v>568</v>
      </c>
      <c r="CB11" s="111" t="s">
        <v>568</v>
      </c>
      <c r="CC11" s="87"/>
      <c r="CD11" s="111" t="s">
        <v>568</v>
      </c>
      <c r="CE11" s="87"/>
      <c r="CF11" s="111" t="s">
        <v>568</v>
      </c>
      <c r="CG11" s="87"/>
      <c r="CH11" s="111" t="s">
        <v>568</v>
      </c>
      <c r="CI11" s="87"/>
      <c r="CJ11" s="111" t="s">
        <v>568</v>
      </c>
      <c r="CK11" s="87"/>
      <c r="CL11" s="111" t="s">
        <v>568</v>
      </c>
      <c r="CM11" s="87"/>
      <c r="CN11" s="125"/>
      <c r="CO11" s="87"/>
      <c r="CP11" s="111" t="s">
        <v>776</v>
      </c>
      <c r="CQ11" s="111" t="s">
        <v>1129</v>
      </c>
      <c r="CR11" s="111" t="s">
        <v>1130</v>
      </c>
      <c r="CS11" s="111">
        <v>10</v>
      </c>
      <c r="CT11" s="87">
        <v>44097</v>
      </c>
      <c r="CU11" s="111" t="s">
        <v>1114</v>
      </c>
      <c r="CV11" s="87">
        <v>44097</v>
      </c>
      <c r="CW11" s="126"/>
      <c r="CX11" s="118"/>
      <c r="CY11" s="118"/>
      <c r="CZ11" s="118"/>
    </row>
    <row r="12" spans="1:104" ht="15" customHeight="1">
      <c r="A12" s="121" t="s">
        <v>1147</v>
      </c>
      <c r="B12" s="87">
        <v>44566</v>
      </c>
      <c r="C12" s="111" t="s">
        <v>1148</v>
      </c>
      <c r="D12" s="111" t="s">
        <v>337</v>
      </c>
      <c r="E12" s="112" t="s">
        <v>1106</v>
      </c>
      <c r="F12" s="111" t="s">
        <v>1107</v>
      </c>
      <c r="G12" s="111" t="s">
        <v>338</v>
      </c>
      <c r="H12" s="111" t="s">
        <v>1149</v>
      </c>
      <c r="I12" s="111" t="s">
        <v>339</v>
      </c>
      <c r="J12" s="111" t="s">
        <v>1109</v>
      </c>
      <c r="K12" s="111" t="s">
        <v>756</v>
      </c>
      <c r="L12" s="111" t="s">
        <v>1142</v>
      </c>
      <c r="M12" s="112" t="s">
        <v>346</v>
      </c>
      <c r="N12" s="132" t="s">
        <v>1150</v>
      </c>
      <c r="O12" s="132" t="s">
        <v>1151</v>
      </c>
      <c r="P12" s="132" t="s">
        <v>1151</v>
      </c>
      <c r="Q12" s="87">
        <v>44566</v>
      </c>
      <c r="R12" s="87"/>
      <c r="S12" s="132" t="s">
        <v>1151</v>
      </c>
      <c r="T12" s="87">
        <v>44566</v>
      </c>
      <c r="U12" s="113" t="s">
        <v>295</v>
      </c>
      <c r="V12" s="113" t="s">
        <v>295</v>
      </c>
      <c r="W12" s="114" t="s">
        <v>262</v>
      </c>
      <c r="X12" s="132" t="s">
        <v>1152</v>
      </c>
      <c r="Y12" s="111" t="s">
        <v>568</v>
      </c>
      <c r="Z12" s="111" t="s">
        <v>568</v>
      </c>
      <c r="AA12" s="111" t="s">
        <v>5</v>
      </c>
      <c r="AB12" s="132" t="s">
        <v>1152</v>
      </c>
      <c r="AC12" s="87">
        <v>44571</v>
      </c>
      <c r="AD12" s="111" t="s">
        <v>349</v>
      </c>
      <c r="AE12" s="111" t="s">
        <v>1153</v>
      </c>
      <c r="AF12" s="111" t="s">
        <v>1115</v>
      </c>
      <c r="AG12" s="111" t="s">
        <v>0</v>
      </c>
      <c r="AH12" s="114" t="s">
        <v>972</v>
      </c>
      <c r="AI12" s="114" t="s">
        <v>1116</v>
      </c>
      <c r="AJ12" s="114" t="s">
        <v>568</v>
      </c>
      <c r="AK12" s="114" t="s">
        <v>1116</v>
      </c>
      <c r="AL12" s="114" t="s">
        <v>568</v>
      </c>
      <c r="AM12" s="114" t="s">
        <v>1116</v>
      </c>
      <c r="AN12" s="114" t="s">
        <v>1116</v>
      </c>
      <c r="AO12" s="114" t="s">
        <v>1116</v>
      </c>
      <c r="AP12" s="114" t="s">
        <v>1116</v>
      </c>
      <c r="AQ12" s="114" t="s">
        <v>1116</v>
      </c>
      <c r="AR12" s="114" t="s">
        <v>1116</v>
      </c>
      <c r="AS12" s="114" t="s">
        <v>1116</v>
      </c>
      <c r="AT12" s="115" t="s">
        <v>1154</v>
      </c>
      <c r="AU12" s="116">
        <v>9382061</v>
      </c>
      <c r="AV12" s="111" t="s">
        <v>711</v>
      </c>
      <c r="AW12" s="112" t="s">
        <v>949</v>
      </c>
      <c r="AX12" s="87">
        <v>44607</v>
      </c>
      <c r="AY12" s="112" t="s">
        <v>1155</v>
      </c>
      <c r="AZ12" s="111" t="s">
        <v>568</v>
      </c>
      <c r="BA12" s="111" t="s">
        <v>568</v>
      </c>
      <c r="BB12" s="111" t="s">
        <v>568</v>
      </c>
      <c r="BC12" s="111" t="s">
        <v>568</v>
      </c>
      <c r="BD12" s="111" t="s">
        <v>756</v>
      </c>
      <c r="BE12" s="111" t="s">
        <v>1156</v>
      </c>
      <c r="BF12" s="111" t="s">
        <v>568</v>
      </c>
      <c r="BG12" s="87"/>
      <c r="BH12" s="114" t="s">
        <v>1116</v>
      </c>
      <c r="BI12" s="111" t="s">
        <v>568</v>
      </c>
      <c r="BJ12" s="111" t="s">
        <v>568</v>
      </c>
      <c r="BK12" s="111" t="s">
        <v>1120</v>
      </c>
      <c r="BL12" s="111" t="s">
        <v>1157</v>
      </c>
      <c r="BM12" s="111" t="s">
        <v>568</v>
      </c>
      <c r="BN12" s="111" t="s">
        <v>1122</v>
      </c>
      <c r="BO12" s="111" t="s">
        <v>1158</v>
      </c>
      <c r="BP12" s="111" t="s">
        <v>1124</v>
      </c>
      <c r="BQ12" s="111" t="s">
        <v>1125</v>
      </c>
      <c r="BR12" s="124"/>
      <c r="BS12" s="111" t="s">
        <v>1126</v>
      </c>
      <c r="BT12" s="111" t="s">
        <v>1159</v>
      </c>
      <c r="BU12" s="111" t="s">
        <v>1160</v>
      </c>
      <c r="BV12" s="111" t="s">
        <v>568</v>
      </c>
      <c r="BW12" s="111" t="s">
        <v>568</v>
      </c>
      <c r="BX12" s="111" t="s">
        <v>568</v>
      </c>
      <c r="BY12" s="111" t="s">
        <v>568</v>
      </c>
      <c r="BZ12" s="111" t="s">
        <v>568</v>
      </c>
      <c r="CA12" s="111" t="s">
        <v>568</v>
      </c>
      <c r="CB12" s="111" t="s">
        <v>568</v>
      </c>
      <c r="CC12" s="87"/>
      <c r="CD12" s="111" t="s">
        <v>568</v>
      </c>
      <c r="CE12" s="87"/>
      <c r="CF12" s="111" t="s">
        <v>568</v>
      </c>
      <c r="CG12" s="87"/>
      <c r="CH12" s="111" t="s">
        <v>568</v>
      </c>
      <c r="CI12" s="87"/>
      <c r="CJ12" s="111" t="s">
        <v>568</v>
      </c>
      <c r="CK12" s="87"/>
      <c r="CL12" s="111" t="s">
        <v>568</v>
      </c>
      <c r="CM12" s="87"/>
      <c r="CN12" s="125"/>
      <c r="CO12" s="87"/>
      <c r="CP12" s="111" t="s">
        <v>775</v>
      </c>
      <c r="CQ12" s="111" t="s">
        <v>1161</v>
      </c>
      <c r="CR12" s="111" t="s">
        <v>1130</v>
      </c>
      <c r="CS12" s="111">
        <v>5</v>
      </c>
      <c r="CT12" s="87">
        <v>44574</v>
      </c>
      <c r="CU12" s="111" t="s">
        <v>1162</v>
      </c>
      <c r="CV12" s="87">
        <v>44574</v>
      </c>
      <c r="CW12" s="126"/>
      <c r="CX12" s="118"/>
      <c r="CY12" s="118"/>
      <c r="CZ12" s="118"/>
    </row>
    <row r="13" spans="1:104" ht="15" customHeight="1">
      <c r="A13" s="121" t="s">
        <v>1163</v>
      </c>
      <c r="B13" s="87">
        <v>44066</v>
      </c>
      <c r="C13" s="111" t="s">
        <v>1164</v>
      </c>
      <c r="D13" s="111" t="s">
        <v>343</v>
      </c>
      <c r="E13" s="112" t="s">
        <v>1165</v>
      </c>
      <c r="F13" s="111" t="s">
        <v>1166</v>
      </c>
      <c r="G13" s="111" t="s">
        <v>372</v>
      </c>
      <c r="H13" s="111" t="s">
        <v>1167</v>
      </c>
      <c r="I13" s="111" t="s">
        <v>345</v>
      </c>
      <c r="J13" s="111" t="s">
        <v>1168</v>
      </c>
      <c r="K13" s="111" t="s">
        <v>760</v>
      </c>
      <c r="L13" s="111" t="s">
        <v>1169</v>
      </c>
      <c r="M13" s="112" t="s">
        <v>346</v>
      </c>
      <c r="N13" s="111" t="s">
        <v>1170</v>
      </c>
      <c r="O13" s="111" t="s">
        <v>1171</v>
      </c>
      <c r="P13" s="111" t="s">
        <v>1172</v>
      </c>
      <c r="Q13" s="87">
        <v>44073</v>
      </c>
      <c r="R13" s="87">
        <v>44156</v>
      </c>
      <c r="S13" s="111" t="s">
        <v>1173</v>
      </c>
      <c r="T13" s="87">
        <v>44438</v>
      </c>
      <c r="U13" s="113" t="s">
        <v>295</v>
      </c>
      <c r="V13" s="113" t="s">
        <v>295</v>
      </c>
      <c r="W13" s="114" t="s">
        <v>262</v>
      </c>
      <c r="X13" s="111" t="s">
        <v>1174</v>
      </c>
      <c r="Y13" s="111" t="s">
        <v>568</v>
      </c>
      <c r="Z13" s="111" t="s">
        <v>568</v>
      </c>
      <c r="AA13" s="111" t="s">
        <v>568</v>
      </c>
      <c r="AB13" s="111" t="s">
        <v>568</v>
      </c>
      <c r="AC13" s="87"/>
      <c r="AD13" s="111" t="s">
        <v>261</v>
      </c>
      <c r="AE13" s="111" t="s">
        <v>568</v>
      </c>
      <c r="AF13" s="111" t="s">
        <v>1115</v>
      </c>
      <c r="AG13" s="111" t="s">
        <v>0</v>
      </c>
      <c r="AH13" s="114" t="s">
        <v>972</v>
      </c>
      <c r="AI13" s="114" t="s">
        <v>1116</v>
      </c>
      <c r="AJ13" s="114" t="s">
        <v>568</v>
      </c>
      <c r="AK13" s="114" t="s">
        <v>1116</v>
      </c>
      <c r="AL13" s="114" t="s">
        <v>568</v>
      </c>
      <c r="AM13" s="114" t="s">
        <v>1116</v>
      </c>
      <c r="AN13" s="114" t="s">
        <v>1116</v>
      </c>
      <c r="AO13" s="114" t="s">
        <v>1116</v>
      </c>
      <c r="AP13" s="114" t="s">
        <v>1116</v>
      </c>
      <c r="AQ13" s="114" t="s">
        <v>1116</v>
      </c>
      <c r="AR13" s="114" t="s">
        <v>1116</v>
      </c>
      <c r="AS13" s="114" t="s">
        <v>1116</v>
      </c>
      <c r="AT13" s="115" t="s">
        <v>1175</v>
      </c>
      <c r="AU13" s="116">
        <v>9382061</v>
      </c>
      <c r="AV13" s="111" t="s">
        <v>711</v>
      </c>
      <c r="AW13" s="112" t="s">
        <v>949</v>
      </c>
      <c r="AX13" s="87">
        <v>44551</v>
      </c>
      <c r="AY13" s="112" t="s">
        <v>1155</v>
      </c>
      <c r="AZ13" s="111" t="s">
        <v>13</v>
      </c>
      <c r="BA13" s="111" t="s">
        <v>83</v>
      </c>
      <c r="BB13" s="111" t="s">
        <v>52</v>
      </c>
      <c r="BC13" s="111" t="s">
        <v>568</v>
      </c>
      <c r="BD13" s="111" t="s">
        <v>757</v>
      </c>
      <c r="BE13" s="111" t="s">
        <v>568</v>
      </c>
      <c r="BF13" s="111" t="s">
        <v>575</v>
      </c>
      <c r="BG13" s="87">
        <v>44469</v>
      </c>
      <c r="BH13" s="114" t="s">
        <v>1116</v>
      </c>
      <c r="BI13" s="111" t="s">
        <v>568</v>
      </c>
      <c r="BJ13" s="111" t="s">
        <v>568</v>
      </c>
      <c r="BK13" s="111" t="s">
        <v>1137</v>
      </c>
      <c r="BL13" s="111" t="s">
        <v>568</v>
      </c>
      <c r="BM13" s="111" t="s">
        <v>568</v>
      </c>
      <c r="BN13" s="111" t="s">
        <v>568</v>
      </c>
      <c r="BO13" s="111" t="s">
        <v>568</v>
      </c>
      <c r="BP13" s="111" t="s">
        <v>568</v>
      </c>
      <c r="BQ13" s="111" t="s">
        <v>568</v>
      </c>
      <c r="BR13" s="124"/>
      <c r="BS13" s="111" t="s">
        <v>568</v>
      </c>
      <c r="BT13" s="111" t="s">
        <v>568</v>
      </c>
      <c r="BU13" s="111" t="s">
        <v>568</v>
      </c>
      <c r="BV13" s="111" t="s">
        <v>568</v>
      </c>
      <c r="BW13" s="111" t="s">
        <v>568</v>
      </c>
      <c r="BX13" s="111" t="s">
        <v>568</v>
      </c>
      <c r="BY13" s="111" t="s">
        <v>568</v>
      </c>
      <c r="BZ13" s="111" t="s">
        <v>568</v>
      </c>
      <c r="CA13" s="111" t="s">
        <v>568</v>
      </c>
      <c r="CB13" s="111" t="s">
        <v>568</v>
      </c>
      <c r="CC13" s="87"/>
      <c r="CD13" s="111" t="s">
        <v>568</v>
      </c>
      <c r="CE13" s="87"/>
      <c r="CF13" s="111" t="s">
        <v>568</v>
      </c>
      <c r="CG13" s="87"/>
      <c r="CH13" s="111" t="s">
        <v>568</v>
      </c>
      <c r="CI13" s="87"/>
      <c r="CJ13" s="111" t="s">
        <v>568</v>
      </c>
      <c r="CK13" s="87"/>
      <c r="CL13" s="111" t="s">
        <v>568</v>
      </c>
      <c r="CM13" s="87"/>
      <c r="CN13" s="125"/>
      <c r="CO13" s="87"/>
      <c r="CP13" s="111" t="s">
        <v>568</v>
      </c>
      <c r="CQ13" s="111" t="s">
        <v>568</v>
      </c>
      <c r="CR13" s="111" t="s">
        <v>568</v>
      </c>
      <c r="CS13" s="111" t="s">
        <v>568</v>
      </c>
      <c r="CT13" s="87"/>
      <c r="CU13" s="111" t="s">
        <v>568</v>
      </c>
      <c r="CV13" s="87"/>
      <c r="CW13" s="126"/>
      <c r="CX13" s="118"/>
      <c r="CY13" s="118"/>
      <c r="CZ13" s="118"/>
    </row>
    <row r="14" spans="1:104" ht="15" customHeight="1">
      <c r="A14" s="121" t="s">
        <v>1176</v>
      </c>
      <c r="B14" s="87">
        <v>44109</v>
      </c>
      <c r="C14" s="111" t="s">
        <v>1177</v>
      </c>
      <c r="D14" s="111" t="s">
        <v>352</v>
      </c>
      <c r="E14" s="112" t="s">
        <v>1178</v>
      </c>
      <c r="F14" s="111" t="s">
        <v>1179</v>
      </c>
      <c r="G14" s="111" t="s">
        <v>374</v>
      </c>
      <c r="H14" s="111" t="s">
        <v>1180</v>
      </c>
      <c r="I14" s="111" t="s">
        <v>354</v>
      </c>
      <c r="J14" s="111" t="s">
        <v>1181</v>
      </c>
      <c r="K14" s="111" t="s">
        <v>170</v>
      </c>
      <c r="L14" s="111" t="s">
        <v>1182</v>
      </c>
      <c r="M14" s="112" t="s">
        <v>346</v>
      </c>
      <c r="N14" s="111" t="s">
        <v>1183</v>
      </c>
      <c r="O14" s="111" t="s">
        <v>1184</v>
      </c>
      <c r="P14" s="111" t="s">
        <v>1185</v>
      </c>
      <c r="Q14" s="87">
        <v>44165</v>
      </c>
      <c r="R14" s="87">
        <v>44407</v>
      </c>
      <c r="S14" s="111" t="s">
        <v>568</v>
      </c>
      <c r="T14" s="87"/>
      <c r="U14" s="113" t="s">
        <v>295</v>
      </c>
      <c r="V14" s="113" t="s">
        <v>295</v>
      </c>
      <c r="W14" s="114" t="s">
        <v>262</v>
      </c>
      <c r="X14" s="111" t="s">
        <v>1186</v>
      </c>
      <c r="Y14" s="111" t="s">
        <v>568</v>
      </c>
      <c r="Z14" s="111" t="s">
        <v>568</v>
      </c>
      <c r="AA14" s="111" t="s">
        <v>568</v>
      </c>
      <c r="AB14" s="111" t="s">
        <v>568</v>
      </c>
      <c r="AC14" s="87"/>
      <c r="AD14" s="111" t="s">
        <v>261</v>
      </c>
      <c r="AE14" s="111" t="s">
        <v>568</v>
      </c>
      <c r="AF14" s="111" t="s">
        <v>1115</v>
      </c>
      <c r="AG14" s="111" t="s">
        <v>0</v>
      </c>
      <c r="AH14" s="114" t="s">
        <v>972</v>
      </c>
      <c r="AI14" s="114" t="s">
        <v>1116</v>
      </c>
      <c r="AJ14" s="114" t="s">
        <v>568</v>
      </c>
      <c r="AK14" s="114" t="s">
        <v>1116</v>
      </c>
      <c r="AL14" s="114" t="s">
        <v>568</v>
      </c>
      <c r="AM14" s="114" t="s">
        <v>1116</v>
      </c>
      <c r="AN14" s="114" t="s">
        <v>1116</v>
      </c>
      <c r="AO14" s="114" t="s">
        <v>1116</v>
      </c>
      <c r="AP14" s="114" t="s">
        <v>1116</v>
      </c>
      <c r="AQ14" s="114" t="s">
        <v>1116</v>
      </c>
      <c r="AR14" s="114" t="s">
        <v>1116</v>
      </c>
      <c r="AS14" s="114" t="s">
        <v>1116</v>
      </c>
      <c r="AT14" s="115" t="s">
        <v>1187</v>
      </c>
      <c r="AU14" s="116">
        <v>9382061</v>
      </c>
      <c r="AV14" s="111" t="s">
        <v>711</v>
      </c>
      <c r="AW14" s="112" t="s">
        <v>949</v>
      </c>
      <c r="AX14" s="87">
        <v>44466</v>
      </c>
      <c r="AY14" s="112" t="s">
        <v>1188</v>
      </c>
      <c r="AZ14" s="111" t="s">
        <v>584</v>
      </c>
      <c r="BA14" s="111" t="s">
        <v>82</v>
      </c>
      <c r="BB14" s="111" t="s">
        <v>168</v>
      </c>
      <c r="BC14" s="111" t="s">
        <v>568</v>
      </c>
      <c r="BD14" s="111" t="s">
        <v>801</v>
      </c>
      <c r="BE14" s="111" t="s">
        <v>568</v>
      </c>
      <c r="BF14" s="111" t="s">
        <v>573</v>
      </c>
      <c r="BG14" s="87">
        <v>44499</v>
      </c>
      <c r="BH14" s="114" t="s">
        <v>1116</v>
      </c>
      <c r="BI14" s="111" t="s">
        <v>568</v>
      </c>
      <c r="BJ14" s="111" t="s">
        <v>568</v>
      </c>
      <c r="BK14" s="111" t="s">
        <v>1137</v>
      </c>
      <c r="BL14" s="111" t="s">
        <v>568</v>
      </c>
      <c r="BM14" s="111" t="s">
        <v>568</v>
      </c>
      <c r="BN14" s="111" t="s">
        <v>568</v>
      </c>
      <c r="BO14" s="111" t="s">
        <v>568</v>
      </c>
      <c r="BP14" s="111" t="s">
        <v>568</v>
      </c>
      <c r="BQ14" s="111" t="s">
        <v>568</v>
      </c>
      <c r="BR14" s="124"/>
      <c r="BS14" s="111" t="s">
        <v>568</v>
      </c>
      <c r="BT14" s="111" t="s">
        <v>568</v>
      </c>
      <c r="BU14" s="111" t="s">
        <v>568</v>
      </c>
      <c r="BV14" s="111" t="s">
        <v>568</v>
      </c>
      <c r="BW14" s="111" t="s">
        <v>568</v>
      </c>
      <c r="BX14" s="111" t="s">
        <v>568</v>
      </c>
      <c r="BY14" s="111" t="s">
        <v>568</v>
      </c>
      <c r="BZ14" s="111" t="s">
        <v>568</v>
      </c>
      <c r="CA14" s="111" t="s">
        <v>568</v>
      </c>
      <c r="CB14" s="111" t="s">
        <v>568</v>
      </c>
      <c r="CC14" s="87"/>
      <c r="CD14" s="111" t="s">
        <v>568</v>
      </c>
      <c r="CE14" s="87"/>
      <c r="CF14" s="111" t="s">
        <v>568</v>
      </c>
      <c r="CG14" s="87"/>
      <c r="CH14" s="111" t="s">
        <v>568</v>
      </c>
      <c r="CI14" s="87"/>
      <c r="CJ14" s="111" t="s">
        <v>568</v>
      </c>
      <c r="CK14" s="87"/>
      <c r="CL14" s="111" t="s">
        <v>568</v>
      </c>
      <c r="CM14" s="87"/>
      <c r="CN14" s="125"/>
      <c r="CO14" s="87"/>
      <c r="CP14" s="111" t="s">
        <v>568</v>
      </c>
      <c r="CQ14" s="111" t="s">
        <v>568</v>
      </c>
      <c r="CR14" s="111" t="s">
        <v>568</v>
      </c>
      <c r="CS14" s="111" t="s">
        <v>568</v>
      </c>
      <c r="CT14" s="87"/>
      <c r="CU14" s="111" t="s">
        <v>568</v>
      </c>
      <c r="CV14" s="87"/>
      <c r="CW14" s="126"/>
      <c r="CX14" s="118"/>
      <c r="CY14" s="118"/>
      <c r="CZ14" s="118"/>
    </row>
    <row r="15" spans="1:104" ht="15" customHeight="1">
      <c r="A15" s="121" t="s">
        <v>1189</v>
      </c>
      <c r="B15" s="87">
        <v>44368</v>
      </c>
      <c r="C15" s="111" t="s">
        <v>1190</v>
      </c>
      <c r="D15" s="111" t="s">
        <v>352</v>
      </c>
      <c r="E15" s="112" t="s">
        <v>1178</v>
      </c>
      <c r="F15" s="111" t="s">
        <v>1179</v>
      </c>
      <c r="G15" s="111" t="s">
        <v>374</v>
      </c>
      <c r="H15" s="111" t="s">
        <v>1191</v>
      </c>
      <c r="I15" s="111" t="s">
        <v>354</v>
      </c>
      <c r="J15" s="111" t="s">
        <v>1181</v>
      </c>
      <c r="K15" s="111" t="s">
        <v>63</v>
      </c>
      <c r="L15" s="111" t="s">
        <v>1192</v>
      </c>
      <c r="M15" s="112" t="s">
        <v>346</v>
      </c>
      <c r="N15" s="111" t="s">
        <v>1193</v>
      </c>
      <c r="O15" s="111" t="s">
        <v>1194</v>
      </c>
      <c r="P15" s="111" t="s">
        <v>1195</v>
      </c>
      <c r="Q15" s="87">
        <v>44368</v>
      </c>
      <c r="R15" s="87">
        <v>44439</v>
      </c>
      <c r="S15" s="111" t="s">
        <v>1196</v>
      </c>
      <c r="T15" s="87">
        <v>44438</v>
      </c>
      <c r="U15" s="113" t="s">
        <v>295</v>
      </c>
      <c r="V15" s="113" t="s">
        <v>295</v>
      </c>
      <c r="W15" s="114" t="s">
        <v>262</v>
      </c>
      <c r="X15" s="111" t="s">
        <v>1197</v>
      </c>
      <c r="Y15" s="111" t="s">
        <v>568</v>
      </c>
      <c r="Z15" s="111" t="s">
        <v>568</v>
      </c>
      <c r="AA15" s="111" t="s">
        <v>804</v>
      </c>
      <c r="AB15" s="111" t="s">
        <v>568</v>
      </c>
      <c r="AC15" s="87">
        <v>44438</v>
      </c>
      <c r="AD15" s="111" t="s">
        <v>261</v>
      </c>
      <c r="AE15" s="111" t="s">
        <v>568</v>
      </c>
      <c r="AF15" s="111" t="s">
        <v>1115</v>
      </c>
      <c r="AG15" s="111" t="s">
        <v>0</v>
      </c>
      <c r="AH15" s="114" t="s">
        <v>972</v>
      </c>
      <c r="AI15" s="114" t="s">
        <v>1116</v>
      </c>
      <c r="AJ15" s="114" t="s">
        <v>568</v>
      </c>
      <c r="AK15" s="114" t="s">
        <v>1116</v>
      </c>
      <c r="AL15" s="114" t="s">
        <v>568</v>
      </c>
      <c r="AM15" s="114" t="s">
        <v>1116</v>
      </c>
      <c r="AN15" s="114" t="s">
        <v>1116</v>
      </c>
      <c r="AO15" s="114" t="s">
        <v>1116</v>
      </c>
      <c r="AP15" s="114" t="s">
        <v>1116</v>
      </c>
      <c r="AQ15" s="114" t="s">
        <v>1116</v>
      </c>
      <c r="AR15" s="114" t="s">
        <v>1116</v>
      </c>
      <c r="AS15" s="114" t="s">
        <v>1116</v>
      </c>
      <c r="AT15" s="115" t="s">
        <v>1198</v>
      </c>
      <c r="AU15" s="116">
        <v>9382061</v>
      </c>
      <c r="AV15" s="111" t="s">
        <v>711</v>
      </c>
      <c r="AW15" s="112" t="s">
        <v>949</v>
      </c>
      <c r="AX15" s="87">
        <v>44466</v>
      </c>
      <c r="AY15" s="112" t="s">
        <v>1188</v>
      </c>
      <c r="AZ15" s="111" t="s">
        <v>13</v>
      </c>
      <c r="BA15" s="111" t="s">
        <v>83</v>
      </c>
      <c r="BB15" s="111" t="s">
        <v>52</v>
      </c>
      <c r="BC15" s="111" t="s">
        <v>568</v>
      </c>
      <c r="BD15" s="111" t="s">
        <v>340</v>
      </c>
      <c r="BE15" s="111" t="s">
        <v>568</v>
      </c>
      <c r="BF15" s="111" t="s">
        <v>568</v>
      </c>
      <c r="BG15" s="87"/>
      <c r="BH15" s="114" t="s">
        <v>1116</v>
      </c>
      <c r="BI15" s="111" t="s">
        <v>568</v>
      </c>
      <c r="BJ15" s="111" t="s">
        <v>568</v>
      </c>
      <c r="BK15" s="111" t="s">
        <v>1120</v>
      </c>
      <c r="BL15" s="111" t="s">
        <v>1199</v>
      </c>
      <c r="BM15" s="111" t="s">
        <v>568</v>
      </c>
      <c r="BN15" s="111" t="s">
        <v>568</v>
      </c>
      <c r="BO15" s="111" t="s">
        <v>568</v>
      </c>
      <c r="BP15" s="111" t="s">
        <v>568</v>
      </c>
      <c r="BQ15" s="111" t="s">
        <v>568</v>
      </c>
      <c r="BR15" s="124"/>
      <c r="BS15" s="111" t="s">
        <v>568</v>
      </c>
      <c r="BT15" s="111" t="s">
        <v>568</v>
      </c>
      <c r="BU15" s="111" t="s">
        <v>568</v>
      </c>
      <c r="BV15" s="111" t="s">
        <v>568</v>
      </c>
      <c r="BW15" s="111" t="s">
        <v>568</v>
      </c>
      <c r="BX15" s="111" t="s">
        <v>568</v>
      </c>
      <c r="BY15" s="111" t="s">
        <v>568</v>
      </c>
      <c r="BZ15" s="111" t="s">
        <v>568</v>
      </c>
      <c r="CA15" s="111" t="s">
        <v>568</v>
      </c>
      <c r="CB15" s="111" t="s">
        <v>568</v>
      </c>
      <c r="CC15" s="87"/>
      <c r="CD15" s="111" t="s">
        <v>568</v>
      </c>
      <c r="CE15" s="87"/>
      <c r="CF15" s="111" t="s">
        <v>568</v>
      </c>
      <c r="CG15" s="87"/>
      <c r="CH15" s="111" t="s">
        <v>568</v>
      </c>
      <c r="CI15" s="87"/>
      <c r="CJ15" s="111" t="s">
        <v>568</v>
      </c>
      <c r="CK15" s="87"/>
      <c r="CL15" s="111" t="s">
        <v>568</v>
      </c>
      <c r="CM15" s="87"/>
      <c r="CN15" s="125"/>
      <c r="CO15" s="87"/>
      <c r="CP15" s="111" t="s">
        <v>568</v>
      </c>
      <c r="CQ15" s="111" t="s">
        <v>568</v>
      </c>
      <c r="CR15" s="111" t="s">
        <v>568</v>
      </c>
      <c r="CS15" s="111" t="s">
        <v>568</v>
      </c>
      <c r="CT15" s="87"/>
      <c r="CU15" s="111" t="s">
        <v>568</v>
      </c>
      <c r="CV15" s="87"/>
      <c r="CW15" s="126"/>
      <c r="CX15" s="118"/>
      <c r="CY15" s="118"/>
      <c r="CZ15" s="118"/>
    </row>
    <row r="16" spans="1:104" ht="15" customHeight="1">
      <c r="A16" s="121" t="s">
        <v>1200</v>
      </c>
      <c r="B16" s="87">
        <v>44421</v>
      </c>
      <c r="C16" s="111" t="s">
        <v>1201</v>
      </c>
      <c r="D16" s="111" t="s">
        <v>364</v>
      </c>
      <c r="E16" s="112" t="s">
        <v>1202</v>
      </c>
      <c r="F16" s="111" t="s">
        <v>1203</v>
      </c>
      <c r="G16" s="111" t="s">
        <v>389</v>
      </c>
      <c r="H16" s="111" t="s">
        <v>1204</v>
      </c>
      <c r="I16" s="111" t="s">
        <v>13</v>
      </c>
      <c r="J16" s="111" t="s">
        <v>1205</v>
      </c>
      <c r="K16" s="111" t="s">
        <v>83</v>
      </c>
      <c r="L16" s="111" t="s">
        <v>1206</v>
      </c>
      <c r="M16" s="112" t="s">
        <v>346</v>
      </c>
      <c r="N16" s="111" t="s">
        <v>1207</v>
      </c>
      <c r="O16" s="111" t="s">
        <v>1208</v>
      </c>
      <c r="P16" s="111" t="s">
        <v>1209</v>
      </c>
      <c r="Q16" s="87">
        <v>44406</v>
      </c>
      <c r="R16" s="87">
        <v>44498</v>
      </c>
      <c r="S16" s="111" t="s">
        <v>1210</v>
      </c>
      <c r="T16" s="87">
        <v>44406</v>
      </c>
      <c r="U16" s="113" t="s">
        <v>295</v>
      </c>
      <c r="V16" s="113" t="s">
        <v>295</v>
      </c>
      <c r="W16" s="114" t="s">
        <v>262</v>
      </c>
      <c r="X16" s="111" t="s">
        <v>1211</v>
      </c>
      <c r="Y16" s="111" t="s">
        <v>568</v>
      </c>
      <c r="Z16" s="111" t="s">
        <v>568</v>
      </c>
      <c r="AA16" s="111" t="s">
        <v>568</v>
      </c>
      <c r="AB16" s="111" t="s">
        <v>568</v>
      </c>
      <c r="AC16" s="87"/>
      <c r="AD16" s="111" t="s">
        <v>261</v>
      </c>
      <c r="AE16" s="111" t="s">
        <v>568</v>
      </c>
      <c r="AF16" s="111" t="s">
        <v>1115</v>
      </c>
      <c r="AG16" s="111" t="s">
        <v>0</v>
      </c>
      <c r="AH16" s="114" t="s">
        <v>972</v>
      </c>
      <c r="AI16" s="114" t="s">
        <v>1116</v>
      </c>
      <c r="AJ16" s="114" t="s">
        <v>568</v>
      </c>
      <c r="AK16" s="114" t="s">
        <v>1116</v>
      </c>
      <c r="AL16" s="114" t="s">
        <v>568</v>
      </c>
      <c r="AM16" s="114" t="s">
        <v>1116</v>
      </c>
      <c r="AN16" s="114" t="s">
        <v>1116</v>
      </c>
      <c r="AO16" s="114" t="s">
        <v>1116</v>
      </c>
      <c r="AP16" s="114" t="s">
        <v>1116</v>
      </c>
      <c r="AQ16" s="114" t="s">
        <v>1116</v>
      </c>
      <c r="AR16" s="114" t="s">
        <v>1116</v>
      </c>
      <c r="AS16" s="114" t="s">
        <v>1116</v>
      </c>
      <c r="AT16" s="115" t="s">
        <v>1212</v>
      </c>
      <c r="AU16" s="116">
        <v>9382061</v>
      </c>
      <c r="AV16" s="111" t="s">
        <v>711</v>
      </c>
      <c r="AW16" s="112" t="s">
        <v>949</v>
      </c>
      <c r="AX16" s="87">
        <v>44560</v>
      </c>
      <c r="AY16" s="112" t="s">
        <v>1155</v>
      </c>
      <c r="AZ16" s="111" t="s">
        <v>13</v>
      </c>
      <c r="BA16" s="111" t="s">
        <v>83</v>
      </c>
      <c r="BB16" s="111" t="s">
        <v>52</v>
      </c>
      <c r="BC16" s="111" t="s">
        <v>568</v>
      </c>
      <c r="BD16" s="111" t="s">
        <v>801</v>
      </c>
      <c r="BE16" s="111" t="s">
        <v>568</v>
      </c>
      <c r="BF16" s="111" t="s">
        <v>574</v>
      </c>
      <c r="BG16" s="87">
        <v>44592</v>
      </c>
      <c r="BH16" s="114" t="s">
        <v>1116</v>
      </c>
      <c r="BI16" s="111" t="s">
        <v>1213</v>
      </c>
      <c r="BJ16" s="111" t="s">
        <v>1214</v>
      </c>
      <c r="BK16" s="111" t="s">
        <v>1137</v>
      </c>
      <c r="BL16" s="111" t="s">
        <v>568</v>
      </c>
      <c r="BM16" s="111" t="s">
        <v>568</v>
      </c>
      <c r="BN16" s="111" t="s">
        <v>568</v>
      </c>
      <c r="BO16" s="111" t="s">
        <v>568</v>
      </c>
      <c r="BP16" s="111" t="s">
        <v>568</v>
      </c>
      <c r="BQ16" s="111" t="s">
        <v>568</v>
      </c>
      <c r="BR16" s="124"/>
      <c r="BS16" s="111" t="s">
        <v>568</v>
      </c>
      <c r="BT16" s="111" t="s">
        <v>568</v>
      </c>
      <c r="BU16" s="111" t="s">
        <v>568</v>
      </c>
      <c r="BV16" s="111" t="s">
        <v>568</v>
      </c>
      <c r="BW16" s="111" t="s">
        <v>568</v>
      </c>
      <c r="BX16" s="111" t="s">
        <v>568</v>
      </c>
      <c r="BY16" s="111" t="s">
        <v>568</v>
      </c>
      <c r="BZ16" s="111" t="s">
        <v>568</v>
      </c>
      <c r="CA16" s="111" t="s">
        <v>568</v>
      </c>
      <c r="CB16" s="111" t="s">
        <v>568</v>
      </c>
      <c r="CC16" s="87"/>
      <c r="CD16" s="111" t="s">
        <v>568</v>
      </c>
      <c r="CE16" s="87"/>
      <c r="CF16" s="111" t="s">
        <v>568</v>
      </c>
      <c r="CG16" s="87"/>
      <c r="CH16" s="111" t="s">
        <v>568</v>
      </c>
      <c r="CI16" s="87"/>
      <c r="CJ16" s="111" t="s">
        <v>568</v>
      </c>
      <c r="CK16" s="87"/>
      <c r="CL16" s="111" t="s">
        <v>568</v>
      </c>
      <c r="CM16" s="87"/>
      <c r="CN16" s="125"/>
      <c r="CO16" s="87"/>
      <c r="CP16" s="111" t="s">
        <v>568</v>
      </c>
      <c r="CQ16" s="111" t="s">
        <v>568</v>
      </c>
      <c r="CR16" s="111" t="s">
        <v>568</v>
      </c>
      <c r="CS16" s="111" t="s">
        <v>568</v>
      </c>
      <c r="CT16" s="87"/>
      <c r="CU16" s="111" t="s">
        <v>568</v>
      </c>
      <c r="CV16" s="87"/>
      <c r="CW16" s="126"/>
      <c r="CX16" s="118"/>
      <c r="CY16" s="118"/>
      <c r="CZ16" s="118"/>
    </row>
    <row r="17" spans="1:104" ht="15" customHeight="1">
      <c r="A17" s="121" t="s">
        <v>1215</v>
      </c>
      <c r="B17" s="87">
        <v>44417</v>
      </c>
      <c r="C17" s="111" t="s">
        <v>1216</v>
      </c>
      <c r="D17" s="111" t="s">
        <v>337</v>
      </c>
      <c r="E17" s="112" t="s">
        <v>1106</v>
      </c>
      <c r="F17" s="111" t="s">
        <v>1107</v>
      </c>
      <c r="G17" s="111" t="s">
        <v>370</v>
      </c>
      <c r="H17" s="111" t="s">
        <v>1217</v>
      </c>
      <c r="I17" s="111" t="s">
        <v>339</v>
      </c>
      <c r="J17" s="111" t="s">
        <v>1109</v>
      </c>
      <c r="K17" s="111" t="s">
        <v>757</v>
      </c>
      <c r="L17" s="111" t="s">
        <v>1218</v>
      </c>
      <c r="M17" s="112" t="s">
        <v>346</v>
      </c>
      <c r="N17" s="111" t="s">
        <v>1219</v>
      </c>
      <c r="O17" s="111" t="s">
        <v>1220</v>
      </c>
      <c r="P17" s="111" t="s">
        <v>1220</v>
      </c>
      <c r="Q17" s="87">
        <v>44423</v>
      </c>
      <c r="R17" s="87"/>
      <c r="S17" s="111" t="s">
        <v>1221</v>
      </c>
      <c r="T17" s="87">
        <v>44454</v>
      </c>
      <c r="U17" s="113" t="s">
        <v>295</v>
      </c>
      <c r="V17" s="113" t="s">
        <v>295</v>
      </c>
      <c r="W17" s="114" t="s">
        <v>262</v>
      </c>
      <c r="X17" s="132" t="s">
        <v>1222</v>
      </c>
      <c r="Y17" s="111" t="s">
        <v>568</v>
      </c>
      <c r="Z17" s="111" t="s">
        <v>568</v>
      </c>
      <c r="AA17" s="111" t="s">
        <v>568</v>
      </c>
      <c r="AB17" s="111" t="s">
        <v>568</v>
      </c>
      <c r="AC17" s="87"/>
      <c r="AD17" s="111" t="s">
        <v>261</v>
      </c>
      <c r="AE17" s="111" t="s">
        <v>1114</v>
      </c>
      <c r="AF17" s="111" t="s">
        <v>1115</v>
      </c>
      <c r="AG17" s="111" t="s">
        <v>0</v>
      </c>
      <c r="AH17" s="114" t="s">
        <v>972</v>
      </c>
      <c r="AI17" s="114" t="s">
        <v>1116</v>
      </c>
      <c r="AJ17" s="114" t="s">
        <v>568</v>
      </c>
      <c r="AK17" s="114" t="s">
        <v>1116</v>
      </c>
      <c r="AL17" s="114" t="s">
        <v>568</v>
      </c>
      <c r="AM17" s="114" t="s">
        <v>1116</v>
      </c>
      <c r="AN17" s="114" t="s">
        <v>1116</v>
      </c>
      <c r="AO17" s="114" t="s">
        <v>1116</v>
      </c>
      <c r="AP17" s="114" t="s">
        <v>1116</v>
      </c>
      <c r="AQ17" s="114" t="s">
        <v>1116</v>
      </c>
      <c r="AR17" s="114" t="s">
        <v>1116</v>
      </c>
      <c r="AS17" s="114" t="s">
        <v>1116</v>
      </c>
      <c r="AT17" s="115" t="s">
        <v>1223</v>
      </c>
      <c r="AU17" s="116">
        <v>9382061</v>
      </c>
      <c r="AV17" s="111" t="s">
        <v>711</v>
      </c>
      <c r="AW17" s="112" t="s">
        <v>949</v>
      </c>
      <c r="AX17" s="87">
        <v>44551</v>
      </c>
      <c r="AY17" s="112" t="s">
        <v>1155</v>
      </c>
      <c r="AZ17" s="111" t="s">
        <v>568</v>
      </c>
      <c r="BA17" s="111" t="s">
        <v>568</v>
      </c>
      <c r="BB17" s="111" t="s">
        <v>568</v>
      </c>
      <c r="BC17" s="111" t="s">
        <v>568</v>
      </c>
      <c r="BD17" s="111" t="s">
        <v>757</v>
      </c>
      <c r="BE17" s="111" t="s">
        <v>1224</v>
      </c>
      <c r="BF17" s="111" t="s">
        <v>568</v>
      </c>
      <c r="BG17" s="87"/>
      <c r="BH17" s="114" t="s">
        <v>1116</v>
      </c>
      <c r="BI17" s="111" t="s">
        <v>568</v>
      </c>
      <c r="BJ17" s="111" t="s">
        <v>568</v>
      </c>
      <c r="BK17" s="111" t="s">
        <v>1137</v>
      </c>
      <c r="BL17" s="111" t="s">
        <v>1225</v>
      </c>
      <c r="BM17" s="111" t="s">
        <v>568</v>
      </c>
      <c r="BN17" s="111" t="s">
        <v>1226</v>
      </c>
      <c r="BO17" s="111" t="s">
        <v>1227</v>
      </c>
      <c r="BP17" s="111" t="s">
        <v>1124</v>
      </c>
      <c r="BQ17" s="111" t="s">
        <v>1125</v>
      </c>
      <c r="BR17" s="124"/>
      <c r="BS17" s="111" t="s">
        <v>1126</v>
      </c>
      <c r="BT17" s="111" t="s">
        <v>1159</v>
      </c>
      <c r="BU17" s="111" t="s">
        <v>1228</v>
      </c>
      <c r="BV17" s="111" t="s">
        <v>568</v>
      </c>
      <c r="BW17" s="111" t="s">
        <v>568</v>
      </c>
      <c r="BX17" s="111" t="s">
        <v>568</v>
      </c>
      <c r="BY17" s="111" t="s">
        <v>568</v>
      </c>
      <c r="BZ17" s="111" t="s">
        <v>568</v>
      </c>
      <c r="CA17" s="111" t="s">
        <v>568</v>
      </c>
      <c r="CB17" s="111" t="s">
        <v>568</v>
      </c>
      <c r="CC17" s="87"/>
      <c r="CD17" s="111" t="s">
        <v>568</v>
      </c>
      <c r="CE17" s="87"/>
      <c r="CF17" s="111" t="s">
        <v>568</v>
      </c>
      <c r="CG17" s="87"/>
      <c r="CH17" s="111" t="s">
        <v>568</v>
      </c>
      <c r="CI17" s="87"/>
      <c r="CJ17" s="111" t="s">
        <v>568</v>
      </c>
      <c r="CK17" s="87"/>
      <c r="CL17" s="111" t="s">
        <v>568</v>
      </c>
      <c r="CM17" s="87"/>
      <c r="CN17" s="125"/>
      <c r="CO17" s="87"/>
      <c r="CP17" s="111" t="s">
        <v>774</v>
      </c>
      <c r="CQ17" s="111" t="s">
        <v>1229</v>
      </c>
      <c r="CR17" s="111" t="s">
        <v>1130</v>
      </c>
      <c r="CS17" s="111">
        <v>2</v>
      </c>
      <c r="CT17" s="87">
        <v>44442</v>
      </c>
      <c r="CU17" s="111" t="s">
        <v>1114</v>
      </c>
      <c r="CV17" s="87">
        <v>44442</v>
      </c>
      <c r="CW17" s="126"/>
      <c r="CX17" s="118"/>
      <c r="CY17" s="118"/>
      <c r="CZ17" s="118"/>
    </row>
    <row r="18" spans="1:104" ht="15" customHeight="1">
      <c r="A18" s="121" t="s">
        <v>1230</v>
      </c>
      <c r="B18" s="87">
        <v>44527</v>
      </c>
      <c r="C18" s="111" t="s">
        <v>1231</v>
      </c>
      <c r="D18" s="111" t="s">
        <v>368</v>
      </c>
      <c r="E18" s="112" t="s">
        <v>1232</v>
      </c>
      <c r="F18" s="111" t="s">
        <v>1233</v>
      </c>
      <c r="G18" s="111" t="s">
        <v>397</v>
      </c>
      <c r="H18" s="111" t="s">
        <v>1234</v>
      </c>
      <c r="I18" s="111" t="s">
        <v>366</v>
      </c>
      <c r="J18" s="111" t="s">
        <v>1235</v>
      </c>
      <c r="K18" s="111" t="s">
        <v>471</v>
      </c>
      <c r="L18" s="111" t="s">
        <v>1236</v>
      </c>
      <c r="M18" s="112" t="s">
        <v>346</v>
      </c>
      <c r="N18" s="111" t="s">
        <v>1237</v>
      </c>
      <c r="O18" s="111" t="s">
        <v>1238</v>
      </c>
      <c r="P18" s="111" t="s">
        <v>1239</v>
      </c>
      <c r="Q18" s="87">
        <v>44527</v>
      </c>
      <c r="R18" s="87">
        <v>44617</v>
      </c>
      <c r="S18" s="132" t="s">
        <v>1240</v>
      </c>
      <c r="T18" s="87">
        <v>44554</v>
      </c>
      <c r="U18" s="113" t="s">
        <v>295</v>
      </c>
      <c r="V18" s="113" t="s">
        <v>295</v>
      </c>
      <c r="W18" s="114" t="s">
        <v>262</v>
      </c>
      <c r="X18" s="111" t="s">
        <v>1241</v>
      </c>
      <c r="Y18" s="111" t="s">
        <v>568</v>
      </c>
      <c r="Z18" s="111" t="s">
        <v>568</v>
      </c>
      <c r="AA18" s="111" t="s">
        <v>5</v>
      </c>
      <c r="AB18" s="111" t="s">
        <v>1242</v>
      </c>
      <c r="AC18" s="87">
        <v>44585</v>
      </c>
      <c r="AD18" s="111" t="s">
        <v>349</v>
      </c>
      <c r="AE18" s="111" t="s">
        <v>1243</v>
      </c>
      <c r="AF18" s="111" t="s">
        <v>1115</v>
      </c>
      <c r="AG18" s="111" t="s">
        <v>0</v>
      </c>
      <c r="AH18" s="114" t="s">
        <v>972</v>
      </c>
      <c r="AI18" s="114" t="s">
        <v>1116</v>
      </c>
      <c r="AJ18" s="114" t="s">
        <v>568</v>
      </c>
      <c r="AK18" s="114" t="s">
        <v>1116</v>
      </c>
      <c r="AL18" s="114" t="s">
        <v>568</v>
      </c>
      <c r="AM18" s="114" t="s">
        <v>1116</v>
      </c>
      <c r="AN18" s="114" t="s">
        <v>1116</v>
      </c>
      <c r="AO18" s="114" t="s">
        <v>1116</v>
      </c>
      <c r="AP18" s="114" t="s">
        <v>1116</v>
      </c>
      <c r="AQ18" s="114" t="s">
        <v>1244</v>
      </c>
      <c r="AR18" s="114" t="s">
        <v>1116</v>
      </c>
      <c r="AS18" s="114" t="s">
        <v>1116</v>
      </c>
      <c r="AT18" s="115" t="s">
        <v>1245</v>
      </c>
      <c r="AU18" s="116">
        <v>9382061</v>
      </c>
      <c r="AV18" s="111" t="s">
        <v>711</v>
      </c>
      <c r="AW18" s="112" t="s">
        <v>949</v>
      </c>
      <c r="AX18" s="87">
        <v>44581</v>
      </c>
      <c r="AY18" s="112" t="s">
        <v>1155</v>
      </c>
      <c r="AZ18" s="111" t="s">
        <v>17</v>
      </c>
      <c r="BA18" s="111" t="s">
        <v>180</v>
      </c>
      <c r="BB18" s="111" t="s">
        <v>402</v>
      </c>
      <c r="BC18" s="111" t="s">
        <v>568</v>
      </c>
      <c r="BD18" s="111" t="s">
        <v>756</v>
      </c>
      <c r="BE18" s="111" t="s">
        <v>568</v>
      </c>
      <c r="BF18" s="111" t="s">
        <v>568</v>
      </c>
      <c r="BG18" s="87"/>
      <c r="BH18" s="114" t="s">
        <v>1116</v>
      </c>
      <c r="BI18" s="111" t="s">
        <v>568</v>
      </c>
      <c r="BJ18" s="111" t="s">
        <v>568</v>
      </c>
      <c r="BK18" s="111" t="s">
        <v>1120</v>
      </c>
      <c r="BL18" s="111" t="s">
        <v>568</v>
      </c>
      <c r="BM18" s="111" t="s">
        <v>568</v>
      </c>
      <c r="BN18" s="111" t="s">
        <v>568</v>
      </c>
      <c r="BO18" s="111" t="s">
        <v>568</v>
      </c>
      <c r="BP18" s="111" t="s">
        <v>568</v>
      </c>
      <c r="BQ18" s="111" t="s">
        <v>568</v>
      </c>
      <c r="BR18" s="124"/>
      <c r="BS18" s="111" t="s">
        <v>568</v>
      </c>
      <c r="BT18" s="111" t="s">
        <v>568</v>
      </c>
      <c r="BU18" s="111" t="s">
        <v>568</v>
      </c>
      <c r="BV18" s="111" t="s">
        <v>568</v>
      </c>
      <c r="BW18" s="111" t="s">
        <v>568</v>
      </c>
      <c r="BX18" s="111" t="s">
        <v>568</v>
      </c>
      <c r="BY18" s="111" t="s">
        <v>568</v>
      </c>
      <c r="BZ18" s="111" t="s">
        <v>568</v>
      </c>
      <c r="CA18" s="111" t="s">
        <v>568</v>
      </c>
      <c r="CB18" s="111" t="s">
        <v>568</v>
      </c>
      <c r="CC18" s="87"/>
      <c r="CD18" s="111" t="s">
        <v>568</v>
      </c>
      <c r="CE18" s="87"/>
      <c r="CF18" s="111" t="s">
        <v>568</v>
      </c>
      <c r="CG18" s="87"/>
      <c r="CH18" s="111" t="s">
        <v>568</v>
      </c>
      <c r="CI18" s="87"/>
      <c r="CJ18" s="111" t="s">
        <v>568</v>
      </c>
      <c r="CK18" s="87"/>
      <c r="CL18" s="111" t="s">
        <v>568</v>
      </c>
      <c r="CM18" s="87"/>
      <c r="CN18" s="125"/>
      <c r="CO18" s="87"/>
      <c r="CP18" s="111" t="s">
        <v>568</v>
      </c>
      <c r="CQ18" s="111" t="s">
        <v>568</v>
      </c>
      <c r="CR18" s="111" t="s">
        <v>568</v>
      </c>
      <c r="CS18" s="111" t="s">
        <v>568</v>
      </c>
      <c r="CT18" s="87"/>
      <c r="CU18" s="111" t="s">
        <v>568</v>
      </c>
      <c r="CV18" s="87"/>
      <c r="CW18" s="126"/>
      <c r="CX18" s="118"/>
      <c r="CY18" s="118"/>
      <c r="CZ18" s="118"/>
    </row>
    <row r="19" spans="1:104" ht="15" customHeight="1">
      <c r="A19" s="121" t="s">
        <v>1246</v>
      </c>
      <c r="B19" s="87">
        <v>44421</v>
      </c>
      <c r="C19" s="111" t="s">
        <v>1247</v>
      </c>
      <c r="D19" s="111" t="s">
        <v>364</v>
      </c>
      <c r="E19" s="112" t="s">
        <v>1202</v>
      </c>
      <c r="F19" s="111" t="s">
        <v>1203</v>
      </c>
      <c r="G19" s="111" t="s">
        <v>389</v>
      </c>
      <c r="H19" s="111" t="s">
        <v>1248</v>
      </c>
      <c r="I19" s="111" t="s">
        <v>584</v>
      </c>
      <c r="J19" s="111" t="s">
        <v>1249</v>
      </c>
      <c r="K19" s="111" t="s">
        <v>82</v>
      </c>
      <c r="L19" s="111" t="s">
        <v>1250</v>
      </c>
      <c r="M19" s="112" t="s">
        <v>346</v>
      </c>
      <c r="N19" s="111" t="s">
        <v>1251</v>
      </c>
      <c r="O19" s="111" t="s">
        <v>1252</v>
      </c>
      <c r="P19" s="111" t="s">
        <v>1253</v>
      </c>
      <c r="Q19" s="87">
        <v>44421</v>
      </c>
      <c r="R19" s="87">
        <v>44511</v>
      </c>
      <c r="S19" s="111" t="s">
        <v>1254</v>
      </c>
      <c r="T19" s="87">
        <v>44579</v>
      </c>
      <c r="U19" s="113" t="s">
        <v>295</v>
      </c>
      <c r="V19" s="113" t="s">
        <v>295</v>
      </c>
      <c r="W19" s="114" t="s">
        <v>262</v>
      </c>
      <c r="X19" s="111" t="s">
        <v>1255</v>
      </c>
      <c r="Y19" s="111" t="s">
        <v>568</v>
      </c>
      <c r="Z19" s="111" t="s">
        <v>568</v>
      </c>
      <c r="AA19" s="111" t="s">
        <v>4</v>
      </c>
      <c r="AB19" s="111" t="s">
        <v>1256</v>
      </c>
      <c r="AC19" s="87">
        <v>44579</v>
      </c>
      <c r="AD19" s="111" t="s">
        <v>349</v>
      </c>
      <c r="AE19" s="111" t="s">
        <v>1243</v>
      </c>
      <c r="AF19" s="111" t="s">
        <v>1115</v>
      </c>
      <c r="AG19" s="111" t="s">
        <v>0</v>
      </c>
      <c r="AH19" s="114" t="s">
        <v>972</v>
      </c>
      <c r="AI19" s="114" t="s">
        <v>1116</v>
      </c>
      <c r="AJ19" s="114" t="s">
        <v>568</v>
      </c>
      <c r="AK19" s="114" t="s">
        <v>1116</v>
      </c>
      <c r="AL19" s="114" t="s">
        <v>568</v>
      </c>
      <c r="AM19" s="114" t="s">
        <v>1116</v>
      </c>
      <c r="AN19" s="114" t="s">
        <v>1116</v>
      </c>
      <c r="AO19" s="114" t="s">
        <v>1116</v>
      </c>
      <c r="AP19" s="114" t="s">
        <v>1116</v>
      </c>
      <c r="AQ19" s="114" t="s">
        <v>1116</v>
      </c>
      <c r="AR19" s="114" t="s">
        <v>1116</v>
      </c>
      <c r="AS19" s="114" t="s">
        <v>1116</v>
      </c>
      <c r="AT19" s="115" t="s">
        <v>1257</v>
      </c>
      <c r="AU19" s="116">
        <v>9382061</v>
      </c>
      <c r="AV19" s="111" t="s">
        <v>711</v>
      </c>
      <c r="AW19" s="112" t="s">
        <v>949</v>
      </c>
      <c r="AX19" s="87">
        <v>44618</v>
      </c>
      <c r="AY19" s="112" t="s">
        <v>1155</v>
      </c>
      <c r="AZ19" s="111" t="s">
        <v>584</v>
      </c>
      <c r="BA19" s="111" t="s">
        <v>82</v>
      </c>
      <c r="BB19" s="111" t="s">
        <v>44</v>
      </c>
      <c r="BC19" s="111" t="s">
        <v>568</v>
      </c>
      <c r="BD19" s="111" t="s">
        <v>755</v>
      </c>
      <c r="BE19" s="111" t="s">
        <v>568</v>
      </c>
      <c r="BF19" s="111" t="s">
        <v>575</v>
      </c>
      <c r="BG19" s="87">
        <v>44688</v>
      </c>
      <c r="BH19" s="114" t="s">
        <v>1116</v>
      </c>
      <c r="BI19" s="111" t="s">
        <v>568</v>
      </c>
      <c r="BJ19" s="111" t="s">
        <v>1258</v>
      </c>
      <c r="BK19" s="111" t="s">
        <v>1137</v>
      </c>
      <c r="BL19" s="111" t="s">
        <v>568</v>
      </c>
      <c r="BM19" s="111" t="s">
        <v>568</v>
      </c>
      <c r="BN19" s="111" t="s">
        <v>568</v>
      </c>
      <c r="BO19" s="111" t="s">
        <v>568</v>
      </c>
      <c r="BP19" s="111" t="s">
        <v>568</v>
      </c>
      <c r="BQ19" s="111" t="s">
        <v>568</v>
      </c>
      <c r="BR19" s="124"/>
      <c r="BS19" s="111" t="s">
        <v>568</v>
      </c>
      <c r="BT19" s="111" t="s">
        <v>568</v>
      </c>
      <c r="BU19" s="111" t="s">
        <v>568</v>
      </c>
      <c r="BV19" s="111" t="s">
        <v>568</v>
      </c>
      <c r="BW19" s="111" t="s">
        <v>568</v>
      </c>
      <c r="BX19" s="111" t="s">
        <v>568</v>
      </c>
      <c r="BY19" s="111" t="s">
        <v>568</v>
      </c>
      <c r="BZ19" s="111" t="s">
        <v>568</v>
      </c>
      <c r="CA19" s="111" t="s">
        <v>568</v>
      </c>
      <c r="CB19" s="111" t="s">
        <v>568</v>
      </c>
      <c r="CC19" s="87"/>
      <c r="CD19" s="111" t="s">
        <v>568</v>
      </c>
      <c r="CE19" s="87"/>
      <c r="CF19" s="111" t="s">
        <v>568</v>
      </c>
      <c r="CG19" s="87"/>
      <c r="CH19" s="111" t="s">
        <v>568</v>
      </c>
      <c r="CI19" s="87"/>
      <c r="CJ19" s="111" t="s">
        <v>568</v>
      </c>
      <c r="CK19" s="87"/>
      <c r="CL19" s="111" t="s">
        <v>568</v>
      </c>
      <c r="CM19" s="87"/>
      <c r="CN19" s="125"/>
      <c r="CO19" s="87"/>
      <c r="CP19" s="111" t="s">
        <v>568</v>
      </c>
      <c r="CQ19" s="111" t="s">
        <v>568</v>
      </c>
      <c r="CR19" s="111" t="s">
        <v>568</v>
      </c>
      <c r="CS19" s="111" t="s">
        <v>568</v>
      </c>
      <c r="CT19" s="87"/>
      <c r="CU19" s="111" t="s">
        <v>568</v>
      </c>
      <c r="CV19" s="87"/>
      <c r="CW19" s="126"/>
      <c r="CX19" s="118"/>
      <c r="CY19" s="118"/>
      <c r="CZ19" s="118"/>
    </row>
    <row r="20" spans="1:104" ht="15" customHeight="1">
      <c r="A20" s="121" t="s">
        <v>1259</v>
      </c>
      <c r="B20" s="87">
        <v>44527</v>
      </c>
      <c r="C20" s="111" t="s">
        <v>1260</v>
      </c>
      <c r="D20" s="111" t="s">
        <v>364</v>
      </c>
      <c r="E20" s="112" t="s">
        <v>1202</v>
      </c>
      <c r="F20" s="111" t="s">
        <v>1203</v>
      </c>
      <c r="G20" s="111" t="s">
        <v>389</v>
      </c>
      <c r="H20" s="111" t="s">
        <v>1155</v>
      </c>
      <c r="I20" s="111" t="s">
        <v>8</v>
      </c>
      <c r="J20" s="111" t="s">
        <v>1261</v>
      </c>
      <c r="K20" s="111" t="s">
        <v>74</v>
      </c>
      <c r="L20" s="111" t="s">
        <v>1262</v>
      </c>
      <c r="M20" s="112" t="s">
        <v>346</v>
      </c>
      <c r="N20" s="111" t="s">
        <v>1263</v>
      </c>
      <c r="O20" s="111" t="s">
        <v>1264</v>
      </c>
      <c r="P20" s="111" t="s">
        <v>1265</v>
      </c>
      <c r="Q20" s="87">
        <v>44529</v>
      </c>
      <c r="R20" s="87">
        <v>44617</v>
      </c>
      <c r="S20" s="111" t="s">
        <v>568</v>
      </c>
      <c r="T20" s="87"/>
      <c r="U20" s="113" t="s">
        <v>295</v>
      </c>
      <c r="V20" s="113" t="s">
        <v>295</v>
      </c>
      <c r="W20" s="114" t="s">
        <v>262</v>
      </c>
      <c r="X20" s="111" t="s">
        <v>1266</v>
      </c>
      <c r="Y20" s="111" t="s">
        <v>568</v>
      </c>
      <c r="Z20" s="111" t="s">
        <v>568</v>
      </c>
      <c r="AA20" s="111" t="s">
        <v>568</v>
      </c>
      <c r="AB20" s="111" t="s">
        <v>568</v>
      </c>
      <c r="AC20" s="87"/>
      <c r="AD20" s="111" t="s">
        <v>261</v>
      </c>
      <c r="AE20" s="111" t="s">
        <v>568</v>
      </c>
      <c r="AF20" s="111" t="s">
        <v>1115</v>
      </c>
      <c r="AG20" s="111" t="s">
        <v>0</v>
      </c>
      <c r="AH20" s="114" t="s">
        <v>972</v>
      </c>
      <c r="AI20" s="114" t="s">
        <v>1116</v>
      </c>
      <c r="AJ20" s="114" t="s">
        <v>568</v>
      </c>
      <c r="AK20" s="114" t="s">
        <v>1116</v>
      </c>
      <c r="AL20" s="114" t="s">
        <v>568</v>
      </c>
      <c r="AM20" s="114" t="s">
        <v>1116</v>
      </c>
      <c r="AN20" s="114" t="s">
        <v>1116</v>
      </c>
      <c r="AO20" s="114" t="s">
        <v>1116</v>
      </c>
      <c r="AP20" s="114" t="s">
        <v>1116</v>
      </c>
      <c r="AQ20" s="114" t="s">
        <v>1116</v>
      </c>
      <c r="AR20" s="114" t="s">
        <v>1116</v>
      </c>
      <c r="AS20" s="114" t="s">
        <v>1116</v>
      </c>
      <c r="AT20" s="115" t="s">
        <v>1267</v>
      </c>
      <c r="AU20" s="116">
        <v>9382061</v>
      </c>
      <c r="AV20" s="111" t="s">
        <v>711</v>
      </c>
      <c r="AW20" s="112" t="s">
        <v>949</v>
      </c>
      <c r="AX20" s="87">
        <v>44560</v>
      </c>
      <c r="AY20" s="112" t="s">
        <v>1155</v>
      </c>
      <c r="AZ20" s="111" t="s">
        <v>8</v>
      </c>
      <c r="BA20" s="111" t="s">
        <v>74</v>
      </c>
      <c r="BB20" s="111" t="s">
        <v>44</v>
      </c>
      <c r="BC20" s="111" t="s">
        <v>568</v>
      </c>
      <c r="BD20" s="111" t="s">
        <v>755</v>
      </c>
      <c r="BE20" s="111" t="s">
        <v>568</v>
      </c>
      <c r="BF20" s="111" t="s">
        <v>568</v>
      </c>
      <c r="BG20" s="87"/>
      <c r="BH20" s="114" t="s">
        <v>1116</v>
      </c>
      <c r="BI20" s="111" t="s">
        <v>568</v>
      </c>
      <c r="BJ20" s="111" t="s">
        <v>568</v>
      </c>
      <c r="BK20" s="111" t="s">
        <v>1137</v>
      </c>
      <c r="BL20" s="111" t="s">
        <v>568</v>
      </c>
      <c r="BM20" s="111" t="s">
        <v>568</v>
      </c>
      <c r="BN20" s="111" t="s">
        <v>568</v>
      </c>
      <c r="BO20" s="111" t="s">
        <v>568</v>
      </c>
      <c r="BP20" s="111" t="s">
        <v>568</v>
      </c>
      <c r="BQ20" s="111" t="s">
        <v>568</v>
      </c>
      <c r="BR20" s="124"/>
      <c r="BS20" s="111" t="s">
        <v>568</v>
      </c>
      <c r="BT20" s="111" t="s">
        <v>568</v>
      </c>
      <c r="BU20" s="111" t="s">
        <v>568</v>
      </c>
      <c r="BV20" s="111" t="s">
        <v>568</v>
      </c>
      <c r="BW20" s="111" t="s">
        <v>568</v>
      </c>
      <c r="BX20" s="111" t="s">
        <v>568</v>
      </c>
      <c r="BY20" s="111" t="s">
        <v>568</v>
      </c>
      <c r="BZ20" s="111" t="s">
        <v>568</v>
      </c>
      <c r="CA20" s="111" t="s">
        <v>568</v>
      </c>
      <c r="CB20" s="111" t="s">
        <v>568</v>
      </c>
      <c r="CC20" s="87"/>
      <c r="CD20" s="111" t="s">
        <v>568</v>
      </c>
      <c r="CE20" s="87"/>
      <c r="CF20" s="111" t="s">
        <v>568</v>
      </c>
      <c r="CG20" s="87"/>
      <c r="CH20" s="111" t="s">
        <v>568</v>
      </c>
      <c r="CI20" s="87"/>
      <c r="CJ20" s="111" t="s">
        <v>568</v>
      </c>
      <c r="CK20" s="87"/>
      <c r="CL20" s="111" t="s">
        <v>568</v>
      </c>
      <c r="CM20" s="87"/>
      <c r="CN20" s="125"/>
      <c r="CO20" s="87"/>
      <c r="CP20" s="111" t="s">
        <v>568</v>
      </c>
      <c r="CQ20" s="111" t="s">
        <v>568</v>
      </c>
      <c r="CR20" s="111" t="s">
        <v>568</v>
      </c>
      <c r="CS20" s="111" t="s">
        <v>568</v>
      </c>
      <c r="CT20" s="87"/>
      <c r="CU20" s="111" t="s">
        <v>568</v>
      </c>
      <c r="CV20" s="87"/>
      <c r="CW20" s="126"/>
      <c r="CX20" s="118"/>
      <c r="CY20" s="118"/>
      <c r="CZ20" s="118"/>
    </row>
    <row r="21" spans="1:104" ht="15" customHeight="1">
      <c r="A21" s="117" t="s">
        <v>1060</v>
      </c>
      <c r="B21" s="126"/>
      <c r="C21" s="126"/>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126"/>
      <c r="AB21" s="126"/>
      <c r="AC21" s="126"/>
      <c r="AD21" s="126"/>
      <c r="AE21" s="126"/>
      <c r="AF21" s="126"/>
      <c r="AG21" s="126"/>
      <c r="AH21" s="126"/>
      <c r="AI21" s="126"/>
      <c r="AJ21" s="126"/>
      <c r="AK21" s="126"/>
      <c r="AL21" s="126"/>
      <c r="AM21" s="126"/>
      <c r="AN21" s="126"/>
      <c r="AO21" s="126"/>
      <c r="AP21" s="126"/>
      <c r="AQ21" s="126"/>
      <c r="AR21" s="126"/>
      <c r="AS21" s="126"/>
      <c r="AT21" s="126"/>
      <c r="AU21" s="126"/>
      <c r="AV21" s="126"/>
      <c r="AW21" s="126"/>
      <c r="AX21" s="126"/>
      <c r="AY21" s="126"/>
      <c r="AZ21" s="126"/>
      <c r="BA21" s="126"/>
      <c r="BB21" s="126"/>
      <c r="BC21" s="126"/>
      <c r="BD21" s="126"/>
      <c r="BE21" s="126"/>
      <c r="BF21" s="126"/>
      <c r="BG21" s="126"/>
      <c r="BH21" s="126"/>
      <c r="BI21" s="126"/>
      <c r="BJ21" s="126"/>
      <c r="BK21" s="126"/>
      <c r="BL21" s="126"/>
      <c r="BM21" s="126"/>
      <c r="BN21" s="126"/>
      <c r="BO21" s="126"/>
      <c r="BP21" s="126"/>
      <c r="BQ21" s="126"/>
      <c r="BR21" s="126"/>
      <c r="BS21" s="126"/>
      <c r="BT21" s="126"/>
      <c r="BU21" s="126"/>
      <c r="BV21" s="126"/>
      <c r="BW21" s="126"/>
      <c r="BX21" s="126"/>
      <c r="BY21" s="126"/>
      <c r="BZ21" s="126"/>
      <c r="CA21" s="126"/>
      <c r="CB21" s="126"/>
      <c r="CC21" s="126"/>
      <c r="CD21" s="126"/>
      <c r="CE21" s="126"/>
      <c r="CF21" s="126"/>
      <c r="CG21" s="126"/>
      <c r="CH21" s="126"/>
      <c r="CI21" s="126"/>
      <c r="CJ21" s="126"/>
      <c r="CK21" s="126"/>
      <c r="CL21" s="126"/>
      <c r="CM21" s="126"/>
      <c r="CN21" s="126"/>
      <c r="CO21" s="126"/>
      <c r="CP21" s="126"/>
      <c r="CQ21" s="126"/>
      <c r="CR21" s="126"/>
      <c r="CS21" s="126"/>
      <c r="CT21" s="126"/>
      <c r="CU21" s="126"/>
      <c r="CV21" s="126"/>
      <c r="CW21" s="126"/>
      <c r="CX21" s="118"/>
      <c r="CY21" s="118"/>
      <c r="CZ21" s="118"/>
    </row>
  </sheetData>
  <dataConsolidate link="1"/>
  <mergeCells count="1">
    <mergeCell ref="X5:AE5"/>
  </mergeCells>
  <phoneticPr fontId="3"/>
  <dataValidations count="1">
    <dataValidation type="whole" allowBlank="1" showInputMessage="1" showErrorMessage="1" errorTitle="IMO numner error" error="Enter only whole number with 7 digits starting with 9" promptTitle="Enter IMO number" prompt="only whole number with 7 digits starting with 9" sqref="C5" xr:uid="{00000000-0002-0000-0000-000000000000}">
      <formula1>8999999</formula1>
      <formula2>9999999</formula2>
    </dataValidation>
  </dataValidations>
  <pageMargins left="0.15748031496062992" right="0.15748031496062992" top="0.98425196850393704" bottom="0.98425196850393704" header="0.51181102362204722" footer="0.51181102362204722"/>
  <pageSetup paperSize="9" scale="75" orientation="landscape" r:id="rId1"/>
  <headerFooter alignWithMargins="0"/>
  <colBreaks count="1" manualBreakCount="1">
    <brk id="14" max="176" man="1"/>
  </colBreaks>
  <drawing r:id="rId2"/>
  <legacyDrawing r:id="rId3"/>
  <controls>
    <mc:AlternateContent xmlns:mc="http://schemas.openxmlformats.org/markup-compatibility/2006">
      <mc:Choice Requires="x14">
        <control shapeId="8299" r:id="rId4" name="ComboBox1">
          <controlPr defaultSize="0" autoLine="0" linkedCell="C1" listFillRange="shipname" r:id="rId5">
            <anchor moveWithCells="1">
              <from>
                <xdr:col>2</xdr:col>
                <xdr:colOff>19050</xdr:colOff>
                <xdr:row>0</xdr:row>
                <xdr:rowOff>0</xdr:rowOff>
              </from>
              <to>
                <xdr:col>3</xdr:col>
                <xdr:colOff>0</xdr:colOff>
                <xdr:row>0</xdr:row>
                <xdr:rowOff>222250</xdr:rowOff>
              </to>
            </anchor>
          </controlPr>
        </control>
      </mc:Choice>
      <mc:Fallback>
        <control shapeId="8299" r:id="rId4" name="ComboBox1"/>
      </mc:Fallback>
    </mc:AlternateContent>
    <mc:AlternateContent xmlns:mc="http://schemas.openxmlformats.org/markup-compatibility/2006">
      <mc:Choice Requires="x14">
        <control shapeId="8213" r:id="rId6" name="CommandButton2">
          <controlPr defaultSize="0" autoLine="0" r:id="rId7">
            <anchor moveWithCells="1">
              <from>
                <xdr:col>10</xdr:col>
                <xdr:colOff>19050</xdr:colOff>
                <xdr:row>1</xdr:row>
                <xdr:rowOff>57150</xdr:rowOff>
              </from>
              <to>
                <xdr:col>10</xdr:col>
                <xdr:colOff>1543050</xdr:colOff>
                <xdr:row>2</xdr:row>
                <xdr:rowOff>203200</xdr:rowOff>
              </to>
            </anchor>
          </controlPr>
        </control>
      </mc:Choice>
      <mc:Fallback>
        <control shapeId="8213" r:id="rId6" name="CommandButton2"/>
      </mc:Fallback>
    </mc:AlternateContent>
    <mc:AlternateContent xmlns:mc="http://schemas.openxmlformats.org/markup-compatibility/2006">
      <mc:Choice Requires="x14">
        <control shapeId="8214" r:id="rId8" name="CommandButton3">
          <controlPr locked="0" defaultSize="0" autoLine="0" r:id="rId9">
            <anchor moveWithCells="1">
              <from>
                <xdr:col>10</xdr:col>
                <xdr:colOff>1638300</xdr:colOff>
                <xdr:row>3</xdr:row>
                <xdr:rowOff>31750</xdr:rowOff>
              </from>
              <to>
                <xdr:col>13</xdr:col>
                <xdr:colOff>279400</xdr:colOff>
                <xdr:row>4</xdr:row>
                <xdr:rowOff>165100</xdr:rowOff>
              </to>
            </anchor>
          </controlPr>
        </control>
      </mc:Choice>
      <mc:Fallback>
        <control shapeId="8214" r:id="rId8" name="CommandButton3"/>
      </mc:Fallback>
    </mc:AlternateContent>
    <mc:AlternateContent xmlns:mc="http://schemas.openxmlformats.org/markup-compatibility/2006">
      <mc:Choice Requires="x14">
        <control shapeId="8264" r:id="rId10" name="CommandButton4">
          <controlPr locked="0" defaultSize="0" autoLine="0" r:id="rId11">
            <anchor moveWithCells="1">
              <from>
                <xdr:col>10</xdr:col>
                <xdr:colOff>19050</xdr:colOff>
                <xdr:row>3</xdr:row>
                <xdr:rowOff>38100</xdr:rowOff>
              </from>
              <to>
                <xdr:col>10</xdr:col>
                <xdr:colOff>1593850</xdr:colOff>
                <xdr:row>4</xdr:row>
                <xdr:rowOff>203200</xdr:rowOff>
              </to>
            </anchor>
          </controlPr>
        </control>
      </mc:Choice>
      <mc:Fallback>
        <control shapeId="8264" r:id="rId10" name="CommandButton4"/>
      </mc:Fallback>
    </mc:AlternateContent>
    <mc:AlternateContent xmlns:mc="http://schemas.openxmlformats.org/markup-compatibility/2006">
      <mc:Choice Requires="x14">
        <control shapeId="8294" r:id="rId12" name="CommandButton1">
          <controlPr defaultSize="0" autoLine="0" r:id="rId13">
            <anchor moveWithCells="1">
              <from>
                <xdr:col>10</xdr:col>
                <xdr:colOff>1631950</xdr:colOff>
                <xdr:row>1</xdr:row>
                <xdr:rowOff>57150</xdr:rowOff>
              </from>
              <to>
                <xdr:col>13</xdr:col>
                <xdr:colOff>266700</xdr:colOff>
                <xdr:row>2</xdr:row>
                <xdr:rowOff>190500</xdr:rowOff>
              </to>
            </anchor>
          </controlPr>
        </control>
      </mc:Choice>
      <mc:Fallback>
        <control shapeId="8294" r:id="rId12"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G4333"/>
  <sheetViews>
    <sheetView zoomScale="96" zoomScaleNormal="96" workbookViewId="0">
      <selection sqref="A1:B1"/>
    </sheetView>
  </sheetViews>
  <sheetFormatPr defaultColWidth="0" defaultRowHeight="14"/>
  <cols>
    <col min="1" max="1" width="4.26953125" style="45" bestFit="1" customWidth="1"/>
    <col min="2" max="2" width="91" style="47" bestFit="1" customWidth="1"/>
    <col min="3" max="3" width="3.453125" style="47" customWidth="1"/>
    <col min="4" max="4" width="4.6328125" style="47" customWidth="1"/>
    <col min="5" max="5" width="11.90625" style="47" customWidth="1"/>
    <col min="6" max="6" width="62.90625" style="47" customWidth="1"/>
    <col min="7" max="7" width="0" style="47" hidden="1" customWidth="1"/>
    <col min="8" max="16384" width="9" style="47" hidden="1"/>
  </cols>
  <sheetData>
    <row r="1" spans="1:6" s="44" customFormat="1" ht="28">
      <c r="A1" s="131" t="s">
        <v>894</v>
      </c>
      <c r="B1" s="131"/>
      <c r="C1" s="65"/>
      <c r="D1" s="130" t="s">
        <v>603</v>
      </c>
      <c r="E1" s="130"/>
      <c r="F1" s="130"/>
    </row>
    <row r="2" spans="1:6" ht="7.5" customHeight="1">
      <c r="B2" s="46"/>
      <c r="C2" s="63"/>
      <c r="E2" s="46"/>
    </row>
    <row r="3" spans="1:6" ht="15.5">
      <c r="A3" s="45" t="s">
        <v>587</v>
      </c>
      <c r="B3" s="62" t="s">
        <v>894</v>
      </c>
      <c r="C3" s="63"/>
      <c r="D3" s="48" t="s">
        <v>587</v>
      </c>
      <c r="E3" s="49" t="s">
        <v>588</v>
      </c>
      <c r="F3" s="50" t="s">
        <v>589</v>
      </c>
    </row>
    <row r="4" spans="1:6" ht="25">
      <c r="A4" s="51">
        <v>1</v>
      </c>
      <c r="B4" s="52" t="s">
        <v>623</v>
      </c>
      <c r="C4" s="63"/>
      <c r="D4" s="53">
        <v>1</v>
      </c>
      <c r="E4" s="54" t="s">
        <v>602</v>
      </c>
      <c r="F4" s="55" t="s">
        <v>622</v>
      </c>
    </row>
    <row r="5" spans="1:6" ht="26">
      <c r="A5" s="51">
        <v>2</v>
      </c>
      <c r="B5" s="52" t="s">
        <v>624</v>
      </c>
      <c r="C5" s="63"/>
      <c r="D5" s="53">
        <v>2</v>
      </c>
      <c r="E5" s="54" t="s">
        <v>600</v>
      </c>
      <c r="F5" s="55" t="s">
        <v>601</v>
      </c>
    </row>
    <row r="6" spans="1:6" ht="26">
      <c r="A6" s="51">
        <v>3</v>
      </c>
      <c r="B6" s="52" t="s">
        <v>898</v>
      </c>
      <c r="C6" s="63"/>
      <c r="D6" s="53">
        <v>3</v>
      </c>
      <c r="E6" s="54" t="s">
        <v>304</v>
      </c>
      <c r="F6" s="55" t="s">
        <v>599</v>
      </c>
    </row>
    <row r="7" spans="1:6" ht="26">
      <c r="A7" s="51">
        <v>4</v>
      </c>
      <c r="B7" s="52" t="s">
        <v>604</v>
      </c>
      <c r="C7" s="63"/>
      <c r="D7" s="53">
        <v>4</v>
      </c>
      <c r="E7" s="54" t="s">
        <v>598</v>
      </c>
      <c r="F7" s="55" t="s">
        <v>621</v>
      </c>
    </row>
    <row r="8" spans="1:6" ht="25">
      <c r="A8" s="51">
        <v>5</v>
      </c>
      <c r="B8" s="52" t="s">
        <v>625</v>
      </c>
      <c r="C8" s="63"/>
      <c r="D8" s="53">
        <v>5</v>
      </c>
      <c r="E8" s="54" t="s">
        <v>596</v>
      </c>
      <c r="F8" s="55" t="s">
        <v>597</v>
      </c>
    </row>
    <row r="9" spans="1:6" ht="37.5">
      <c r="A9" s="51">
        <v>6</v>
      </c>
      <c r="B9" s="66" t="s">
        <v>1043</v>
      </c>
      <c r="C9" s="63"/>
      <c r="D9" s="53">
        <v>6</v>
      </c>
      <c r="E9" s="54" t="s">
        <v>896</v>
      </c>
      <c r="F9" s="55" t="s">
        <v>1044</v>
      </c>
    </row>
    <row r="10" spans="1:6">
      <c r="A10" s="51">
        <v>7</v>
      </c>
      <c r="B10" s="66" t="s">
        <v>605</v>
      </c>
      <c r="C10" s="63"/>
      <c r="D10" s="53">
        <v>7</v>
      </c>
      <c r="E10" s="54" t="s">
        <v>897</v>
      </c>
      <c r="F10" s="55" t="s">
        <v>595</v>
      </c>
    </row>
    <row r="11" spans="1:6" ht="39">
      <c r="A11" s="51">
        <v>8</v>
      </c>
      <c r="B11" s="76" t="s">
        <v>1096</v>
      </c>
      <c r="C11" s="63"/>
      <c r="D11" s="53">
        <v>8</v>
      </c>
      <c r="E11" s="54" t="s">
        <v>593</v>
      </c>
      <c r="F11" s="55" t="s">
        <v>594</v>
      </c>
    </row>
    <row r="12" spans="1:6" ht="26">
      <c r="C12" s="63"/>
      <c r="D12" s="53">
        <v>9</v>
      </c>
      <c r="E12" s="54" t="s">
        <v>592</v>
      </c>
      <c r="F12" s="55" t="s">
        <v>620</v>
      </c>
    </row>
    <row r="13" spans="1:6" ht="25">
      <c r="C13" s="63"/>
      <c r="D13" s="53">
        <v>10</v>
      </c>
      <c r="E13" s="54" t="s">
        <v>890</v>
      </c>
      <c r="F13" s="55" t="s">
        <v>975</v>
      </c>
    </row>
    <row r="14" spans="1:6" ht="25">
      <c r="C14" s="63"/>
      <c r="D14" s="53">
        <v>11</v>
      </c>
      <c r="E14" s="54" t="s">
        <v>591</v>
      </c>
      <c r="F14" s="55" t="s">
        <v>976</v>
      </c>
    </row>
    <row r="15" spans="1:6">
      <c r="C15" s="63"/>
      <c r="D15" s="53">
        <v>12</v>
      </c>
      <c r="E15" s="54" t="s">
        <v>590</v>
      </c>
      <c r="F15" s="55" t="s">
        <v>586</v>
      </c>
    </row>
    <row r="16" spans="1:6" ht="25">
      <c r="C16" s="63"/>
      <c r="D16" s="53">
        <v>13</v>
      </c>
      <c r="E16" s="54" t="s">
        <v>606</v>
      </c>
      <c r="F16" s="55" t="s">
        <v>613</v>
      </c>
    </row>
    <row r="17" spans="3:6" ht="37.5">
      <c r="C17" s="63"/>
      <c r="D17" s="53">
        <v>14</v>
      </c>
      <c r="E17" s="54" t="s">
        <v>607</v>
      </c>
      <c r="F17" s="55" t="s">
        <v>614</v>
      </c>
    </row>
    <row r="18" spans="3:6" ht="39">
      <c r="C18" s="63"/>
      <c r="D18" s="53">
        <v>15</v>
      </c>
      <c r="E18" s="54" t="s">
        <v>608</v>
      </c>
      <c r="F18" s="55" t="s">
        <v>615</v>
      </c>
    </row>
    <row r="19" spans="3:6" ht="39">
      <c r="C19" s="63"/>
      <c r="D19" s="53">
        <v>16</v>
      </c>
      <c r="E19" s="54" t="s">
        <v>609</v>
      </c>
      <c r="F19" s="55" t="s">
        <v>616</v>
      </c>
    </row>
    <row r="20" spans="3:6" ht="26">
      <c r="C20" s="63"/>
      <c r="D20" s="56">
        <v>17</v>
      </c>
      <c r="E20" s="57" t="s">
        <v>610</v>
      </c>
      <c r="F20" s="58" t="s">
        <v>617</v>
      </c>
    </row>
    <row r="21" spans="3:6">
      <c r="C21" s="63"/>
      <c r="D21" s="53">
        <v>18</v>
      </c>
      <c r="E21" s="57" t="s">
        <v>611</v>
      </c>
      <c r="F21" s="58"/>
    </row>
    <row r="22" spans="3:6" ht="26">
      <c r="C22" s="63"/>
      <c r="D22" s="56">
        <v>19</v>
      </c>
      <c r="E22" s="57" t="s">
        <v>487</v>
      </c>
      <c r="F22" s="58" t="s">
        <v>618</v>
      </c>
    </row>
    <row r="23" spans="3:6" ht="25">
      <c r="C23" s="63"/>
      <c r="D23" s="53">
        <v>20</v>
      </c>
      <c r="E23" s="59" t="s">
        <v>488</v>
      </c>
      <c r="F23" s="58" t="s">
        <v>619</v>
      </c>
    </row>
    <row r="24" spans="3:6" ht="25">
      <c r="C24" s="63"/>
      <c r="D24" s="56">
        <v>21</v>
      </c>
      <c r="E24" s="59" t="s">
        <v>612</v>
      </c>
      <c r="F24" s="58" t="s">
        <v>1045</v>
      </c>
    </row>
    <row r="25" spans="3:6" ht="25">
      <c r="C25" s="63"/>
      <c r="D25" s="53">
        <v>22</v>
      </c>
      <c r="E25" s="59" t="s">
        <v>1046</v>
      </c>
      <c r="F25" s="58" t="s">
        <v>1047</v>
      </c>
    </row>
    <row r="26" spans="3:6">
      <c r="C26" s="63"/>
      <c r="D26" s="64"/>
      <c r="E26" s="64"/>
      <c r="F26" s="64"/>
    </row>
    <row r="27" spans="3:6">
      <c r="C27" s="63"/>
      <c r="D27" s="64"/>
      <c r="E27" s="64"/>
      <c r="F27" s="64"/>
    </row>
    <row r="28" spans="3:6">
      <c r="D28" s="60"/>
      <c r="E28" s="60"/>
      <c r="F28" s="60"/>
    </row>
    <row r="29" spans="3:6">
      <c r="D29" s="61"/>
      <c r="E29" s="61"/>
    </row>
    <row r="30" spans="3:6">
      <c r="D30" s="61"/>
      <c r="E30" s="61"/>
      <c r="F30" s="61"/>
    </row>
    <row r="31" spans="3:6">
      <c r="D31" s="61"/>
      <c r="E31" s="61"/>
      <c r="F31" s="61"/>
    </row>
    <row r="32" spans="3:6">
      <c r="D32" s="61"/>
      <c r="E32" s="61"/>
      <c r="F32" s="61"/>
    </row>
    <row r="33" spans="4:6">
      <c r="D33" s="61"/>
      <c r="E33" s="61"/>
      <c r="F33" s="61"/>
    </row>
    <row r="34" spans="4:6">
      <c r="D34" s="61"/>
      <c r="E34" s="61"/>
      <c r="F34" s="61"/>
    </row>
    <row r="4333" spans="1:1">
      <c r="A4333" s="45" t="s">
        <v>1059</v>
      </c>
    </row>
  </sheetData>
  <mergeCells count="2">
    <mergeCell ref="D1:F1"/>
    <mergeCell ref="A1:B1"/>
  </mergeCells>
  <pageMargins left="0.7" right="0.7" top="0.75" bottom="0.75" header="0.3" footer="0.3"/>
  <pageSetup paperSize="9" orientation="portrait" r:id="rId1"/>
  <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CV1"/>
  <sheetViews>
    <sheetView workbookViewId="0">
      <selection activeCell="A2" sqref="A2"/>
    </sheetView>
  </sheetViews>
  <sheetFormatPr defaultRowHeight="13"/>
  <cols>
    <col min="1" max="1" width="24.7265625" bestFit="1" customWidth="1"/>
    <col min="2" max="2" width="11" bestFit="1" customWidth="1"/>
    <col min="17" max="17" width="10.90625" bestFit="1" customWidth="1"/>
    <col min="18" max="18" width="11.453125" customWidth="1"/>
    <col min="20" max="20" width="12.26953125" customWidth="1"/>
    <col min="29" max="29" width="10.90625" bestFit="1" customWidth="1"/>
    <col min="50" max="50" width="10.90625" bestFit="1" customWidth="1"/>
    <col min="59" max="59" width="10.90625" bestFit="1" customWidth="1"/>
    <col min="81" max="81" width="10.90625" bestFit="1" customWidth="1"/>
    <col min="83" max="83" width="10.90625" bestFit="1" customWidth="1"/>
    <col min="85" max="85" width="10.90625" bestFit="1" customWidth="1"/>
    <col min="87" max="87" width="10.90625" bestFit="1" customWidth="1"/>
    <col min="89" max="89" width="10.90625" bestFit="1" customWidth="1"/>
    <col min="91" max="91" width="10.90625" bestFit="1" customWidth="1"/>
    <col min="93" max="93" width="10.90625" bestFit="1" customWidth="1"/>
    <col min="98" max="98" width="10.90625" bestFit="1" customWidth="1"/>
    <col min="100" max="100" width="10.90625" bestFit="1" customWidth="1"/>
  </cols>
  <sheetData>
    <row r="1" spans="1:100" ht="42">
      <c r="A1" s="1" t="s">
        <v>512</v>
      </c>
      <c r="B1" s="4" t="s">
        <v>513</v>
      </c>
      <c r="C1" s="4" t="s">
        <v>514</v>
      </c>
      <c r="D1" s="4" t="s">
        <v>515</v>
      </c>
      <c r="E1" s="4" t="s">
        <v>497</v>
      </c>
      <c r="F1" s="4" t="s">
        <v>498</v>
      </c>
      <c r="G1" s="4" t="s">
        <v>516</v>
      </c>
      <c r="H1" s="5" t="s">
        <v>517</v>
      </c>
      <c r="I1" s="5" t="s">
        <v>518</v>
      </c>
      <c r="J1" s="5" t="s">
        <v>519</v>
      </c>
      <c r="K1" s="4" t="s">
        <v>520</v>
      </c>
      <c r="L1" s="4" t="s">
        <v>521</v>
      </c>
      <c r="M1" s="4" t="s">
        <v>522</v>
      </c>
      <c r="N1" s="4" t="s">
        <v>523</v>
      </c>
      <c r="O1" s="5" t="s">
        <v>524</v>
      </c>
      <c r="P1" s="5" t="s">
        <v>525</v>
      </c>
      <c r="Q1" s="5" t="s">
        <v>526</v>
      </c>
      <c r="R1" s="5" t="s">
        <v>527</v>
      </c>
      <c r="S1" s="5" t="s">
        <v>528</v>
      </c>
      <c r="T1" s="5" t="s">
        <v>529</v>
      </c>
      <c r="U1" s="4" t="s">
        <v>530</v>
      </c>
      <c r="V1" s="4" t="s">
        <v>531</v>
      </c>
      <c r="W1" s="4" t="s">
        <v>532</v>
      </c>
      <c r="X1" s="6" t="s">
        <v>533</v>
      </c>
      <c r="Y1" s="7" t="s">
        <v>534</v>
      </c>
      <c r="Z1" s="6" t="s">
        <v>535</v>
      </c>
      <c r="AA1" s="7" t="s">
        <v>536</v>
      </c>
      <c r="AB1" s="6" t="s">
        <v>537</v>
      </c>
      <c r="AC1" s="6" t="s">
        <v>538</v>
      </c>
      <c r="AD1" s="7" t="s">
        <v>539</v>
      </c>
      <c r="AE1" s="6" t="s">
        <v>540</v>
      </c>
      <c r="AF1" s="2" t="s">
        <v>541</v>
      </c>
      <c r="AG1" s="3" t="s">
        <v>542</v>
      </c>
      <c r="AH1" s="3" t="s">
        <v>890</v>
      </c>
      <c r="AI1" s="3" t="s">
        <v>549</v>
      </c>
      <c r="AJ1" s="3" t="s">
        <v>550</v>
      </c>
      <c r="AK1" s="3" t="s">
        <v>548</v>
      </c>
      <c r="AL1" s="3" t="s">
        <v>551</v>
      </c>
      <c r="AM1" s="3" t="s">
        <v>552</v>
      </c>
      <c r="AN1" s="3" t="s">
        <v>553</v>
      </c>
      <c r="AO1" s="3" t="s">
        <v>554</v>
      </c>
      <c r="AP1" s="3" t="s">
        <v>555</v>
      </c>
      <c r="AQ1" s="3" t="s">
        <v>556</v>
      </c>
      <c r="AR1" s="3" t="s">
        <v>557</v>
      </c>
      <c r="AS1" s="3" t="s">
        <v>543</v>
      </c>
      <c r="AT1" s="2" t="s">
        <v>558</v>
      </c>
      <c r="AU1" s="3" t="s">
        <v>559</v>
      </c>
      <c r="AV1" s="2" t="s">
        <v>544</v>
      </c>
      <c r="AW1" s="2" t="s">
        <v>560</v>
      </c>
      <c r="AX1" s="2" t="s">
        <v>561</v>
      </c>
      <c r="AY1" s="2" t="s">
        <v>562</v>
      </c>
      <c r="AZ1" s="2" t="s">
        <v>545</v>
      </c>
      <c r="BA1" s="2" t="s">
        <v>546</v>
      </c>
      <c r="BB1" s="2" t="s">
        <v>564</v>
      </c>
      <c r="BC1" s="2" t="s">
        <v>563</v>
      </c>
      <c r="BD1" s="2" t="s">
        <v>565</v>
      </c>
      <c r="BE1" s="2" t="s">
        <v>566</v>
      </c>
      <c r="BF1" s="2" t="s">
        <v>506</v>
      </c>
      <c r="BG1" s="2" t="s">
        <v>507</v>
      </c>
      <c r="BH1" s="2" t="s">
        <v>547</v>
      </c>
      <c r="BI1" s="2" t="s">
        <v>570</v>
      </c>
      <c r="BJ1" s="2" t="s">
        <v>585</v>
      </c>
      <c r="BK1" s="2" t="s">
        <v>626</v>
      </c>
      <c r="BL1" s="12" t="s">
        <v>855</v>
      </c>
      <c r="BM1" s="12" t="s">
        <v>856</v>
      </c>
      <c r="BN1" s="12" t="s">
        <v>880</v>
      </c>
      <c r="BO1" s="12" t="s">
        <v>881</v>
      </c>
      <c r="BP1" s="12" t="s">
        <v>961</v>
      </c>
      <c r="BQ1" s="12" t="s">
        <v>882</v>
      </c>
      <c r="BR1" s="12" t="s">
        <v>883</v>
      </c>
      <c r="BS1" s="12" t="s">
        <v>884</v>
      </c>
      <c r="BT1" s="12" t="s">
        <v>885</v>
      </c>
      <c r="BU1" s="12" t="s">
        <v>962</v>
      </c>
      <c r="BV1" s="12" t="s">
        <v>886</v>
      </c>
      <c r="BW1" s="12" t="s">
        <v>887</v>
      </c>
      <c r="BX1" s="12" t="s">
        <v>889</v>
      </c>
      <c r="BY1" s="12" t="s">
        <v>888</v>
      </c>
      <c r="BZ1" s="12" t="s">
        <v>860</v>
      </c>
      <c r="CA1" s="12" t="s">
        <v>861</v>
      </c>
      <c r="CB1" s="12" t="s">
        <v>857</v>
      </c>
      <c r="CC1" s="13" t="s">
        <v>859</v>
      </c>
      <c r="CD1" s="12" t="s">
        <v>862</v>
      </c>
      <c r="CE1" s="12" t="s">
        <v>863</v>
      </c>
      <c r="CF1" s="12" t="s">
        <v>864</v>
      </c>
      <c r="CG1" s="12" t="s">
        <v>865</v>
      </c>
      <c r="CH1" s="12" t="s">
        <v>866</v>
      </c>
      <c r="CI1" s="12" t="s">
        <v>867</v>
      </c>
      <c r="CJ1" s="12" t="s">
        <v>868</v>
      </c>
      <c r="CK1" s="12" t="s">
        <v>869</v>
      </c>
      <c r="CL1" s="12" t="s">
        <v>870</v>
      </c>
      <c r="CM1" s="12" t="s">
        <v>871</v>
      </c>
      <c r="CN1" s="12" t="s">
        <v>858</v>
      </c>
      <c r="CO1" s="12" t="s">
        <v>872</v>
      </c>
      <c r="CP1" s="12" t="s">
        <v>873</v>
      </c>
      <c r="CQ1" s="12" t="s">
        <v>874</v>
      </c>
      <c r="CR1" s="12" t="s">
        <v>875</v>
      </c>
      <c r="CS1" s="12" t="s">
        <v>876</v>
      </c>
      <c r="CT1" s="12" t="s">
        <v>877</v>
      </c>
      <c r="CU1" s="12" t="s">
        <v>878</v>
      </c>
      <c r="CV1" s="12" t="s">
        <v>879</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7"/>
  <sheetViews>
    <sheetView showGridLines="0" zoomScaleNormal="100" workbookViewId="0">
      <selection activeCell="D3" sqref="D3"/>
    </sheetView>
  </sheetViews>
  <sheetFormatPr defaultColWidth="9.453125" defaultRowHeight="15" customHeight="1"/>
  <cols>
    <col min="1" max="1" width="12.453125" style="42" customWidth="1"/>
    <col min="2" max="2" width="27" style="43" customWidth="1"/>
    <col min="3" max="5" width="23.08984375" style="43" customWidth="1"/>
    <col min="6" max="6" width="16.6328125" style="43" customWidth="1"/>
    <col min="7" max="7" width="24.6328125" style="43" customWidth="1"/>
    <col min="8" max="8" width="16.453125" style="43" customWidth="1"/>
    <col min="9" max="9" width="12.26953125" style="86" customWidth="1"/>
    <col min="10" max="16384" width="9.453125" style="43"/>
  </cols>
  <sheetData>
    <row r="1" spans="1:10" ht="29">
      <c r="A1" s="72" t="s">
        <v>1042</v>
      </c>
      <c r="B1" s="72" t="s">
        <v>1031</v>
      </c>
      <c r="C1" s="72" t="s">
        <v>1032</v>
      </c>
      <c r="D1" s="72" t="s">
        <v>1038</v>
      </c>
      <c r="E1" s="72" t="s">
        <v>1037</v>
      </c>
      <c r="F1" s="72" t="s">
        <v>1036</v>
      </c>
      <c r="G1" s="72" t="s">
        <v>1033</v>
      </c>
      <c r="H1" s="72" t="s">
        <v>1034</v>
      </c>
      <c r="I1" s="72" t="s">
        <v>1035</v>
      </c>
    </row>
    <row r="2" spans="1:10" ht="72.5">
      <c r="A2" s="71" t="s">
        <v>992</v>
      </c>
      <c r="B2" s="71" t="s">
        <v>993</v>
      </c>
      <c r="C2" s="71" t="s">
        <v>994</v>
      </c>
      <c r="D2" s="70" t="s">
        <v>1039</v>
      </c>
      <c r="E2" s="70" t="s">
        <v>1040</v>
      </c>
      <c r="F2" s="71" t="s">
        <v>995</v>
      </c>
      <c r="G2" s="71" t="s">
        <v>996</v>
      </c>
      <c r="H2" s="71" t="s">
        <v>997</v>
      </c>
      <c r="I2" s="84" t="s">
        <v>998</v>
      </c>
    </row>
    <row r="3" spans="1:10" ht="116">
      <c r="A3" s="71" t="s">
        <v>999</v>
      </c>
      <c r="B3" s="71" t="s">
        <v>1000</v>
      </c>
      <c r="C3" s="71" t="s">
        <v>1001</v>
      </c>
      <c r="D3" s="70" t="s">
        <v>1021</v>
      </c>
      <c r="E3" s="71" t="s">
        <v>1002</v>
      </c>
      <c r="F3" s="70" t="s">
        <v>1022</v>
      </c>
      <c r="G3" s="71" t="s">
        <v>996</v>
      </c>
      <c r="H3" s="70" t="s">
        <v>1023</v>
      </c>
      <c r="I3" s="84" t="s">
        <v>998</v>
      </c>
    </row>
    <row r="4" spans="1:10" ht="87">
      <c r="A4" s="71" t="s">
        <v>1003</v>
      </c>
      <c r="B4" s="70" t="s">
        <v>1024</v>
      </c>
      <c r="C4" s="71" t="s">
        <v>1004</v>
      </c>
      <c r="D4" s="70" t="s">
        <v>1041</v>
      </c>
      <c r="E4" s="70" t="s">
        <v>1025</v>
      </c>
      <c r="F4" s="70" t="s">
        <v>1026</v>
      </c>
      <c r="G4" s="71" t="s">
        <v>1005</v>
      </c>
      <c r="H4" s="70" t="s">
        <v>1027</v>
      </c>
      <c r="I4" s="84" t="s">
        <v>1006</v>
      </c>
    </row>
    <row r="5" spans="1:10" ht="101.5">
      <c r="A5" s="71" t="s">
        <v>1007</v>
      </c>
      <c r="B5" s="71" t="s">
        <v>1008</v>
      </c>
      <c r="C5" s="70" t="s">
        <v>1028</v>
      </c>
      <c r="D5" s="70" t="s">
        <v>1019</v>
      </c>
      <c r="E5" s="70" t="s">
        <v>1029</v>
      </c>
      <c r="F5" s="70" t="s">
        <v>1020</v>
      </c>
      <c r="G5" s="71" t="s">
        <v>1009</v>
      </c>
      <c r="H5" s="71" t="s">
        <v>1010</v>
      </c>
      <c r="I5" s="84" t="s">
        <v>1011</v>
      </c>
    </row>
    <row r="6" spans="1:10" ht="43.5">
      <c r="A6" s="71" t="s">
        <v>1012</v>
      </c>
      <c r="B6" s="71" t="s">
        <v>1013</v>
      </c>
      <c r="C6" s="71" t="s">
        <v>1014</v>
      </c>
      <c r="D6" s="70" t="s">
        <v>1030</v>
      </c>
      <c r="E6" s="71" t="s">
        <v>1015</v>
      </c>
      <c r="F6" s="71" t="s">
        <v>1016</v>
      </c>
      <c r="G6" s="71" t="s">
        <v>1017</v>
      </c>
      <c r="H6" s="71" t="s">
        <v>1010</v>
      </c>
      <c r="I6" s="84" t="s">
        <v>1018</v>
      </c>
    </row>
    <row r="7" spans="1:10" ht="15" customHeight="1">
      <c r="B7" s="69"/>
      <c r="C7" s="69"/>
      <c r="D7" s="69"/>
      <c r="E7" s="69"/>
      <c r="F7" s="69"/>
      <c r="G7" s="69"/>
      <c r="H7" s="69"/>
      <c r="I7" s="85"/>
      <c r="J7" s="69"/>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BB272"/>
  <sheetViews>
    <sheetView topLeftCell="K1" workbookViewId="0">
      <selection activeCell="N8" sqref="N8"/>
    </sheetView>
  </sheetViews>
  <sheetFormatPr defaultColWidth="9" defaultRowHeight="14"/>
  <cols>
    <col min="1" max="2" width="9" style="10"/>
    <col min="3" max="3" width="12.453125" style="10" customWidth="1"/>
    <col min="4" max="4" width="11.08984375" style="10" bestFit="1" customWidth="1"/>
    <col min="5" max="6" width="9" style="10"/>
    <col min="7" max="7" width="22" style="10" bestFit="1" customWidth="1"/>
    <col min="8" max="8" width="7.90625" style="10" customWidth="1"/>
    <col min="9" max="9" width="40.26953125" style="10" bestFit="1" customWidth="1"/>
    <col min="10" max="10" width="9" style="10"/>
    <col min="11" max="11" width="47.90625" style="10" bestFit="1" customWidth="1"/>
    <col min="12" max="12" width="9" style="10"/>
    <col min="13" max="13" width="14.08984375" style="10" bestFit="1" customWidth="1"/>
    <col min="14" max="14" width="21.6328125" style="10" customWidth="1"/>
    <col min="15" max="15" width="11.90625" style="10" customWidth="1"/>
    <col min="16" max="16" width="10.08984375" style="10" customWidth="1"/>
    <col min="17" max="17" width="11.453125" style="10" customWidth="1"/>
    <col min="18" max="26" width="9" style="10"/>
    <col min="27" max="27" width="19.453125" style="10" customWidth="1"/>
    <col min="28" max="36" width="9" style="10"/>
    <col min="37" max="37" width="36.08984375" style="10" bestFit="1" customWidth="1"/>
    <col min="38" max="38" width="9.90625" style="10" customWidth="1"/>
    <col min="39" max="39" width="17.26953125" style="10" customWidth="1"/>
    <col min="40" max="42" width="9" style="10"/>
    <col min="43" max="43" width="12.453125" style="10" customWidth="1"/>
    <col min="44" max="44" width="9" style="10"/>
    <col min="45" max="45" width="12.90625" style="10" customWidth="1"/>
    <col min="46" max="49" width="9" style="10"/>
    <col min="50" max="50" width="28.90625" style="10" customWidth="1"/>
    <col min="51" max="51" width="16.6328125" style="10" customWidth="1"/>
    <col min="52" max="16384" width="9" style="10"/>
  </cols>
  <sheetData>
    <row r="1" spans="1:54" s="17" customFormat="1" ht="82.5" customHeight="1" thickBot="1">
      <c r="A1" s="15" t="s">
        <v>302</v>
      </c>
      <c r="B1" s="15" t="s">
        <v>303</v>
      </c>
      <c r="C1" s="15" t="s">
        <v>304</v>
      </c>
      <c r="D1" s="15" t="s">
        <v>305</v>
      </c>
      <c r="E1" s="15"/>
      <c r="F1" s="15"/>
      <c r="G1" s="15" t="s">
        <v>306</v>
      </c>
      <c r="H1" s="15" t="s">
        <v>307</v>
      </c>
      <c r="I1" s="15" t="s">
        <v>308</v>
      </c>
      <c r="J1" s="15"/>
      <c r="K1" s="15" t="s">
        <v>309</v>
      </c>
      <c r="L1" s="15"/>
      <c r="M1" s="15" t="s">
        <v>310</v>
      </c>
      <c r="N1" s="15" t="s">
        <v>311</v>
      </c>
      <c r="O1" s="15" t="s">
        <v>312</v>
      </c>
      <c r="P1" s="15" t="s">
        <v>313</v>
      </c>
      <c r="Q1" s="15" t="s">
        <v>314</v>
      </c>
      <c r="R1" s="15" t="s">
        <v>315</v>
      </c>
      <c r="S1" s="15" t="s">
        <v>316</v>
      </c>
      <c r="T1" s="15" t="s">
        <v>317</v>
      </c>
      <c r="U1" s="15" t="s">
        <v>318</v>
      </c>
      <c r="V1" s="15" t="s">
        <v>319</v>
      </c>
      <c r="W1" s="15" t="s">
        <v>320</v>
      </c>
      <c r="X1" s="16" t="s">
        <v>321</v>
      </c>
      <c r="Y1" s="16" t="s">
        <v>322</v>
      </c>
      <c r="Z1" s="16" t="s">
        <v>6</v>
      </c>
      <c r="AA1" s="16" t="s">
        <v>323</v>
      </c>
      <c r="AB1" s="16" t="s">
        <v>324</v>
      </c>
      <c r="AC1" s="16" t="s">
        <v>325</v>
      </c>
      <c r="AD1" s="16" t="s">
        <v>326</v>
      </c>
      <c r="AE1" s="16" t="s">
        <v>327</v>
      </c>
      <c r="AG1" s="3" t="s">
        <v>326</v>
      </c>
      <c r="AH1" s="18" t="s">
        <v>505</v>
      </c>
      <c r="AK1" s="17" t="s">
        <v>580</v>
      </c>
    </row>
    <row r="2" spans="1:54" ht="16.5" customHeight="1">
      <c r="D2" s="19" t="s">
        <v>337</v>
      </c>
      <c r="E2" s="20"/>
      <c r="F2" s="20"/>
      <c r="G2" s="19" t="s">
        <v>338</v>
      </c>
      <c r="I2" s="19" t="s">
        <v>339</v>
      </c>
      <c r="J2" s="20"/>
      <c r="K2" s="19" t="s">
        <v>340</v>
      </c>
      <c r="L2" s="20"/>
      <c r="M2" s="10" t="s">
        <v>341</v>
      </c>
      <c r="W2" s="10" t="s">
        <v>262</v>
      </c>
      <c r="Y2" s="10" t="s">
        <v>342</v>
      </c>
      <c r="AA2" s="8" t="s">
        <v>1</v>
      </c>
      <c r="AB2" s="9"/>
      <c r="AD2" s="10" t="s">
        <v>261</v>
      </c>
      <c r="AK2" s="19" t="s">
        <v>340</v>
      </c>
      <c r="AM2" s="10" t="s">
        <v>628</v>
      </c>
      <c r="AN2" s="10" t="s">
        <v>627</v>
      </c>
      <c r="AQ2" s="10" t="s">
        <v>763</v>
      </c>
      <c r="AS2" s="19" t="s">
        <v>370</v>
      </c>
      <c r="AU2" s="10" t="s">
        <v>805</v>
      </c>
      <c r="AX2" s="10" t="s">
        <v>841</v>
      </c>
      <c r="AY2" s="21">
        <v>5</v>
      </c>
      <c r="BA2" s="67" t="s">
        <v>966</v>
      </c>
    </row>
    <row r="3" spans="1:54" ht="16.5" customHeight="1" thickBot="1">
      <c r="D3" s="20" t="s">
        <v>343</v>
      </c>
      <c r="E3" s="22"/>
      <c r="F3" s="22"/>
      <c r="G3" s="19" t="s">
        <v>344</v>
      </c>
      <c r="I3" s="20" t="s">
        <v>345</v>
      </c>
      <c r="J3" s="22"/>
      <c r="K3" s="19" t="s">
        <v>26</v>
      </c>
      <c r="L3" s="20"/>
      <c r="M3" s="10" t="s">
        <v>346</v>
      </c>
      <c r="W3" s="10" t="s">
        <v>347</v>
      </c>
      <c r="Y3" s="10" t="s">
        <v>348</v>
      </c>
      <c r="AA3" s="8" t="s">
        <v>2</v>
      </c>
      <c r="AB3" s="9"/>
      <c r="AD3" s="10" t="s">
        <v>349</v>
      </c>
      <c r="AH3" s="18" t="s">
        <v>574</v>
      </c>
      <c r="AK3" s="19" t="s">
        <v>26</v>
      </c>
      <c r="AM3" s="10" t="s">
        <v>630</v>
      </c>
      <c r="AN3" s="10" t="s">
        <v>629</v>
      </c>
      <c r="AQ3" s="10" t="s">
        <v>765</v>
      </c>
      <c r="AS3" s="19" t="s">
        <v>370</v>
      </c>
      <c r="AU3" s="10" t="s">
        <v>806</v>
      </c>
      <c r="AX3" s="10" t="s">
        <v>842</v>
      </c>
      <c r="AY3" s="23">
        <v>4</v>
      </c>
      <c r="BA3" s="67" t="s">
        <v>1095</v>
      </c>
    </row>
    <row r="4" spans="1:54" ht="15" thickBot="1">
      <c r="B4" s="73" t="s">
        <v>350</v>
      </c>
      <c r="C4" s="10" t="s">
        <v>351</v>
      </c>
      <c r="D4" s="22" t="s">
        <v>352</v>
      </c>
      <c r="E4" s="24"/>
      <c r="F4" s="24"/>
      <c r="G4" s="19" t="s">
        <v>353</v>
      </c>
      <c r="I4" s="22" t="s">
        <v>354</v>
      </c>
      <c r="J4" s="24"/>
      <c r="K4" s="19" t="s">
        <v>27</v>
      </c>
      <c r="L4" s="20"/>
      <c r="N4" s="75" t="s">
        <v>956</v>
      </c>
      <c r="O4" s="77" t="s">
        <v>957</v>
      </c>
      <c r="P4" s="77" t="s">
        <v>958</v>
      </c>
      <c r="Q4" s="78" t="s">
        <v>959</v>
      </c>
      <c r="W4" s="10" t="s">
        <v>355</v>
      </c>
      <c r="AA4" s="8" t="s">
        <v>3</v>
      </c>
      <c r="AB4" s="9"/>
      <c r="AH4" s="18" t="s">
        <v>575</v>
      </c>
      <c r="AK4" s="19" t="s">
        <v>27</v>
      </c>
      <c r="AM4" s="10" t="s">
        <v>632</v>
      </c>
      <c r="AN4" s="10" t="s">
        <v>631</v>
      </c>
      <c r="AQ4" s="10" t="s">
        <v>764</v>
      </c>
      <c r="AS4" s="19" t="s">
        <v>370</v>
      </c>
      <c r="AU4" s="10" t="s">
        <v>807</v>
      </c>
      <c r="AX4" s="10" t="s">
        <v>843</v>
      </c>
      <c r="AY4" s="23">
        <v>3</v>
      </c>
    </row>
    <row r="5" spans="1:54" ht="15" thickBot="1">
      <c r="B5" s="73" t="s">
        <v>356</v>
      </c>
      <c r="C5" s="10" t="s">
        <v>357</v>
      </c>
      <c r="D5" s="25" t="s">
        <v>358</v>
      </c>
      <c r="G5" s="19" t="s">
        <v>359</v>
      </c>
      <c r="I5" s="25" t="s">
        <v>360</v>
      </c>
      <c r="J5" s="24"/>
      <c r="K5" s="19" t="s">
        <v>755</v>
      </c>
      <c r="L5" s="20"/>
      <c r="N5" s="104"/>
      <c r="O5" s="105"/>
      <c r="P5" s="105"/>
      <c r="Q5" s="105"/>
      <c r="AA5" s="8" t="s">
        <v>804</v>
      </c>
      <c r="AB5" s="9"/>
      <c r="AH5" s="18" t="s">
        <v>572</v>
      </c>
      <c r="AK5" s="19" t="s">
        <v>800</v>
      </c>
      <c r="AM5" s="10" t="s">
        <v>677</v>
      </c>
      <c r="AN5" s="10" t="s">
        <v>676</v>
      </c>
      <c r="AQ5" s="10" t="s">
        <v>766</v>
      </c>
      <c r="AS5" s="19" t="s">
        <v>362</v>
      </c>
      <c r="AU5" s="10" t="s">
        <v>808</v>
      </c>
      <c r="AX5" s="10" t="s">
        <v>844</v>
      </c>
      <c r="AY5" s="26">
        <v>2</v>
      </c>
    </row>
    <row r="6" spans="1:54" s="35" customFormat="1" ht="29" thickBot="1">
      <c r="B6" s="74" t="s">
        <v>263</v>
      </c>
      <c r="C6" s="35" t="s">
        <v>264</v>
      </c>
      <c r="D6" s="36" t="s">
        <v>361</v>
      </c>
      <c r="G6" s="37" t="s">
        <v>362</v>
      </c>
      <c r="I6" s="36" t="s">
        <v>363</v>
      </c>
      <c r="J6" s="38"/>
      <c r="K6" s="37" t="s">
        <v>28</v>
      </c>
      <c r="L6" s="39"/>
      <c r="N6" s="75" t="s">
        <v>628</v>
      </c>
      <c r="O6" s="77">
        <v>9655420</v>
      </c>
      <c r="P6" s="77" t="s">
        <v>627</v>
      </c>
      <c r="Q6" s="77" t="s">
        <v>911</v>
      </c>
      <c r="AA6" s="40" t="s">
        <v>167</v>
      </c>
      <c r="AB6" s="41"/>
      <c r="AH6" s="35" t="s">
        <v>573</v>
      </c>
      <c r="AK6" s="37" t="s">
        <v>28</v>
      </c>
      <c r="AM6" s="35" t="s">
        <v>679</v>
      </c>
      <c r="AN6" s="35" t="s">
        <v>678</v>
      </c>
      <c r="AQ6" s="35" t="s">
        <v>767</v>
      </c>
      <c r="AS6" s="37" t="s">
        <v>359</v>
      </c>
      <c r="AU6" s="35" t="s">
        <v>809</v>
      </c>
      <c r="AX6" s="35" t="s">
        <v>845</v>
      </c>
      <c r="AY6" s="14">
        <v>1</v>
      </c>
    </row>
    <row r="7" spans="1:54" ht="14.5">
      <c r="B7" s="73" t="s">
        <v>204</v>
      </c>
      <c r="C7" s="10" t="s">
        <v>203</v>
      </c>
      <c r="D7" s="24" t="s">
        <v>364</v>
      </c>
      <c r="G7" s="19" t="s">
        <v>365</v>
      </c>
      <c r="I7" s="28" t="s">
        <v>366</v>
      </c>
      <c r="J7" s="24"/>
      <c r="K7" s="19" t="s">
        <v>29</v>
      </c>
      <c r="L7" s="20"/>
      <c r="N7" s="75" t="s">
        <v>630</v>
      </c>
      <c r="O7" s="79">
        <v>9566473</v>
      </c>
      <c r="P7" s="75" t="s">
        <v>629</v>
      </c>
      <c r="Q7" s="75" t="s">
        <v>909</v>
      </c>
      <c r="AA7" s="8" t="s">
        <v>4</v>
      </c>
      <c r="AB7" s="9"/>
      <c r="AH7" s="18" t="s">
        <v>486</v>
      </c>
      <c r="AK7" s="19" t="s">
        <v>29</v>
      </c>
      <c r="AM7" s="10" t="s">
        <v>711</v>
      </c>
      <c r="AN7" s="10" t="s">
        <v>710</v>
      </c>
      <c r="AQ7" s="35" t="s">
        <v>1057</v>
      </c>
      <c r="AR7" s="35"/>
      <c r="AS7" s="19" t="s">
        <v>370</v>
      </c>
      <c r="AU7" s="10" t="s">
        <v>810</v>
      </c>
      <c r="AX7" s="10" t="s">
        <v>846</v>
      </c>
    </row>
    <row r="8" spans="1:54" ht="14.5">
      <c r="B8" s="73" t="s">
        <v>367</v>
      </c>
      <c r="C8" s="10" t="s">
        <v>281</v>
      </c>
      <c r="D8" s="28" t="s">
        <v>368</v>
      </c>
      <c r="G8" s="19" t="s">
        <v>369</v>
      </c>
      <c r="H8" s="11"/>
      <c r="I8" s="24" t="s">
        <v>7</v>
      </c>
      <c r="J8" s="24"/>
      <c r="K8" s="19" t="s">
        <v>576</v>
      </c>
      <c r="L8" s="20"/>
      <c r="N8" s="75" t="s">
        <v>632</v>
      </c>
      <c r="O8" s="75">
        <v>9667746</v>
      </c>
      <c r="P8" s="75" t="s">
        <v>631</v>
      </c>
      <c r="Q8" s="75" t="s">
        <v>910</v>
      </c>
      <c r="AA8" s="8" t="s">
        <v>5</v>
      </c>
      <c r="AB8" s="9"/>
      <c r="AH8" s="10" t="s">
        <v>571</v>
      </c>
      <c r="AK8" s="19" t="s">
        <v>576</v>
      </c>
      <c r="AM8" s="10" t="s">
        <v>634</v>
      </c>
      <c r="AN8" s="10" t="s">
        <v>633</v>
      </c>
      <c r="AQ8" s="10" t="s">
        <v>769</v>
      </c>
      <c r="AS8" s="19" t="s">
        <v>370</v>
      </c>
      <c r="AU8" s="10" t="s">
        <v>811</v>
      </c>
      <c r="AX8" s="10" t="s">
        <v>847</v>
      </c>
      <c r="BB8" s="10" t="s">
        <v>854</v>
      </c>
    </row>
    <row r="9" spans="1:54" ht="14.5">
      <c r="B9" s="73" t="s">
        <v>265</v>
      </c>
      <c r="C9" s="10" t="s">
        <v>266</v>
      </c>
      <c r="G9" s="19" t="s">
        <v>370</v>
      </c>
      <c r="H9" s="11"/>
      <c r="I9" s="24" t="s">
        <v>581</v>
      </c>
      <c r="J9" s="24"/>
      <c r="K9" s="19" t="s">
        <v>30</v>
      </c>
      <c r="L9" s="20"/>
      <c r="N9" s="75" t="s">
        <v>677</v>
      </c>
      <c r="O9" s="75">
        <v>9372327</v>
      </c>
      <c r="P9" s="75" t="s">
        <v>676</v>
      </c>
      <c r="Q9" s="75" t="s">
        <v>931</v>
      </c>
      <c r="AK9" s="19" t="s">
        <v>30</v>
      </c>
      <c r="AM9" s="10" t="s">
        <v>636</v>
      </c>
      <c r="AN9" s="10" t="s">
        <v>635</v>
      </c>
      <c r="AQ9" s="10" t="s">
        <v>768</v>
      </c>
      <c r="AS9" s="19" t="s">
        <v>353</v>
      </c>
      <c r="AU9" s="10" t="s">
        <v>812</v>
      </c>
      <c r="AX9" s="10" t="s">
        <v>848</v>
      </c>
    </row>
    <row r="10" spans="1:54" ht="14.5">
      <c r="B10" s="73" t="s">
        <v>234</v>
      </c>
      <c r="C10" s="10" t="s">
        <v>233</v>
      </c>
      <c r="G10" s="19"/>
      <c r="H10" s="11"/>
      <c r="I10" s="24" t="s">
        <v>582</v>
      </c>
      <c r="J10" s="24"/>
      <c r="K10" s="19" t="s">
        <v>31</v>
      </c>
      <c r="L10" s="20"/>
      <c r="N10" s="75" t="s">
        <v>679</v>
      </c>
      <c r="O10" s="75">
        <v>9539169</v>
      </c>
      <c r="P10" s="75" t="s">
        <v>678</v>
      </c>
      <c r="Q10" s="75" t="s">
        <v>1086</v>
      </c>
      <c r="AK10" s="19" t="s">
        <v>31</v>
      </c>
      <c r="AM10" s="10" t="s">
        <v>694</v>
      </c>
      <c r="AN10" s="10" t="s">
        <v>693</v>
      </c>
      <c r="AQ10" s="10" t="s">
        <v>770</v>
      </c>
      <c r="AS10" s="19" t="s">
        <v>370</v>
      </c>
      <c r="AU10" s="10" t="s">
        <v>813</v>
      </c>
      <c r="AX10" s="10" t="s">
        <v>849</v>
      </c>
    </row>
    <row r="11" spans="1:54" ht="14.5">
      <c r="B11" s="73" t="s">
        <v>269</v>
      </c>
      <c r="C11" s="10" t="s">
        <v>272</v>
      </c>
      <c r="G11" s="20" t="s">
        <v>371</v>
      </c>
      <c r="H11" s="11"/>
      <c r="I11" s="24" t="s">
        <v>8</v>
      </c>
      <c r="J11" s="24"/>
      <c r="K11" s="19" t="s">
        <v>756</v>
      </c>
      <c r="L11" s="20"/>
      <c r="N11" s="75" t="s">
        <v>711</v>
      </c>
      <c r="O11" s="77">
        <v>9382061</v>
      </c>
      <c r="P11" s="77" t="s">
        <v>710</v>
      </c>
      <c r="Q11" s="77" t="s">
        <v>949</v>
      </c>
      <c r="AK11" s="19" t="s">
        <v>577</v>
      </c>
      <c r="AM11" s="10" t="s">
        <v>696</v>
      </c>
      <c r="AN11" s="10" t="s">
        <v>695</v>
      </c>
      <c r="AQ11" s="10" t="s">
        <v>771</v>
      </c>
      <c r="AS11" s="19" t="s">
        <v>370</v>
      </c>
      <c r="AU11" s="10" t="s">
        <v>814</v>
      </c>
      <c r="AX11" s="10" t="s">
        <v>850</v>
      </c>
    </row>
    <row r="12" spans="1:54" ht="14.5">
      <c r="B12" s="73" t="s">
        <v>282</v>
      </c>
      <c r="C12" s="10" t="s">
        <v>283</v>
      </c>
      <c r="G12" s="20" t="s">
        <v>372</v>
      </c>
      <c r="H12" s="11"/>
      <c r="I12" s="24" t="s">
        <v>9</v>
      </c>
      <c r="J12" s="24"/>
      <c r="K12" s="19" t="s">
        <v>757</v>
      </c>
      <c r="L12" s="20"/>
      <c r="N12" s="75" t="s">
        <v>1069</v>
      </c>
      <c r="O12" s="75">
        <v>9894478</v>
      </c>
      <c r="P12" s="75" t="s">
        <v>1070</v>
      </c>
      <c r="Q12" s="75" t="s">
        <v>1071</v>
      </c>
      <c r="AK12" s="19" t="s">
        <v>578</v>
      </c>
      <c r="AM12" s="10" t="s">
        <v>713</v>
      </c>
      <c r="AN12" s="10" t="s">
        <v>712</v>
      </c>
      <c r="AQ12" s="10" t="s">
        <v>772</v>
      </c>
      <c r="AS12" s="19" t="s">
        <v>370</v>
      </c>
      <c r="AU12" s="10" t="s">
        <v>815</v>
      </c>
      <c r="AX12" s="10" t="s">
        <v>851</v>
      </c>
    </row>
    <row r="13" spans="1:54" ht="14.5">
      <c r="B13" s="73" t="s">
        <v>222</v>
      </c>
      <c r="C13" s="10" t="s">
        <v>221</v>
      </c>
      <c r="G13" s="20" t="s">
        <v>373</v>
      </c>
      <c r="H13" s="11"/>
      <c r="I13" s="24" t="s">
        <v>10</v>
      </c>
      <c r="J13" s="24"/>
      <c r="K13" s="19" t="s">
        <v>579</v>
      </c>
      <c r="L13" s="20"/>
      <c r="N13" s="75" t="s">
        <v>1072</v>
      </c>
      <c r="O13" s="75">
        <v>9894466</v>
      </c>
      <c r="P13" s="75" t="s">
        <v>1073</v>
      </c>
      <c r="Q13" s="75" t="s">
        <v>1074</v>
      </c>
      <c r="AK13" s="19" t="s">
        <v>579</v>
      </c>
      <c r="AM13" s="10" t="s">
        <v>715</v>
      </c>
      <c r="AN13" s="10" t="s">
        <v>714</v>
      </c>
      <c r="AQ13" s="10" t="s">
        <v>773</v>
      </c>
      <c r="AS13" s="19" t="s">
        <v>370</v>
      </c>
      <c r="AU13" s="10" t="s">
        <v>816</v>
      </c>
      <c r="AX13" s="10" t="s">
        <v>852</v>
      </c>
    </row>
    <row r="14" spans="1:54" ht="14.5">
      <c r="B14" s="73" t="s">
        <v>273</v>
      </c>
      <c r="C14" s="10" t="s">
        <v>274</v>
      </c>
      <c r="G14" s="22" t="s">
        <v>374</v>
      </c>
      <c r="H14" s="11"/>
      <c r="I14" s="24" t="s">
        <v>11</v>
      </c>
      <c r="J14" s="24"/>
      <c r="K14" s="19" t="s">
        <v>801</v>
      </c>
      <c r="L14" s="22"/>
      <c r="N14" s="75" t="s">
        <v>634</v>
      </c>
      <c r="O14" s="75">
        <v>9696785</v>
      </c>
      <c r="P14" s="75" t="s">
        <v>633</v>
      </c>
      <c r="Q14" s="75" t="s">
        <v>912</v>
      </c>
      <c r="AK14" s="19" t="s">
        <v>376</v>
      </c>
      <c r="AM14" s="10" t="s">
        <v>717</v>
      </c>
      <c r="AN14" s="10" t="s">
        <v>716</v>
      </c>
      <c r="AQ14" s="10" t="s">
        <v>775</v>
      </c>
      <c r="AS14" s="19" t="s">
        <v>338</v>
      </c>
      <c r="AU14" s="10" t="s">
        <v>817</v>
      </c>
      <c r="AX14" s="10" t="s">
        <v>853</v>
      </c>
    </row>
    <row r="15" spans="1:54" ht="14.5">
      <c r="B15" s="73" t="s">
        <v>230</v>
      </c>
      <c r="C15" s="10" t="s">
        <v>229</v>
      </c>
      <c r="G15" s="25" t="s">
        <v>375</v>
      </c>
      <c r="H15" s="11"/>
      <c r="I15" s="24" t="s">
        <v>12</v>
      </c>
      <c r="J15" s="24"/>
      <c r="K15" s="20" t="s">
        <v>378</v>
      </c>
      <c r="L15" s="22"/>
      <c r="N15" s="75" t="s">
        <v>636</v>
      </c>
      <c r="O15" s="75">
        <v>9622813</v>
      </c>
      <c r="P15" s="75" t="s">
        <v>635</v>
      </c>
      <c r="Q15" s="75" t="s">
        <v>913</v>
      </c>
      <c r="AM15" s="10" t="s">
        <v>681</v>
      </c>
      <c r="AN15" s="10" t="s">
        <v>680</v>
      </c>
      <c r="AQ15" s="10" t="s">
        <v>774</v>
      </c>
      <c r="AS15" s="19" t="s">
        <v>370</v>
      </c>
      <c r="AU15" s="10" t="s">
        <v>818</v>
      </c>
    </row>
    <row r="16" spans="1:54" ht="14.5">
      <c r="B16" s="73" t="s">
        <v>228</v>
      </c>
      <c r="C16" s="10" t="s">
        <v>227</v>
      </c>
      <c r="G16" s="25" t="s">
        <v>377</v>
      </c>
      <c r="H16" s="11"/>
      <c r="I16" s="24" t="s">
        <v>584</v>
      </c>
      <c r="J16" s="24"/>
      <c r="K16" s="20" t="s">
        <v>380</v>
      </c>
      <c r="L16" s="22"/>
      <c r="N16" s="75" t="s">
        <v>694</v>
      </c>
      <c r="O16" s="77">
        <v>9405083</v>
      </c>
      <c r="P16" s="77" t="s">
        <v>693</v>
      </c>
      <c r="Q16" s="77" t="s">
        <v>934</v>
      </c>
      <c r="AM16" s="10" t="s">
        <v>638</v>
      </c>
      <c r="AN16" s="10" t="s">
        <v>637</v>
      </c>
      <c r="AQ16" s="10" t="s">
        <v>776</v>
      </c>
      <c r="AS16" s="19" t="s">
        <v>370</v>
      </c>
      <c r="AU16" s="10" t="s">
        <v>819</v>
      </c>
    </row>
    <row r="17" spans="2:47" ht="14.5">
      <c r="B17" s="73" t="s">
        <v>275</v>
      </c>
      <c r="C17" s="10" t="s">
        <v>276</v>
      </c>
      <c r="G17" s="25" t="s">
        <v>379</v>
      </c>
      <c r="H17" s="11"/>
      <c r="I17" s="24" t="s">
        <v>13</v>
      </c>
      <c r="J17" s="24"/>
      <c r="K17" s="20" t="s">
        <v>382</v>
      </c>
      <c r="L17" s="22"/>
      <c r="N17" s="75" t="s">
        <v>696</v>
      </c>
      <c r="O17" s="77">
        <v>9398307</v>
      </c>
      <c r="P17" s="77" t="s">
        <v>695</v>
      </c>
      <c r="Q17" s="77" t="s">
        <v>281</v>
      </c>
      <c r="AM17" s="10" t="s">
        <v>719</v>
      </c>
      <c r="AN17" s="10" t="s">
        <v>718</v>
      </c>
      <c r="AQ17" s="10" t="s">
        <v>777</v>
      </c>
      <c r="AS17" s="19" t="s">
        <v>370</v>
      </c>
      <c r="AU17" s="10" t="s">
        <v>820</v>
      </c>
    </row>
    <row r="18" spans="2:47" ht="14.5">
      <c r="B18" s="73" t="s">
        <v>236</v>
      </c>
      <c r="C18" s="10" t="s">
        <v>235</v>
      </c>
      <c r="G18" s="25"/>
      <c r="H18" s="11"/>
      <c r="I18" s="24" t="s">
        <v>14</v>
      </c>
      <c r="J18" s="24"/>
      <c r="K18" s="20" t="s">
        <v>758</v>
      </c>
      <c r="L18" s="22"/>
      <c r="N18" s="75" t="s">
        <v>713</v>
      </c>
      <c r="O18" s="77">
        <v>9367736</v>
      </c>
      <c r="P18" s="77" t="s">
        <v>712</v>
      </c>
      <c r="Q18" s="77" t="s">
        <v>278</v>
      </c>
      <c r="AM18" s="10" t="s">
        <v>721</v>
      </c>
      <c r="AN18" s="10" t="s">
        <v>720</v>
      </c>
      <c r="AQ18" s="10" t="s">
        <v>778</v>
      </c>
      <c r="AS18" s="19" t="s">
        <v>370</v>
      </c>
      <c r="AU18" s="10" t="s">
        <v>821</v>
      </c>
    </row>
    <row r="19" spans="2:47" ht="14.5">
      <c r="B19" s="73" t="s">
        <v>384</v>
      </c>
      <c r="C19" s="10" t="s">
        <v>198</v>
      </c>
      <c r="G19" s="27" t="s">
        <v>381</v>
      </c>
      <c r="H19" s="11"/>
      <c r="I19" s="24" t="s">
        <v>15</v>
      </c>
      <c r="J19" s="24"/>
      <c r="K19" s="20" t="s">
        <v>386</v>
      </c>
      <c r="L19" s="22"/>
      <c r="N19" s="75" t="s">
        <v>715</v>
      </c>
      <c r="O19" s="77">
        <v>9367724</v>
      </c>
      <c r="P19" s="77" t="s">
        <v>714</v>
      </c>
      <c r="Q19" s="77" t="s">
        <v>271</v>
      </c>
      <c r="AM19" s="10" t="s">
        <v>723</v>
      </c>
      <c r="AN19" s="10" t="s">
        <v>722</v>
      </c>
      <c r="AQ19" s="10" t="s">
        <v>779</v>
      </c>
      <c r="AS19" s="19" t="s">
        <v>370</v>
      </c>
      <c r="AU19" s="10" t="s">
        <v>822</v>
      </c>
    </row>
    <row r="20" spans="2:47" ht="14.5">
      <c r="B20" s="73" t="s">
        <v>238</v>
      </c>
      <c r="C20" s="10" t="s">
        <v>237</v>
      </c>
      <c r="G20" s="27" t="s">
        <v>383</v>
      </c>
      <c r="H20" s="11"/>
      <c r="I20" s="24" t="s">
        <v>16</v>
      </c>
      <c r="J20" s="24"/>
      <c r="K20" s="20" t="s">
        <v>388</v>
      </c>
      <c r="L20" s="22"/>
      <c r="N20" s="75" t="s">
        <v>265</v>
      </c>
      <c r="O20" s="77">
        <v>9347310</v>
      </c>
      <c r="P20" s="77" t="s">
        <v>904</v>
      </c>
      <c r="Q20" s="77" t="s">
        <v>266</v>
      </c>
      <c r="AM20" s="10" t="s">
        <v>725</v>
      </c>
      <c r="AN20" s="10" t="s">
        <v>724</v>
      </c>
      <c r="AQ20" s="10" t="s">
        <v>780</v>
      </c>
      <c r="AS20" s="19" t="s">
        <v>370</v>
      </c>
      <c r="AU20" s="10" t="s">
        <v>823</v>
      </c>
    </row>
    <row r="21" spans="2:47" ht="14.5">
      <c r="B21" s="73" t="s">
        <v>240</v>
      </c>
      <c r="C21" s="10" t="s">
        <v>239</v>
      </c>
      <c r="G21" s="27" t="s">
        <v>385</v>
      </c>
      <c r="H21" s="11"/>
      <c r="I21" s="24" t="s">
        <v>17</v>
      </c>
      <c r="J21" s="24"/>
      <c r="K21" s="20" t="s">
        <v>762</v>
      </c>
      <c r="L21" s="22"/>
      <c r="N21" s="80" t="s">
        <v>717</v>
      </c>
      <c r="O21" s="81">
        <v>9788605</v>
      </c>
      <c r="P21" s="81" t="s">
        <v>716</v>
      </c>
      <c r="Q21" s="81" t="s">
        <v>965</v>
      </c>
      <c r="AM21" s="10" t="s">
        <v>698</v>
      </c>
      <c r="AN21" s="10" t="s">
        <v>697</v>
      </c>
      <c r="AQ21" s="10" t="s">
        <v>781</v>
      </c>
      <c r="AS21" s="19" t="s">
        <v>370</v>
      </c>
      <c r="AU21" s="10" t="s">
        <v>824</v>
      </c>
    </row>
    <row r="22" spans="2:47" ht="14.5">
      <c r="B22" s="73" t="s">
        <v>242</v>
      </c>
      <c r="C22" s="10" t="s">
        <v>241</v>
      </c>
      <c r="G22" s="27" t="s">
        <v>387</v>
      </c>
      <c r="H22" s="11"/>
      <c r="I22" s="24" t="s">
        <v>391</v>
      </c>
      <c r="J22" s="24"/>
      <c r="K22" s="20" t="s">
        <v>392</v>
      </c>
      <c r="L22" s="22"/>
      <c r="N22" s="75" t="s">
        <v>681</v>
      </c>
      <c r="O22" s="75">
        <v>9182356</v>
      </c>
      <c r="P22" s="75" t="s">
        <v>680</v>
      </c>
      <c r="Q22" s="75" t="s">
        <v>221</v>
      </c>
      <c r="AM22" s="10" t="s">
        <v>236</v>
      </c>
      <c r="AN22" s="10" t="s">
        <v>726</v>
      </c>
      <c r="AQ22" s="10" t="s">
        <v>782</v>
      </c>
      <c r="AS22" s="19" t="s">
        <v>370</v>
      </c>
      <c r="AU22" s="10" t="s">
        <v>825</v>
      </c>
    </row>
    <row r="23" spans="2:47" ht="14.5">
      <c r="B23" s="73" t="s">
        <v>248</v>
      </c>
      <c r="C23" s="10" t="s">
        <v>247</v>
      </c>
      <c r="G23" s="27"/>
      <c r="H23" s="11"/>
      <c r="I23" s="24" t="s">
        <v>18</v>
      </c>
      <c r="J23" s="24"/>
      <c r="K23" s="20" t="s">
        <v>394</v>
      </c>
      <c r="L23" s="22"/>
      <c r="N23" s="75" t="s">
        <v>638</v>
      </c>
      <c r="O23" s="75">
        <v>9591973</v>
      </c>
      <c r="P23" s="75" t="s">
        <v>637</v>
      </c>
      <c r="Q23" s="75" t="s">
        <v>914</v>
      </c>
      <c r="AM23" s="10" t="s">
        <v>700</v>
      </c>
      <c r="AN23" s="10" t="s">
        <v>699</v>
      </c>
      <c r="AQ23" s="10" t="s">
        <v>783</v>
      </c>
      <c r="AS23" s="19" t="s">
        <v>370</v>
      </c>
      <c r="AU23" s="10" t="s">
        <v>826</v>
      </c>
    </row>
    <row r="24" spans="2:47" ht="14.5">
      <c r="B24" s="73" t="s">
        <v>285</v>
      </c>
      <c r="C24" s="10" t="s">
        <v>286</v>
      </c>
      <c r="G24" s="24" t="s">
        <v>389</v>
      </c>
      <c r="H24" s="11"/>
      <c r="I24" s="24" t="s">
        <v>583</v>
      </c>
      <c r="J24" s="24"/>
      <c r="K24" s="20" t="s">
        <v>761</v>
      </c>
      <c r="L24" s="22"/>
      <c r="N24" s="75" t="s">
        <v>719</v>
      </c>
      <c r="O24" s="77">
        <v>9812743</v>
      </c>
      <c r="P24" s="77" t="s">
        <v>718</v>
      </c>
      <c r="Q24" s="77" t="s">
        <v>939</v>
      </c>
      <c r="AM24" s="10" t="s">
        <v>240</v>
      </c>
      <c r="AN24" s="10" t="s">
        <v>727</v>
      </c>
      <c r="AQ24" s="10" t="s">
        <v>784</v>
      </c>
      <c r="AS24" s="19" t="s">
        <v>370</v>
      </c>
      <c r="AU24" s="10" t="s">
        <v>827</v>
      </c>
    </row>
    <row r="25" spans="2:47" ht="14.5">
      <c r="B25" s="73" t="s">
        <v>287</v>
      </c>
      <c r="C25" s="10" t="s">
        <v>288</v>
      </c>
      <c r="G25" s="24" t="s">
        <v>390</v>
      </c>
      <c r="H25" s="11"/>
      <c r="I25" s="24" t="s">
        <v>19</v>
      </c>
      <c r="J25" s="24"/>
      <c r="K25" s="20" t="s">
        <v>760</v>
      </c>
      <c r="L25" s="22"/>
      <c r="N25" s="75" t="s">
        <v>721</v>
      </c>
      <c r="O25" s="77">
        <v>9812755</v>
      </c>
      <c r="P25" s="77" t="s">
        <v>720</v>
      </c>
      <c r="Q25" s="77" t="s">
        <v>940</v>
      </c>
      <c r="AM25" s="10" t="s">
        <v>640</v>
      </c>
      <c r="AN25" s="10" t="s">
        <v>639</v>
      </c>
      <c r="AQ25" s="10" t="s">
        <v>785</v>
      </c>
      <c r="AS25" s="19" t="s">
        <v>365</v>
      </c>
      <c r="AU25" s="10" t="s">
        <v>828</v>
      </c>
    </row>
    <row r="26" spans="2:47" ht="14.5">
      <c r="B26" s="73" t="s">
        <v>250</v>
      </c>
      <c r="C26" s="10" t="s">
        <v>249</v>
      </c>
      <c r="G26" s="24"/>
      <c r="H26" s="11"/>
      <c r="I26" s="24" t="s">
        <v>20</v>
      </c>
      <c r="J26" s="24"/>
      <c r="K26" s="20" t="s">
        <v>759</v>
      </c>
      <c r="L26" s="22"/>
      <c r="N26" s="75" t="s">
        <v>723</v>
      </c>
      <c r="O26" s="77">
        <v>9433810</v>
      </c>
      <c r="P26" s="77" t="s">
        <v>722</v>
      </c>
      <c r="Q26" s="77" t="s">
        <v>941</v>
      </c>
      <c r="AM26" s="10" t="s">
        <v>750</v>
      </c>
      <c r="AN26" s="10" t="s">
        <v>728</v>
      </c>
      <c r="AQ26" s="10" t="s">
        <v>786</v>
      </c>
      <c r="AS26" s="19" t="s">
        <v>370</v>
      </c>
      <c r="AU26" s="10" t="s">
        <v>829</v>
      </c>
    </row>
    <row r="27" spans="2:47" ht="14.5">
      <c r="B27" s="73" t="s">
        <v>293</v>
      </c>
      <c r="C27" s="10" t="s">
        <v>294</v>
      </c>
      <c r="G27" s="28" t="s">
        <v>393</v>
      </c>
      <c r="H27" s="11"/>
      <c r="I27" s="24" t="s">
        <v>21</v>
      </c>
      <c r="J27" s="24"/>
      <c r="K27" s="20" t="s">
        <v>802</v>
      </c>
      <c r="L27" s="22"/>
      <c r="N27" s="75" t="s">
        <v>725</v>
      </c>
      <c r="O27" s="77">
        <v>9387255</v>
      </c>
      <c r="P27" s="77" t="s">
        <v>724</v>
      </c>
      <c r="Q27" s="77" t="s">
        <v>276</v>
      </c>
      <c r="AM27" s="10" t="s">
        <v>730</v>
      </c>
      <c r="AN27" s="10" t="s">
        <v>729</v>
      </c>
      <c r="AQ27" s="10" t="s">
        <v>787</v>
      </c>
      <c r="AS27" s="19" t="s">
        <v>370</v>
      </c>
      <c r="AU27" s="10" t="s">
        <v>830</v>
      </c>
    </row>
    <row r="28" spans="2:47" ht="14.5">
      <c r="B28" s="73" t="s">
        <v>252</v>
      </c>
      <c r="C28" s="10" t="s">
        <v>251</v>
      </c>
      <c r="G28" s="28" t="s">
        <v>395</v>
      </c>
      <c r="H28" s="11"/>
      <c r="I28" s="24" t="s">
        <v>22</v>
      </c>
      <c r="J28" s="24"/>
      <c r="K28" s="25" t="s">
        <v>336</v>
      </c>
      <c r="L28" s="22"/>
      <c r="N28" s="75" t="s">
        <v>698</v>
      </c>
      <c r="O28" s="77">
        <v>9838008</v>
      </c>
      <c r="P28" s="77" t="s">
        <v>697</v>
      </c>
      <c r="Q28" s="77" t="s">
        <v>935</v>
      </c>
      <c r="AM28" s="10" t="s">
        <v>732</v>
      </c>
      <c r="AN28" s="10" t="s">
        <v>731</v>
      </c>
      <c r="AQ28" s="10" t="s">
        <v>788</v>
      </c>
      <c r="AS28" s="19" t="s">
        <v>370</v>
      </c>
      <c r="AU28" s="10" t="s">
        <v>831</v>
      </c>
    </row>
    <row r="29" spans="2:47" ht="14.5">
      <c r="B29" s="73" t="s">
        <v>254</v>
      </c>
      <c r="C29" s="10" t="s">
        <v>253</v>
      </c>
      <c r="G29" s="28" t="s">
        <v>396</v>
      </c>
      <c r="H29" s="11"/>
      <c r="I29" s="24" t="s">
        <v>23</v>
      </c>
      <c r="K29" s="25" t="s">
        <v>32</v>
      </c>
      <c r="L29" s="22"/>
      <c r="N29" s="75" t="s">
        <v>236</v>
      </c>
      <c r="O29" s="77">
        <v>9337901</v>
      </c>
      <c r="P29" s="77" t="s">
        <v>726</v>
      </c>
      <c r="Q29" s="77" t="s">
        <v>235</v>
      </c>
      <c r="AM29" s="10" t="s">
        <v>642</v>
      </c>
      <c r="AN29" s="10" t="s">
        <v>641</v>
      </c>
      <c r="AQ29" s="10" t="s">
        <v>789</v>
      </c>
      <c r="AS29" s="19" t="s">
        <v>370</v>
      </c>
      <c r="AU29" s="10" t="s">
        <v>832</v>
      </c>
    </row>
    <row r="30" spans="2:47" ht="14.5">
      <c r="B30" s="73" t="s">
        <v>256</v>
      </c>
      <c r="C30" s="10" t="s">
        <v>255</v>
      </c>
      <c r="G30" s="28" t="s">
        <v>397</v>
      </c>
      <c r="H30" s="11"/>
      <c r="I30" s="24" t="s">
        <v>24</v>
      </c>
      <c r="K30" s="25" t="s">
        <v>168</v>
      </c>
      <c r="L30" s="22"/>
      <c r="N30" s="75" t="s">
        <v>982</v>
      </c>
      <c r="O30" s="77">
        <v>9882358</v>
      </c>
      <c r="P30" s="77" t="s">
        <v>989</v>
      </c>
      <c r="Q30" s="77" t="s">
        <v>1052</v>
      </c>
      <c r="AM30" s="10" t="s">
        <v>644</v>
      </c>
      <c r="AN30" s="10" t="s">
        <v>643</v>
      </c>
      <c r="AQ30" s="10" t="s">
        <v>790</v>
      </c>
      <c r="AS30" s="19" t="s">
        <v>370</v>
      </c>
      <c r="AU30" s="10" t="s">
        <v>833</v>
      </c>
    </row>
    <row r="31" spans="2:47" ht="14.5">
      <c r="B31" s="73" t="s">
        <v>212</v>
      </c>
      <c r="C31" s="10" t="s">
        <v>211</v>
      </c>
      <c r="H31" s="11"/>
      <c r="I31" s="24" t="s">
        <v>169</v>
      </c>
      <c r="K31" s="25" t="s">
        <v>33</v>
      </c>
      <c r="L31" s="22"/>
      <c r="N31" s="75" t="s">
        <v>983</v>
      </c>
      <c r="O31" s="77">
        <v>9882360</v>
      </c>
      <c r="P31" s="77" t="s">
        <v>990</v>
      </c>
      <c r="Q31" s="77" t="s">
        <v>1058</v>
      </c>
      <c r="AM31" s="10" t="s">
        <v>683</v>
      </c>
      <c r="AN31" s="10" t="s">
        <v>682</v>
      </c>
      <c r="AQ31" s="10" t="s">
        <v>794</v>
      </c>
      <c r="AS31" s="19" t="s">
        <v>370</v>
      </c>
      <c r="AU31" s="10" t="s">
        <v>834</v>
      </c>
    </row>
    <row r="32" spans="2:47" ht="14.5">
      <c r="B32" s="73" t="s">
        <v>220</v>
      </c>
      <c r="C32" s="10" t="s">
        <v>219</v>
      </c>
      <c r="H32" s="11"/>
      <c r="I32" s="24" t="s">
        <v>25</v>
      </c>
      <c r="K32" s="25" t="s">
        <v>34</v>
      </c>
      <c r="L32" s="22"/>
      <c r="N32" s="75" t="s">
        <v>980</v>
      </c>
      <c r="O32" s="77">
        <v>9882346</v>
      </c>
      <c r="P32" s="77" t="s">
        <v>987</v>
      </c>
      <c r="Q32" s="77" t="s">
        <v>1051</v>
      </c>
      <c r="AM32" s="10" t="s">
        <v>646</v>
      </c>
      <c r="AN32" s="10" t="s">
        <v>645</v>
      </c>
      <c r="AQ32" s="10" t="s">
        <v>791</v>
      </c>
      <c r="AS32" s="19" t="s">
        <v>344</v>
      </c>
      <c r="AU32" s="10" t="s">
        <v>835</v>
      </c>
    </row>
    <row r="33" spans="2:47" ht="14.5">
      <c r="B33" s="73" t="s">
        <v>277</v>
      </c>
      <c r="C33" s="10" t="s">
        <v>278</v>
      </c>
      <c r="I33" s="24"/>
      <c r="K33" s="25" t="s">
        <v>35</v>
      </c>
      <c r="L33" s="22"/>
      <c r="N33" s="75" t="s">
        <v>700</v>
      </c>
      <c r="O33" s="82">
        <v>9855484</v>
      </c>
      <c r="P33" s="77" t="s">
        <v>699</v>
      </c>
      <c r="Q33" s="77" t="s">
        <v>968</v>
      </c>
      <c r="AM33" s="10" t="s">
        <v>734</v>
      </c>
      <c r="AN33" s="10" t="s">
        <v>733</v>
      </c>
      <c r="AQ33" s="10" t="s">
        <v>792</v>
      </c>
      <c r="AS33" s="19" t="s">
        <v>370</v>
      </c>
      <c r="AU33" s="10" t="s">
        <v>836</v>
      </c>
    </row>
    <row r="34" spans="2:47" ht="14.5">
      <c r="B34" s="73" t="s">
        <v>270</v>
      </c>
      <c r="C34" s="10" t="s">
        <v>271</v>
      </c>
      <c r="K34" s="25" t="s">
        <v>36</v>
      </c>
      <c r="L34" s="22"/>
      <c r="N34" s="75" t="s">
        <v>973</v>
      </c>
      <c r="O34" s="77">
        <v>9882334</v>
      </c>
      <c r="P34" s="77" t="s">
        <v>974</v>
      </c>
      <c r="Q34" s="77" t="s">
        <v>991</v>
      </c>
      <c r="AM34" s="10" t="s">
        <v>736</v>
      </c>
      <c r="AN34" s="10" t="s">
        <v>735</v>
      </c>
      <c r="AQ34" s="10" t="s">
        <v>793</v>
      </c>
      <c r="AS34" s="19" t="s">
        <v>370</v>
      </c>
      <c r="AU34" s="10" t="s">
        <v>837</v>
      </c>
    </row>
    <row r="35" spans="2:47" ht="14.5">
      <c r="B35" s="73" t="s">
        <v>200</v>
      </c>
      <c r="C35" s="10" t="s">
        <v>199</v>
      </c>
      <c r="K35" s="25" t="s">
        <v>37</v>
      </c>
      <c r="L35" s="22"/>
      <c r="N35" s="80" t="s">
        <v>1103</v>
      </c>
      <c r="O35" s="81">
        <v>9900461</v>
      </c>
      <c r="P35" s="81" t="s">
        <v>1101</v>
      </c>
      <c r="Q35" s="81" t="s">
        <v>1102</v>
      </c>
      <c r="AM35" s="10" t="s">
        <v>738</v>
      </c>
      <c r="AN35" s="10" t="s">
        <v>737</v>
      </c>
      <c r="AQ35" s="10" t="s">
        <v>795</v>
      </c>
      <c r="AS35" s="19" t="s">
        <v>370</v>
      </c>
      <c r="AU35" s="10" t="s">
        <v>838</v>
      </c>
    </row>
    <row r="36" spans="2:47" ht="14.5">
      <c r="B36" s="73" t="s">
        <v>267</v>
      </c>
      <c r="C36" s="10" t="s">
        <v>398</v>
      </c>
      <c r="I36" s="24" t="s">
        <v>169</v>
      </c>
      <c r="K36" s="25" t="s">
        <v>38</v>
      </c>
      <c r="L36" s="22"/>
      <c r="N36" s="75" t="s">
        <v>238</v>
      </c>
      <c r="O36" s="77">
        <v>9296810</v>
      </c>
      <c r="P36" s="77" t="s">
        <v>905</v>
      </c>
      <c r="Q36" s="77" t="s">
        <v>237</v>
      </c>
      <c r="AM36" s="10" t="s">
        <v>751</v>
      </c>
      <c r="AN36" s="10" t="s">
        <v>647</v>
      </c>
      <c r="AQ36" s="10" t="s">
        <v>796</v>
      </c>
      <c r="AS36" s="19" t="s">
        <v>369</v>
      </c>
      <c r="AU36" s="10" t="s">
        <v>839</v>
      </c>
    </row>
    <row r="37" spans="2:47" ht="14.5">
      <c r="B37" s="73" t="s">
        <v>214</v>
      </c>
      <c r="C37" s="10" t="s">
        <v>213</v>
      </c>
      <c r="E37" s="11"/>
      <c r="F37" s="11"/>
      <c r="I37" s="24" t="s">
        <v>25</v>
      </c>
      <c r="K37" s="25" t="s">
        <v>39</v>
      </c>
      <c r="L37" s="29"/>
      <c r="N37" s="75" t="s">
        <v>240</v>
      </c>
      <c r="O37" s="77">
        <v>9310850</v>
      </c>
      <c r="P37" s="77" t="s">
        <v>727</v>
      </c>
      <c r="Q37" s="77" t="s">
        <v>239</v>
      </c>
      <c r="AM37" s="10" t="s">
        <v>685</v>
      </c>
      <c r="AN37" s="10" t="s">
        <v>684</v>
      </c>
      <c r="AQ37" s="10" t="s">
        <v>797</v>
      </c>
      <c r="AS37" s="19" t="s">
        <v>370</v>
      </c>
      <c r="AU37" s="10" t="s">
        <v>840</v>
      </c>
    </row>
    <row r="38" spans="2:47" ht="14.5">
      <c r="B38" s="73" t="s">
        <v>289</v>
      </c>
      <c r="C38" s="10" t="s">
        <v>290</v>
      </c>
      <c r="E38" s="11"/>
      <c r="F38" s="11"/>
      <c r="K38" s="25" t="s">
        <v>40</v>
      </c>
      <c r="L38" s="29"/>
      <c r="N38" s="75" t="s">
        <v>640</v>
      </c>
      <c r="O38" s="75">
        <v>9725445</v>
      </c>
      <c r="P38" s="75" t="s">
        <v>639</v>
      </c>
      <c r="Q38" s="75" t="s">
        <v>915</v>
      </c>
      <c r="AM38" s="10" t="s">
        <v>252</v>
      </c>
      <c r="AN38" s="10" t="s">
        <v>648</v>
      </c>
      <c r="AQ38" s="10" t="s">
        <v>798</v>
      </c>
      <c r="AS38" s="19" t="s">
        <v>370</v>
      </c>
    </row>
    <row r="39" spans="2:47" ht="14.5">
      <c r="B39" s="73" t="s">
        <v>291</v>
      </c>
      <c r="C39" s="10" t="s">
        <v>292</v>
      </c>
      <c r="E39" s="11"/>
      <c r="F39" s="11"/>
      <c r="K39" s="25" t="s">
        <v>41</v>
      </c>
      <c r="L39" s="29"/>
      <c r="N39" s="75" t="s">
        <v>750</v>
      </c>
      <c r="O39" s="77">
        <v>9222651</v>
      </c>
      <c r="P39" s="77" t="s">
        <v>728</v>
      </c>
      <c r="Q39" s="77" t="s">
        <v>942</v>
      </c>
      <c r="AM39" s="10" t="s">
        <v>650</v>
      </c>
      <c r="AN39" s="10" t="s">
        <v>649</v>
      </c>
    </row>
    <row r="40" spans="2:47" ht="14.5">
      <c r="B40" s="73" t="s">
        <v>216</v>
      </c>
      <c r="C40" s="10" t="s">
        <v>215</v>
      </c>
      <c r="E40" s="11"/>
      <c r="K40" s="25" t="s">
        <v>42</v>
      </c>
      <c r="L40" s="29"/>
      <c r="N40" s="75" t="s">
        <v>730</v>
      </c>
      <c r="O40" s="77">
        <v>9228291</v>
      </c>
      <c r="P40" s="77" t="s">
        <v>729</v>
      </c>
      <c r="Q40" s="77" t="s">
        <v>951</v>
      </c>
      <c r="AM40" s="10" t="s">
        <v>652</v>
      </c>
      <c r="AN40" s="10" t="s">
        <v>651</v>
      </c>
    </row>
    <row r="41" spans="2:47" ht="14.5">
      <c r="B41" s="73" t="s">
        <v>218</v>
      </c>
      <c r="C41" s="10" t="s">
        <v>217</v>
      </c>
      <c r="E41" s="11"/>
      <c r="G41" s="11"/>
      <c r="K41" s="25" t="s">
        <v>43</v>
      </c>
      <c r="L41" s="29"/>
      <c r="N41" s="75" t="s">
        <v>732</v>
      </c>
      <c r="O41" s="77">
        <v>9254252</v>
      </c>
      <c r="P41" s="77" t="s">
        <v>731</v>
      </c>
      <c r="Q41" s="77" t="s">
        <v>950</v>
      </c>
      <c r="AM41" s="10" t="s">
        <v>654</v>
      </c>
      <c r="AN41" s="10" t="s">
        <v>653</v>
      </c>
    </row>
    <row r="42" spans="2:47" ht="14.5">
      <c r="B42" s="73" t="s">
        <v>258</v>
      </c>
      <c r="C42" s="10" t="s">
        <v>257</v>
      </c>
      <c r="E42" s="11"/>
      <c r="G42" s="11"/>
      <c r="K42" s="25" t="s">
        <v>44</v>
      </c>
      <c r="L42" s="29"/>
      <c r="N42" s="75" t="s">
        <v>642</v>
      </c>
      <c r="O42" s="75">
        <v>9687746</v>
      </c>
      <c r="P42" s="75" t="s">
        <v>641</v>
      </c>
      <c r="Q42" s="75" t="s">
        <v>916</v>
      </c>
      <c r="AM42" s="10" t="s">
        <v>656</v>
      </c>
      <c r="AN42" s="10" t="s">
        <v>655</v>
      </c>
    </row>
    <row r="43" spans="2:47" ht="14.5">
      <c r="B43" s="73" t="s">
        <v>210</v>
      </c>
      <c r="C43" s="10" t="s">
        <v>209</v>
      </c>
      <c r="E43" s="11"/>
      <c r="G43" s="11"/>
      <c r="K43" s="25" t="s">
        <v>45</v>
      </c>
      <c r="L43" s="29"/>
      <c r="N43" s="75" t="s">
        <v>644</v>
      </c>
      <c r="O43" s="75">
        <v>9565053</v>
      </c>
      <c r="P43" s="75" t="s">
        <v>643</v>
      </c>
      <c r="Q43" s="75" t="s">
        <v>294</v>
      </c>
      <c r="AM43" s="10" t="s">
        <v>254</v>
      </c>
      <c r="AN43" s="10" t="s">
        <v>657</v>
      </c>
    </row>
    <row r="44" spans="2:47" ht="14.5">
      <c r="B44" s="73" t="s">
        <v>226</v>
      </c>
      <c r="C44" s="10" t="s">
        <v>225</v>
      </c>
      <c r="E44" s="11"/>
      <c r="K44" s="25" t="s">
        <v>46</v>
      </c>
      <c r="L44" s="29"/>
      <c r="N44" s="75" t="s">
        <v>683</v>
      </c>
      <c r="O44" s="75">
        <v>9561277</v>
      </c>
      <c r="P44" s="75" t="s">
        <v>682</v>
      </c>
      <c r="Q44" s="75" t="s">
        <v>932</v>
      </c>
      <c r="AM44" s="10" t="s">
        <v>675</v>
      </c>
      <c r="AN44" s="10" t="s">
        <v>674</v>
      </c>
    </row>
    <row r="45" spans="2:47" ht="14.5">
      <c r="B45" s="73" t="s">
        <v>399</v>
      </c>
      <c r="C45" s="10" t="s">
        <v>284</v>
      </c>
      <c r="E45" s="11"/>
      <c r="K45" s="25" t="s">
        <v>47</v>
      </c>
      <c r="L45" s="29"/>
      <c r="N45" s="75" t="s">
        <v>646</v>
      </c>
      <c r="O45" s="75">
        <v>9547001</v>
      </c>
      <c r="P45" s="75" t="s">
        <v>645</v>
      </c>
      <c r="Q45" s="75" t="s">
        <v>953</v>
      </c>
      <c r="AM45" s="10" t="s">
        <v>659</v>
      </c>
      <c r="AN45" s="10" t="s">
        <v>658</v>
      </c>
    </row>
    <row r="46" spans="2:47" ht="14.5">
      <c r="B46" s="73" t="s">
        <v>232</v>
      </c>
      <c r="C46" s="10" t="s">
        <v>231</v>
      </c>
      <c r="E46" s="11"/>
      <c r="K46" s="25" t="s">
        <v>48</v>
      </c>
      <c r="L46" s="29"/>
      <c r="N46" s="75" t="s">
        <v>1087</v>
      </c>
      <c r="O46" s="75">
        <v>9902093</v>
      </c>
      <c r="P46" s="75" t="s">
        <v>1088</v>
      </c>
      <c r="Q46" s="75" t="s">
        <v>1089</v>
      </c>
      <c r="AM46" s="10" t="s">
        <v>687</v>
      </c>
      <c r="AN46" s="10" t="s">
        <v>686</v>
      </c>
    </row>
    <row r="47" spans="2:47" ht="14.5">
      <c r="B47" s="73" t="s">
        <v>260</v>
      </c>
      <c r="C47" s="10" t="s">
        <v>259</v>
      </c>
      <c r="E47" s="11"/>
      <c r="K47" s="25" t="s">
        <v>49</v>
      </c>
      <c r="L47" s="29"/>
      <c r="N47" s="75" t="s">
        <v>734</v>
      </c>
      <c r="O47" s="77">
        <v>9830288</v>
      </c>
      <c r="P47" s="77" t="s">
        <v>733</v>
      </c>
      <c r="Q47" s="77" t="s">
        <v>943</v>
      </c>
      <c r="AM47" s="10" t="s">
        <v>702</v>
      </c>
      <c r="AN47" s="10" t="s">
        <v>701</v>
      </c>
    </row>
    <row r="48" spans="2:47" ht="14.5">
      <c r="B48" s="73" t="s">
        <v>202</v>
      </c>
      <c r="C48" s="10" t="s">
        <v>201</v>
      </c>
      <c r="E48" s="11"/>
      <c r="K48" s="25" t="s">
        <v>50</v>
      </c>
      <c r="L48" s="29"/>
      <c r="N48" s="75" t="s">
        <v>736</v>
      </c>
      <c r="O48" s="77">
        <v>9426283</v>
      </c>
      <c r="P48" s="77" t="s">
        <v>735</v>
      </c>
      <c r="Q48" s="77" t="s">
        <v>286</v>
      </c>
      <c r="AM48" s="10" t="s">
        <v>661</v>
      </c>
      <c r="AN48" s="10" t="s">
        <v>660</v>
      </c>
    </row>
    <row r="49" spans="2:40" ht="14.5">
      <c r="B49" s="73" t="s">
        <v>197</v>
      </c>
      <c r="C49" s="10" t="s">
        <v>196</v>
      </c>
      <c r="E49" s="11"/>
      <c r="K49" s="25" t="s">
        <v>51</v>
      </c>
      <c r="L49" s="29"/>
      <c r="N49" s="75" t="s">
        <v>738</v>
      </c>
      <c r="O49" s="77">
        <v>9830290</v>
      </c>
      <c r="P49" s="77" t="s">
        <v>737</v>
      </c>
      <c r="Q49" s="77" t="s">
        <v>944</v>
      </c>
      <c r="AM49" s="10" t="s">
        <v>689</v>
      </c>
      <c r="AN49" s="10" t="s">
        <v>688</v>
      </c>
    </row>
    <row r="50" spans="2:40">
      <c r="B50" s="73" t="s">
        <v>224</v>
      </c>
      <c r="C50" s="10" t="s">
        <v>223</v>
      </c>
      <c r="E50" s="11"/>
      <c r="K50" s="25" t="s">
        <v>52</v>
      </c>
      <c r="L50" s="29"/>
      <c r="N50" s="81" t="s">
        <v>1048</v>
      </c>
      <c r="O50" s="81">
        <v>9863223</v>
      </c>
      <c r="P50" s="81" t="s">
        <v>1049</v>
      </c>
      <c r="Q50" s="81" t="s">
        <v>1050</v>
      </c>
      <c r="AM50" s="10" t="s">
        <v>663</v>
      </c>
      <c r="AN50" s="10" t="s">
        <v>662</v>
      </c>
    </row>
    <row r="51" spans="2:40" ht="14.5">
      <c r="B51" s="73" t="s">
        <v>400</v>
      </c>
      <c r="C51" s="10" t="s">
        <v>401</v>
      </c>
      <c r="E51" s="11"/>
      <c r="K51" s="25" t="s">
        <v>402</v>
      </c>
      <c r="L51" s="29"/>
      <c r="N51" s="75" t="s">
        <v>1075</v>
      </c>
      <c r="O51" s="75">
        <v>9442524</v>
      </c>
      <c r="P51" s="75" t="s">
        <v>1076</v>
      </c>
      <c r="Q51" s="75" t="s">
        <v>1077</v>
      </c>
      <c r="AM51" s="10" t="s">
        <v>740</v>
      </c>
      <c r="AN51" s="10" t="s">
        <v>739</v>
      </c>
    </row>
    <row r="52" spans="2:40" ht="14.5">
      <c r="B52" s="73" t="s">
        <v>206</v>
      </c>
      <c r="C52" s="10" t="s">
        <v>205</v>
      </c>
      <c r="E52" s="11"/>
      <c r="K52" s="22" t="s">
        <v>335</v>
      </c>
      <c r="L52" s="29"/>
      <c r="N52" s="75" t="s">
        <v>899</v>
      </c>
      <c r="O52" s="75">
        <v>9774862</v>
      </c>
      <c r="P52" s="75" t="s">
        <v>647</v>
      </c>
      <c r="Q52" s="75" t="s">
        <v>917</v>
      </c>
      <c r="AM52" s="10" t="s">
        <v>742</v>
      </c>
      <c r="AN52" s="10" t="s">
        <v>741</v>
      </c>
    </row>
    <row r="53" spans="2:40" ht="14.5">
      <c r="B53" s="73" t="s">
        <v>403</v>
      </c>
      <c r="C53" s="10" t="s">
        <v>404</v>
      </c>
      <c r="E53" s="11"/>
      <c r="K53" s="22" t="s">
        <v>405</v>
      </c>
      <c r="L53" s="29"/>
      <c r="N53" s="75" t="s">
        <v>1078</v>
      </c>
      <c r="O53" s="75">
        <v>9760471</v>
      </c>
      <c r="P53" s="75" t="s">
        <v>1079</v>
      </c>
      <c r="Q53" s="75" t="s">
        <v>1080</v>
      </c>
      <c r="AM53" s="10" t="s">
        <v>665</v>
      </c>
      <c r="AN53" s="10" t="s">
        <v>664</v>
      </c>
    </row>
    <row r="54" spans="2:40" ht="14.5">
      <c r="B54" s="73" t="s">
        <v>246</v>
      </c>
      <c r="C54" s="10" t="s">
        <v>245</v>
      </c>
      <c r="E54" s="11"/>
      <c r="K54" s="22" t="s">
        <v>170</v>
      </c>
      <c r="L54" s="29"/>
      <c r="N54" s="75" t="s">
        <v>685</v>
      </c>
      <c r="O54" s="75">
        <v>9403217</v>
      </c>
      <c r="P54" s="75" t="s">
        <v>684</v>
      </c>
      <c r="Q54" s="75" t="s">
        <v>933</v>
      </c>
      <c r="AM54" s="10" t="s">
        <v>667</v>
      </c>
      <c r="AN54" s="10" t="s">
        <v>666</v>
      </c>
    </row>
    <row r="55" spans="2:40" ht="14.5">
      <c r="B55" s="73" t="s">
        <v>195</v>
      </c>
      <c r="C55" s="10" t="s">
        <v>194</v>
      </c>
      <c r="E55" s="11"/>
      <c r="K55" s="22" t="s">
        <v>406</v>
      </c>
      <c r="L55" s="29"/>
      <c r="N55" s="75" t="s">
        <v>252</v>
      </c>
      <c r="O55" s="75">
        <v>9236066</v>
      </c>
      <c r="P55" s="75" t="s">
        <v>648</v>
      </c>
      <c r="Q55" s="75" t="s">
        <v>251</v>
      </c>
      <c r="AM55" s="10" t="s">
        <v>258</v>
      </c>
      <c r="AN55" s="10" t="s">
        <v>690</v>
      </c>
    </row>
    <row r="56" spans="2:40" ht="14.5">
      <c r="B56" s="73" t="s">
        <v>193</v>
      </c>
      <c r="C56" s="10" t="s">
        <v>192</v>
      </c>
      <c r="E56" s="11"/>
      <c r="K56" s="22" t="s">
        <v>407</v>
      </c>
      <c r="L56" s="29"/>
      <c r="N56" s="75" t="s">
        <v>650</v>
      </c>
      <c r="O56" s="75">
        <v>9424106</v>
      </c>
      <c r="P56" s="75" t="s">
        <v>649</v>
      </c>
      <c r="Q56" s="75" t="s">
        <v>918</v>
      </c>
      <c r="AM56" s="10" t="s">
        <v>669</v>
      </c>
      <c r="AN56" s="10" t="s">
        <v>668</v>
      </c>
    </row>
    <row r="57" spans="2:40" ht="14.5">
      <c r="B57" s="73" t="s">
        <v>244</v>
      </c>
      <c r="C57" s="10" t="s">
        <v>243</v>
      </c>
      <c r="E57" s="11"/>
      <c r="K57" s="22" t="s">
        <v>408</v>
      </c>
      <c r="L57" s="29"/>
      <c r="N57" s="75" t="s">
        <v>652</v>
      </c>
      <c r="O57" s="75">
        <v>9276767</v>
      </c>
      <c r="P57" s="75" t="s">
        <v>651</v>
      </c>
      <c r="Q57" s="75" t="s">
        <v>919</v>
      </c>
      <c r="AM57" s="10" t="s">
        <v>744</v>
      </c>
      <c r="AN57" s="10" t="s">
        <v>743</v>
      </c>
    </row>
    <row r="58" spans="2:40" ht="14.5">
      <c r="B58" s="73" t="s">
        <v>208</v>
      </c>
      <c r="C58" s="10" t="s">
        <v>207</v>
      </c>
      <c r="E58" s="11"/>
      <c r="K58" s="22" t="s">
        <v>409</v>
      </c>
      <c r="L58" s="29"/>
      <c r="N58" s="75" t="s">
        <v>654</v>
      </c>
      <c r="O58" s="75">
        <v>9310006</v>
      </c>
      <c r="P58" s="75" t="s">
        <v>653</v>
      </c>
      <c r="Q58" s="75" t="s">
        <v>920</v>
      </c>
      <c r="AM58" s="10" t="s">
        <v>692</v>
      </c>
      <c r="AN58" s="10" t="s">
        <v>691</v>
      </c>
    </row>
    <row r="59" spans="2:40" ht="14.5">
      <c r="B59" s="73" t="s">
        <v>279</v>
      </c>
      <c r="C59" s="10" t="s">
        <v>280</v>
      </c>
      <c r="E59" s="11"/>
      <c r="K59" s="22" t="s">
        <v>410</v>
      </c>
      <c r="L59" s="29"/>
      <c r="N59" s="75" t="s">
        <v>656</v>
      </c>
      <c r="O59" s="75">
        <v>9246293</v>
      </c>
      <c r="P59" s="75" t="s">
        <v>906</v>
      </c>
      <c r="Q59" s="75" t="s">
        <v>908</v>
      </c>
      <c r="AM59" s="10" t="s">
        <v>671</v>
      </c>
      <c r="AN59" s="10" t="s">
        <v>670</v>
      </c>
    </row>
    <row r="60" spans="2:40" ht="14.5">
      <c r="B60" s="73" t="s">
        <v>411</v>
      </c>
      <c r="C60" s="10" t="s">
        <v>268</v>
      </c>
      <c r="E60" s="11"/>
      <c r="K60" s="22" t="s">
        <v>412</v>
      </c>
      <c r="L60" s="29"/>
      <c r="N60" s="75" t="s">
        <v>254</v>
      </c>
      <c r="O60" s="75">
        <v>9156759</v>
      </c>
      <c r="P60" s="75" t="s">
        <v>657</v>
      </c>
      <c r="Q60" s="75" t="s">
        <v>253</v>
      </c>
      <c r="AM60" s="10" t="s">
        <v>673</v>
      </c>
      <c r="AN60" s="10" t="s">
        <v>672</v>
      </c>
    </row>
    <row r="61" spans="2:40" ht="14.5">
      <c r="K61" s="22" t="s">
        <v>413</v>
      </c>
      <c r="L61" s="29"/>
      <c r="N61" s="75" t="s">
        <v>675</v>
      </c>
      <c r="O61" s="75">
        <v>9316945</v>
      </c>
      <c r="P61" s="75" t="s">
        <v>674</v>
      </c>
      <c r="Q61" s="75" t="s">
        <v>921</v>
      </c>
      <c r="AM61" s="10" t="s">
        <v>260</v>
      </c>
      <c r="AN61" s="10" t="s">
        <v>747</v>
      </c>
    </row>
    <row r="62" spans="2:40" ht="14.5">
      <c r="K62" s="22" t="s">
        <v>414</v>
      </c>
      <c r="L62" s="29"/>
      <c r="N62" s="75" t="s">
        <v>900</v>
      </c>
      <c r="O62" s="75">
        <v>9788679</v>
      </c>
      <c r="P62" s="75" t="s">
        <v>901</v>
      </c>
      <c r="Q62" s="75" t="s">
        <v>922</v>
      </c>
      <c r="AM62" s="10" t="s">
        <v>749</v>
      </c>
      <c r="AN62" s="10" t="s">
        <v>748</v>
      </c>
    </row>
    <row r="63" spans="2:40" ht="14.5">
      <c r="K63" s="22" t="s">
        <v>415</v>
      </c>
      <c r="L63" s="29"/>
      <c r="N63" s="75" t="s">
        <v>902</v>
      </c>
      <c r="O63" s="75">
        <v>9788681</v>
      </c>
      <c r="P63" s="75" t="s">
        <v>903</v>
      </c>
      <c r="Q63" s="75" t="s">
        <v>923</v>
      </c>
      <c r="AM63" s="10" t="s">
        <v>752</v>
      </c>
      <c r="AN63" s="10" t="s">
        <v>745</v>
      </c>
    </row>
    <row r="64" spans="2:40" ht="14.5">
      <c r="K64" s="22" t="s">
        <v>416</v>
      </c>
      <c r="L64" s="29"/>
      <c r="N64" s="75" t="s">
        <v>659</v>
      </c>
      <c r="O64" s="75">
        <v>9668051</v>
      </c>
      <c r="P64" s="75" t="s">
        <v>658</v>
      </c>
      <c r="Q64" s="75" t="s">
        <v>924</v>
      </c>
      <c r="AM64" s="10" t="s">
        <v>753</v>
      </c>
      <c r="AN64" s="10" t="s">
        <v>746</v>
      </c>
    </row>
    <row r="65" spans="5:40" ht="14.5">
      <c r="K65" s="22" t="s">
        <v>417</v>
      </c>
      <c r="L65" s="29"/>
      <c r="N65" s="75" t="s">
        <v>687</v>
      </c>
      <c r="O65" s="75">
        <v>9110107</v>
      </c>
      <c r="P65" s="75" t="s">
        <v>686</v>
      </c>
      <c r="Q65" s="75" t="s">
        <v>219</v>
      </c>
      <c r="AM65" s="10" t="s">
        <v>246</v>
      </c>
      <c r="AN65" s="10" t="s">
        <v>703</v>
      </c>
    </row>
    <row r="66" spans="5:40" ht="14.5">
      <c r="K66" s="22" t="s">
        <v>418</v>
      </c>
      <c r="L66" s="29"/>
      <c r="N66" s="75" t="s">
        <v>702</v>
      </c>
      <c r="O66" s="77">
        <v>9760782</v>
      </c>
      <c r="P66" s="77" t="s">
        <v>701</v>
      </c>
      <c r="Q66" s="77" t="s">
        <v>936</v>
      </c>
      <c r="AM66" s="10" t="s">
        <v>705</v>
      </c>
      <c r="AN66" s="10" t="s">
        <v>704</v>
      </c>
    </row>
    <row r="67" spans="5:40">
      <c r="E67" s="11"/>
      <c r="K67" s="22" t="s">
        <v>419</v>
      </c>
      <c r="L67" s="29"/>
      <c r="N67" s="81" t="s">
        <v>1061</v>
      </c>
      <c r="O67" s="81">
        <v>9520376</v>
      </c>
      <c r="P67" s="81" t="s">
        <v>1062</v>
      </c>
      <c r="Q67" s="81" t="s">
        <v>1063</v>
      </c>
      <c r="AM67" s="10" t="s">
        <v>707</v>
      </c>
      <c r="AN67" s="10" t="s">
        <v>706</v>
      </c>
    </row>
    <row r="68" spans="5:40">
      <c r="E68" s="11"/>
      <c r="K68" s="22" t="s">
        <v>420</v>
      </c>
      <c r="L68" s="29"/>
      <c r="N68" s="81" t="s">
        <v>1065</v>
      </c>
      <c r="O68" s="81">
        <v>9425277</v>
      </c>
      <c r="P68" s="81" t="s">
        <v>1064</v>
      </c>
      <c r="Q68" s="81" t="s">
        <v>1066</v>
      </c>
      <c r="AM68" s="10" t="s">
        <v>244</v>
      </c>
      <c r="AN68" s="10" t="s">
        <v>708</v>
      </c>
    </row>
    <row r="69" spans="5:40" ht="14.5">
      <c r="E69" s="11"/>
      <c r="K69" s="22" t="s">
        <v>421</v>
      </c>
      <c r="L69" s="29"/>
      <c r="N69" s="75" t="s">
        <v>661</v>
      </c>
      <c r="O69" s="75">
        <v>9696797</v>
      </c>
      <c r="P69" s="75" t="s">
        <v>660</v>
      </c>
      <c r="Q69" s="75" t="s">
        <v>925</v>
      </c>
      <c r="AM69" s="10" t="s">
        <v>279</v>
      </c>
      <c r="AN69" s="10" t="s">
        <v>709</v>
      </c>
    </row>
    <row r="70" spans="5:40" ht="14.5">
      <c r="E70" s="11"/>
      <c r="K70" s="22" t="s">
        <v>422</v>
      </c>
      <c r="L70" s="29"/>
      <c r="N70" s="75" t="s">
        <v>689</v>
      </c>
      <c r="O70" s="75">
        <v>9460887</v>
      </c>
      <c r="P70" s="75" t="s">
        <v>688</v>
      </c>
      <c r="Q70" s="75" t="s">
        <v>284</v>
      </c>
    </row>
    <row r="71" spans="5:40" ht="14.5">
      <c r="E71" s="11"/>
      <c r="K71" s="22" t="s">
        <v>423</v>
      </c>
      <c r="L71" s="29"/>
      <c r="N71" s="75" t="s">
        <v>663</v>
      </c>
      <c r="O71" s="75">
        <v>9514391</v>
      </c>
      <c r="P71" s="75" t="s">
        <v>662</v>
      </c>
      <c r="Q71" s="75" t="s">
        <v>292</v>
      </c>
    </row>
    <row r="72" spans="5:40" ht="14.5">
      <c r="E72" s="11"/>
      <c r="K72" s="22" t="s">
        <v>424</v>
      </c>
      <c r="L72" s="29"/>
      <c r="N72" s="75" t="s">
        <v>740</v>
      </c>
      <c r="O72" s="77">
        <v>9793375</v>
      </c>
      <c r="P72" s="77" t="s">
        <v>739</v>
      </c>
      <c r="Q72" s="77" t="s">
        <v>945</v>
      </c>
    </row>
    <row r="73" spans="5:40" ht="14.5">
      <c r="K73" s="22" t="s">
        <v>425</v>
      </c>
      <c r="L73" s="29"/>
      <c r="N73" s="75" t="s">
        <v>742</v>
      </c>
      <c r="O73" s="77">
        <v>9793387</v>
      </c>
      <c r="P73" s="77" t="s">
        <v>741</v>
      </c>
      <c r="Q73" s="77" t="s">
        <v>946</v>
      </c>
    </row>
    <row r="74" spans="5:40" ht="14.5">
      <c r="K74" s="22" t="s">
        <v>426</v>
      </c>
      <c r="L74" s="29"/>
      <c r="N74" s="75" t="s">
        <v>665</v>
      </c>
      <c r="O74" s="75">
        <v>9552331</v>
      </c>
      <c r="P74" s="75" t="s">
        <v>664</v>
      </c>
      <c r="Q74" s="75" t="s">
        <v>926</v>
      </c>
    </row>
    <row r="75" spans="5:40" ht="14.5">
      <c r="K75" s="22" t="s">
        <v>803</v>
      </c>
      <c r="L75" s="29"/>
      <c r="N75" s="75" t="s">
        <v>667</v>
      </c>
      <c r="O75" s="75">
        <v>9621247</v>
      </c>
      <c r="P75" s="75" t="s">
        <v>666</v>
      </c>
      <c r="Q75" s="75" t="s">
        <v>927</v>
      </c>
    </row>
    <row r="76" spans="5:40" ht="14.5">
      <c r="K76" s="27" t="s">
        <v>334</v>
      </c>
      <c r="L76" s="29"/>
      <c r="N76" s="75" t="s">
        <v>258</v>
      </c>
      <c r="O76" s="75">
        <v>9293648</v>
      </c>
      <c r="P76" s="75" t="s">
        <v>690</v>
      </c>
      <c r="Q76" s="75" t="s">
        <v>257</v>
      </c>
    </row>
    <row r="77" spans="5:40" ht="14.5">
      <c r="K77" s="27" t="s">
        <v>427</v>
      </c>
      <c r="L77" s="29"/>
      <c r="N77" s="75" t="s">
        <v>1081</v>
      </c>
      <c r="O77" s="75">
        <v>9894480</v>
      </c>
      <c r="P77" s="75" t="s">
        <v>1082</v>
      </c>
      <c r="Q77" s="75" t="s">
        <v>1083</v>
      </c>
    </row>
    <row r="78" spans="5:40" ht="14.5">
      <c r="K78" s="27" t="s">
        <v>171</v>
      </c>
      <c r="L78" s="29"/>
      <c r="N78" s="75" t="s">
        <v>669</v>
      </c>
      <c r="O78" s="75">
        <v>9806768</v>
      </c>
      <c r="P78" s="75" t="s">
        <v>668</v>
      </c>
      <c r="Q78" s="75" t="s">
        <v>928</v>
      </c>
    </row>
    <row r="79" spans="5:40" ht="14.5">
      <c r="K79" s="27" t="s">
        <v>428</v>
      </c>
      <c r="L79" s="29"/>
      <c r="N79" s="75" t="s">
        <v>744</v>
      </c>
      <c r="O79" s="77">
        <v>9771028</v>
      </c>
      <c r="P79" s="77" t="s">
        <v>907</v>
      </c>
      <c r="Q79" s="77" t="s">
        <v>952</v>
      </c>
    </row>
    <row r="80" spans="5:40" ht="14.5">
      <c r="K80" s="27" t="s">
        <v>429</v>
      </c>
      <c r="L80" s="29"/>
      <c r="N80" s="75" t="s">
        <v>692</v>
      </c>
      <c r="O80" s="75">
        <v>9267687</v>
      </c>
      <c r="P80" s="75" t="s">
        <v>691</v>
      </c>
      <c r="Q80" s="75" t="s">
        <v>225</v>
      </c>
    </row>
    <row r="81" spans="11:17" ht="14.5">
      <c r="K81" s="27" t="s">
        <v>430</v>
      </c>
      <c r="L81" s="29"/>
      <c r="N81" s="80" t="s">
        <v>1097</v>
      </c>
      <c r="O81" s="75">
        <v>9903140</v>
      </c>
      <c r="P81" s="81" t="s">
        <v>1099</v>
      </c>
      <c r="Q81" s="83" t="s">
        <v>1098</v>
      </c>
    </row>
    <row r="82" spans="11:17" ht="14.5">
      <c r="K82" s="27" t="s">
        <v>431</v>
      </c>
      <c r="L82" s="29"/>
      <c r="N82" s="75" t="s">
        <v>1100</v>
      </c>
      <c r="O82" s="75">
        <v>9767467</v>
      </c>
      <c r="P82" s="75" t="s">
        <v>1084</v>
      </c>
      <c r="Q82" s="75" t="s">
        <v>1085</v>
      </c>
    </row>
    <row r="83" spans="11:17" ht="14.5">
      <c r="K83" s="27" t="s">
        <v>432</v>
      </c>
      <c r="L83" s="29"/>
      <c r="N83" s="75" t="s">
        <v>671</v>
      </c>
      <c r="O83" s="75">
        <v>9666510</v>
      </c>
      <c r="P83" s="75" t="s">
        <v>670</v>
      </c>
      <c r="Q83" s="75" t="s">
        <v>929</v>
      </c>
    </row>
    <row r="84" spans="11:17" ht="14.5">
      <c r="K84" s="27" t="s">
        <v>433</v>
      </c>
      <c r="L84" s="29"/>
      <c r="N84" s="75" t="s">
        <v>969</v>
      </c>
      <c r="O84" s="77">
        <v>9859181</v>
      </c>
      <c r="P84" s="77" t="s">
        <v>970</v>
      </c>
      <c r="Q84" s="77" t="s">
        <v>971</v>
      </c>
    </row>
    <row r="85" spans="11:17" ht="14.5">
      <c r="K85" s="27" t="s">
        <v>434</v>
      </c>
      <c r="L85" s="29"/>
      <c r="N85" s="75" t="s">
        <v>673</v>
      </c>
      <c r="O85" s="75">
        <v>9748124</v>
      </c>
      <c r="P85" s="75" t="s">
        <v>672</v>
      </c>
      <c r="Q85" s="75" t="s">
        <v>930</v>
      </c>
    </row>
    <row r="86" spans="11:17" ht="14.5">
      <c r="K86" s="27" t="s">
        <v>435</v>
      </c>
      <c r="L86" s="29"/>
      <c r="N86" s="75" t="s">
        <v>260</v>
      </c>
      <c r="O86" s="75">
        <v>9123934</v>
      </c>
      <c r="P86" s="75" t="s">
        <v>747</v>
      </c>
      <c r="Q86" s="75" t="s">
        <v>259</v>
      </c>
    </row>
    <row r="87" spans="11:17" ht="14.5">
      <c r="K87" s="27" t="s">
        <v>436</v>
      </c>
      <c r="L87" s="29"/>
      <c r="N87" s="75" t="s">
        <v>981</v>
      </c>
      <c r="O87" s="77">
        <v>9882425</v>
      </c>
      <c r="P87" s="77" t="s">
        <v>988</v>
      </c>
      <c r="Q87" s="77" t="s">
        <v>1053</v>
      </c>
    </row>
    <row r="88" spans="11:17" ht="14.5">
      <c r="K88" s="27" t="s">
        <v>437</v>
      </c>
      <c r="L88" s="29"/>
      <c r="N88" s="75" t="s">
        <v>977</v>
      </c>
      <c r="O88" s="77">
        <v>9882396</v>
      </c>
      <c r="P88" s="77" t="s">
        <v>984</v>
      </c>
      <c r="Q88" s="77" t="s">
        <v>1054</v>
      </c>
    </row>
    <row r="89" spans="11:17" ht="14.5">
      <c r="K89" s="27" t="s">
        <v>438</v>
      </c>
      <c r="L89" s="29"/>
      <c r="N89" s="75" t="s">
        <v>979</v>
      </c>
      <c r="O89" s="77">
        <v>9882413</v>
      </c>
      <c r="P89" s="77" t="s">
        <v>986</v>
      </c>
      <c r="Q89" s="77" t="s">
        <v>1055</v>
      </c>
    </row>
    <row r="90" spans="11:17" ht="14.5">
      <c r="K90" s="27" t="s">
        <v>439</v>
      </c>
      <c r="L90" s="29"/>
      <c r="N90" s="75" t="s">
        <v>978</v>
      </c>
      <c r="O90" s="77">
        <v>9882401</v>
      </c>
      <c r="P90" s="77" t="s">
        <v>985</v>
      </c>
      <c r="Q90" s="77" t="s">
        <v>1056</v>
      </c>
    </row>
    <row r="91" spans="11:17" ht="14.5">
      <c r="K91" s="27" t="s">
        <v>440</v>
      </c>
      <c r="L91" s="29"/>
      <c r="N91" s="75" t="s">
        <v>749</v>
      </c>
      <c r="O91" s="75">
        <v>9344071</v>
      </c>
      <c r="P91" s="75" t="s">
        <v>748</v>
      </c>
      <c r="Q91" s="75" t="s">
        <v>401</v>
      </c>
    </row>
    <row r="92" spans="11:17" ht="14.5">
      <c r="K92" s="27" t="s">
        <v>441</v>
      </c>
      <c r="L92" s="29"/>
      <c r="N92" s="75" t="s">
        <v>964</v>
      </c>
      <c r="O92" s="77">
        <v>9790361</v>
      </c>
      <c r="P92" s="77" t="s">
        <v>745</v>
      </c>
      <c r="Q92" s="77" t="s">
        <v>947</v>
      </c>
    </row>
    <row r="93" spans="11:17" ht="14.5">
      <c r="K93" s="27" t="s">
        <v>442</v>
      </c>
      <c r="L93" s="29"/>
      <c r="N93" s="75" t="s">
        <v>963</v>
      </c>
      <c r="O93" s="77">
        <v>9790373</v>
      </c>
      <c r="P93" s="77" t="s">
        <v>746</v>
      </c>
      <c r="Q93" s="77" t="s">
        <v>948</v>
      </c>
    </row>
    <row r="94" spans="11:17" ht="14.5">
      <c r="K94" s="27" t="s">
        <v>443</v>
      </c>
      <c r="L94" s="29"/>
      <c r="N94" s="75" t="s">
        <v>246</v>
      </c>
      <c r="O94" s="77">
        <v>9339973</v>
      </c>
      <c r="P94" s="77" t="s">
        <v>703</v>
      </c>
      <c r="Q94" s="77" t="s">
        <v>245</v>
      </c>
    </row>
    <row r="95" spans="11:17" ht="14.5">
      <c r="K95" s="27" t="s">
        <v>444</v>
      </c>
      <c r="L95" s="29"/>
      <c r="N95" s="75" t="s">
        <v>705</v>
      </c>
      <c r="O95" s="77">
        <v>9770696</v>
      </c>
      <c r="P95" s="77" t="s">
        <v>704</v>
      </c>
      <c r="Q95" s="77" t="s">
        <v>937</v>
      </c>
    </row>
    <row r="96" spans="11:17" ht="14.5">
      <c r="K96" s="27" t="s">
        <v>445</v>
      </c>
      <c r="L96" s="29"/>
      <c r="N96" s="75" t="s">
        <v>707</v>
      </c>
      <c r="O96" s="77">
        <v>9787754</v>
      </c>
      <c r="P96" s="77" t="s">
        <v>706</v>
      </c>
      <c r="Q96" s="77" t="s">
        <v>938</v>
      </c>
    </row>
    <row r="97" spans="11:17" ht="14.5">
      <c r="K97" s="27" t="s">
        <v>446</v>
      </c>
      <c r="L97" s="29"/>
      <c r="N97" s="75" t="s">
        <v>244</v>
      </c>
      <c r="O97" s="77">
        <v>9311270</v>
      </c>
      <c r="P97" s="77" t="s">
        <v>708</v>
      </c>
      <c r="Q97" s="77" t="s">
        <v>243</v>
      </c>
    </row>
    <row r="98" spans="11:17" ht="14.5">
      <c r="K98" s="27" t="s">
        <v>447</v>
      </c>
      <c r="L98" s="29"/>
      <c r="N98" s="75" t="s">
        <v>279</v>
      </c>
      <c r="O98" s="77">
        <v>9387267</v>
      </c>
      <c r="P98" s="77" t="s">
        <v>709</v>
      </c>
      <c r="Q98" s="77" t="s">
        <v>280</v>
      </c>
    </row>
    <row r="99" spans="11:17" ht="14.5">
      <c r="K99" s="27" t="s">
        <v>448</v>
      </c>
      <c r="L99" s="29"/>
      <c r="N99" s="75" t="s">
        <v>1092</v>
      </c>
      <c r="O99" s="75">
        <v>9875226</v>
      </c>
      <c r="P99" s="75" t="s">
        <v>1090</v>
      </c>
      <c r="Q99" s="75" t="s">
        <v>1091</v>
      </c>
    </row>
    <row r="100" spans="11:17">
      <c r="K100" s="28" t="s">
        <v>333</v>
      </c>
      <c r="L100" s="29"/>
    </row>
    <row r="101" spans="11:17">
      <c r="K101" s="28" t="s">
        <v>449</v>
      </c>
      <c r="L101" s="29"/>
    </row>
    <row r="102" spans="11:17">
      <c r="K102" s="28" t="s">
        <v>450</v>
      </c>
      <c r="L102" s="29"/>
    </row>
    <row r="103" spans="11:17">
      <c r="K103" s="28" t="s">
        <v>451</v>
      </c>
      <c r="L103" s="29"/>
    </row>
    <row r="104" spans="11:17">
      <c r="K104" s="28" t="s">
        <v>452</v>
      </c>
      <c r="L104" s="29"/>
    </row>
    <row r="105" spans="11:17">
      <c r="K105" s="28" t="s">
        <v>453</v>
      </c>
      <c r="L105" s="29"/>
    </row>
    <row r="106" spans="11:17">
      <c r="K106" s="28" t="s">
        <v>454</v>
      </c>
      <c r="L106" s="29"/>
    </row>
    <row r="107" spans="11:17">
      <c r="K107" s="28" t="s">
        <v>455</v>
      </c>
      <c r="L107" s="29"/>
    </row>
    <row r="108" spans="11:17">
      <c r="K108" s="28" t="s">
        <v>456</v>
      </c>
      <c r="L108" s="29"/>
    </row>
    <row r="109" spans="11:17">
      <c r="K109" s="28" t="s">
        <v>457</v>
      </c>
      <c r="L109" s="29"/>
    </row>
    <row r="110" spans="11:17">
      <c r="K110" s="28" t="s">
        <v>458</v>
      </c>
      <c r="L110" s="29"/>
    </row>
    <row r="111" spans="11:17">
      <c r="K111" s="28" t="s">
        <v>459</v>
      </c>
      <c r="L111" s="29"/>
    </row>
    <row r="112" spans="11:17">
      <c r="K112" s="28" t="s">
        <v>460</v>
      </c>
      <c r="L112" s="29"/>
    </row>
    <row r="113" spans="11:12">
      <c r="K113" s="28" t="s">
        <v>461</v>
      </c>
      <c r="L113" s="29"/>
    </row>
    <row r="114" spans="11:12">
      <c r="K114" s="28" t="s">
        <v>462</v>
      </c>
      <c r="L114" s="29"/>
    </row>
    <row r="115" spans="11:12">
      <c r="K115" s="28" t="s">
        <v>463</v>
      </c>
      <c r="L115" s="29"/>
    </row>
    <row r="116" spans="11:12">
      <c r="K116" s="28" t="s">
        <v>464</v>
      </c>
      <c r="L116" s="29"/>
    </row>
    <row r="117" spans="11:12">
      <c r="K117" s="28" t="s">
        <v>465</v>
      </c>
      <c r="L117" s="29"/>
    </row>
    <row r="118" spans="11:12">
      <c r="K118" s="28" t="s">
        <v>466</v>
      </c>
      <c r="L118" s="29"/>
    </row>
    <row r="119" spans="11:12">
      <c r="K119" s="28" t="s">
        <v>467</v>
      </c>
      <c r="L119" s="29"/>
    </row>
    <row r="120" spans="11:12">
      <c r="K120" s="28" t="s">
        <v>468</v>
      </c>
      <c r="L120" s="29"/>
    </row>
    <row r="121" spans="11:12">
      <c r="K121" s="28" t="s">
        <v>469</v>
      </c>
      <c r="L121" s="29"/>
    </row>
    <row r="122" spans="11:12">
      <c r="K122" s="28" t="s">
        <v>470</v>
      </c>
      <c r="L122" s="29"/>
    </row>
    <row r="123" spans="11:12">
      <c r="K123" s="28" t="s">
        <v>471</v>
      </c>
      <c r="L123" s="29"/>
    </row>
    <row r="124" spans="11:12">
      <c r="K124" s="30" t="s">
        <v>53</v>
      </c>
      <c r="L124" s="29"/>
    </row>
    <row r="125" spans="11:12">
      <c r="K125" s="31" t="s">
        <v>54</v>
      </c>
      <c r="L125" s="29"/>
    </row>
    <row r="126" spans="11:12">
      <c r="K126" s="31" t="s">
        <v>55</v>
      </c>
      <c r="L126" s="29"/>
    </row>
    <row r="127" spans="11:12">
      <c r="K127" s="31" t="s">
        <v>56</v>
      </c>
      <c r="L127" s="29"/>
    </row>
    <row r="128" spans="11:12">
      <c r="K128" s="31" t="s">
        <v>57</v>
      </c>
      <c r="L128" s="29"/>
    </row>
    <row r="129" spans="11:12">
      <c r="K129" s="31" t="s">
        <v>58</v>
      </c>
      <c r="L129" s="29"/>
    </row>
    <row r="130" spans="11:12">
      <c r="K130" s="32" t="s">
        <v>59</v>
      </c>
      <c r="L130" s="29"/>
    </row>
    <row r="131" spans="11:12">
      <c r="K131" s="30" t="s">
        <v>172</v>
      </c>
      <c r="L131" s="29"/>
    </row>
    <row r="132" spans="11:12">
      <c r="K132" s="31" t="s">
        <v>173</v>
      </c>
      <c r="L132" s="29"/>
    </row>
    <row r="133" spans="11:12">
      <c r="K133" s="31" t="s">
        <v>60</v>
      </c>
      <c r="L133" s="29"/>
    </row>
    <row r="134" spans="11:12">
      <c r="K134" s="31" t="s">
        <v>61</v>
      </c>
      <c r="L134" s="29"/>
    </row>
    <row r="135" spans="11:12">
      <c r="K135" s="31" t="s">
        <v>62</v>
      </c>
      <c r="L135" s="29"/>
    </row>
    <row r="136" spans="11:12">
      <c r="K136" s="31" t="s">
        <v>63</v>
      </c>
      <c r="L136" s="29"/>
    </row>
    <row r="137" spans="11:12">
      <c r="K137" s="32" t="s">
        <v>64</v>
      </c>
      <c r="L137" s="29"/>
    </row>
    <row r="138" spans="11:12">
      <c r="K138" s="30" t="s">
        <v>174</v>
      </c>
      <c r="L138" s="29"/>
    </row>
    <row r="139" spans="11:12">
      <c r="K139" s="31" t="s">
        <v>65</v>
      </c>
      <c r="L139" s="29"/>
    </row>
    <row r="140" spans="11:12">
      <c r="K140" s="31" t="s">
        <v>66</v>
      </c>
      <c r="L140" s="29"/>
    </row>
    <row r="141" spans="11:12">
      <c r="K141" s="31" t="s">
        <v>67</v>
      </c>
      <c r="L141" s="29"/>
    </row>
    <row r="142" spans="11:12">
      <c r="K142" s="31" t="s">
        <v>68</v>
      </c>
      <c r="L142" s="29"/>
    </row>
    <row r="143" spans="11:12">
      <c r="K143" s="31" t="s">
        <v>69</v>
      </c>
      <c r="L143" s="29"/>
    </row>
    <row r="144" spans="11:12">
      <c r="K144" s="31" t="s">
        <v>175</v>
      </c>
      <c r="L144" s="29"/>
    </row>
    <row r="145" spans="11:12">
      <c r="K145" s="31" t="s">
        <v>70</v>
      </c>
      <c r="L145" s="29"/>
    </row>
    <row r="146" spans="11:12">
      <c r="K146" s="31" t="s">
        <v>71</v>
      </c>
      <c r="L146" s="29"/>
    </row>
    <row r="147" spans="11:12">
      <c r="K147" s="32" t="s">
        <v>176</v>
      </c>
      <c r="L147" s="29"/>
    </row>
    <row r="148" spans="11:12">
      <c r="K148" s="30" t="s">
        <v>72</v>
      </c>
      <c r="L148" s="29"/>
    </row>
    <row r="149" spans="11:12">
      <c r="K149" s="31" t="s">
        <v>73</v>
      </c>
      <c r="L149" s="29"/>
    </row>
    <row r="150" spans="11:12">
      <c r="K150" s="31" t="s">
        <v>74</v>
      </c>
      <c r="L150" s="29"/>
    </row>
    <row r="151" spans="11:12">
      <c r="K151" s="31" t="s">
        <v>75</v>
      </c>
      <c r="L151" s="29"/>
    </row>
    <row r="152" spans="11:12">
      <c r="K152" s="32" t="s">
        <v>76</v>
      </c>
      <c r="L152" s="29"/>
    </row>
    <row r="153" spans="11:12">
      <c r="K153" s="30" t="s">
        <v>77</v>
      </c>
      <c r="L153" s="29"/>
    </row>
    <row r="154" spans="11:12">
      <c r="K154" s="31" t="s">
        <v>78</v>
      </c>
      <c r="L154" s="29"/>
    </row>
    <row r="155" spans="11:12">
      <c r="K155" s="32" t="s">
        <v>79</v>
      </c>
      <c r="L155" s="29"/>
    </row>
    <row r="156" spans="11:12">
      <c r="K156" s="33" t="s">
        <v>80</v>
      </c>
      <c r="L156" s="29"/>
    </row>
    <row r="157" spans="11:12">
      <c r="K157" s="33" t="s">
        <v>81</v>
      </c>
      <c r="L157" s="29"/>
    </row>
    <row r="158" spans="11:12">
      <c r="K158" s="33" t="s">
        <v>177</v>
      </c>
      <c r="L158" s="29"/>
    </row>
    <row r="159" spans="11:12">
      <c r="K159" s="33" t="s">
        <v>82</v>
      </c>
      <c r="L159" s="29"/>
    </row>
    <row r="160" spans="11:12">
      <c r="K160" s="33" t="s">
        <v>83</v>
      </c>
      <c r="L160" s="29"/>
    </row>
    <row r="161" spans="11:12">
      <c r="K161" s="30" t="s">
        <v>84</v>
      </c>
      <c r="L161" s="29"/>
    </row>
    <row r="162" spans="11:12">
      <c r="K162" s="31" t="s">
        <v>85</v>
      </c>
      <c r="L162" s="29"/>
    </row>
    <row r="163" spans="11:12">
      <c r="K163" s="31" t="s">
        <v>86</v>
      </c>
      <c r="L163" s="29"/>
    </row>
    <row r="164" spans="11:12">
      <c r="K164" s="31" t="s">
        <v>87</v>
      </c>
      <c r="L164" s="29"/>
    </row>
    <row r="165" spans="11:12">
      <c r="K165" s="31" t="s">
        <v>88</v>
      </c>
      <c r="L165" s="29"/>
    </row>
    <row r="166" spans="11:12">
      <c r="K166" s="31" t="s">
        <v>89</v>
      </c>
      <c r="L166" s="29"/>
    </row>
    <row r="167" spans="11:12">
      <c r="K167" s="31" t="s">
        <v>90</v>
      </c>
      <c r="L167" s="29"/>
    </row>
    <row r="168" spans="11:12">
      <c r="K168" s="31" t="s">
        <v>91</v>
      </c>
      <c r="L168" s="29"/>
    </row>
    <row r="169" spans="11:12">
      <c r="K169" s="31" t="s">
        <v>92</v>
      </c>
      <c r="L169" s="29"/>
    </row>
    <row r="170" spans="11:12">
      <c r="K170" s="31" t="s">
        <v>93</v>
      </c>
      <c r="L170" s="29"/>
    </row>
    <row r="171" spans="11:12">
      <c r="K171" s="31" t="s">
        <v>94</v>
      </c>
      <c r="L171" s="29"/>
    </row>
    <row r="172" spans="11:12">
      <c r="K172" s="31" t="s">
        <v>95</v>
      </c>
      <c r="L172" s="29"/>
    </row>
    <row r="173" spans="11:12">
      <c r="K173" s="31" t="s">
        <v>96</v>
      </c>
      <c r="L173" s="29"/>
    </row>
    <row r="174" spans="11:12">
      <c r="K174" s="31" t="s">
        <v>97</v>
      </c>
      <c r="L174" s="29"/>
    </row>
    <row r="175" spans="11:12">
      <c r="K175" s="31" t="s">
        <v>98</v>
      </c>
      <c r="L175" s="29"/>
    </row>
    <row r="176" spans="11:12">
      <c r="K176" s="31" t="s">
        <v>178</v>
      </c>
      <c r="L176" s="29"/>
    </row>
    <row r="177" spans="11:12">
      <c r="K177" s="31" t="s">
        <v>99</v>
      </c>
      <c r="L177" s="29"/>
    </row>
    <row r="178" spans="11:12">
      <c r="K178" s="32" t="s">
        <v>100</v>
      </c>
      <c r="L178" s="29"/>
    </row>
    <row r="179" spans="11:12">
      <c r="K179" s="30" t="s">
        <v>101</v>
      </c>
      <c r="L179" s="29"/>
    </row>
    <row r="180" spans="11:12">
      <c r="K180" s="31" t="s">
        <v>102</v>
      </c>
      <c r="L180" s="29"/>
    </row>
    <row r="181" spans="11:12">
      <c r="K181" s="31" t="s">
        <v>103</v>
      </c>
      <c r="L181" s="29"/>
    </row>
    <row r="182" spans="11:12">
      <c r="K182" s="31" t="s">
        <v>104</v>
      </c>
      <c r="L182" s="29"/>
    </row>
    <row r="183" spans="11:12">
      <c r="K183" s="31" t="s">
        <v>105</v>
      </c>
      <c r="L183" s="29"/>
    </row>
    <row r="184" spans="11:12">
      <c r="K184" s="31" t="s">
        <v>106</v>
      </c>
    </row>
    <row r="185" spans="11:12">
      <c r="K185" s="31" t="s">
        <v>107</v>
      </c>
    </row>
    <row r="186" spans="11:12">
      <c r="K186" s="31" t="s">
        <v>108</v>
      </c>
    </row>
    <row r="187" spans="11:12">
      <c r="K187" s="31" t="s">
        <v>109</v>
      </c>
    </row>
    <row r="188" spans="11:12">
      <c r="K188" s="31" t="s">
        <v>110</v>
      </c>
    </row>
    <row r="189" spans="11:12">
      <c r="K189" s="31" t="s">
        <v>111</v>
      </c>
    </row>
    <row r="190" spans="11:12">
      <c r="K190" s="31" t="s">
        <v>112</v>
      </c>
    </row>
    <row r="191" spans="11:12">
      <c r="K191" s="31" t="s">
        <v>113</v>
      </c>
    </row>
    <row r="192" spans="11:12">
      <c r="K192" s="31" t="s">
        <v>179</v>
      </c>
    </row>
    <row r="193" spans="11:11">
      <c r="K193" s="32" t="s">
        <v>114</v>
      </c>
    </row>
    <row r="194" spans="11:11">
      <c r="K194" s="30" t="s">
        <v>115</v>
      </c>
    </row>
    <row r="195" spans="11:11">
      <c r="K195" s="31" t="s">
        <v>116</v>
      </c>
    </row>
    <row r="196" spans="11:11">
      <c r="K196" s="31" t="s">
        <v>117</v>
      </c>
    </row>
    <row r="197" spans="11:11">
      <c r="K197" s="31" t="s">
        <v>118</v>
      </c>
    </row>
    <row r="198" spans="11:11">
      <c r="K198" s="31" t="s">
        <v>119</v>
      </c>
    </row>
    <row r="199" spans="11:11">
      <c r="K199" s="31" t="s">
        <v>120</v>
      </c>
    </row>
    <row r="200" spans="11:11">
      <c r="K200" s="32" t="s">
        <v>121</v>
      </c>
    </row>
    <row r="201" spans="11:11">
      <c r="K201" s="30" t="s">
        <v>122</v>
      </c>
    </row>
    <row r="202" spans="11:11">
      <c r="K202" s="31" t="s">
        <v>123</v>
      </c>
    </row>
    <row r="203" spans="11:11">
      <c r="K203" s="31" t="s">
        <v>124</v>
      </c>
    </row>
    <row r="204" spans="11:11">
      <c r="K204" s="31" t="s">
        <v>125</v>
      </c>
    </row>
    <row r="205" spans="11:11">
      <c r="K205" s="31" t="s">
        <v>180</v>
      </c>
    </row>
    <row r="206" spans="11:11">
      <c r="K206" s="31" t="s">
        <v>126</v>
      </c>
    </row>
    <row r="207" spans="11:11">
      <c r="K207" s="31" t="s">
        <v>181</v>
      </c>
    </row>
    <row r="208" spans="11:11">
      <c r="K208" s="31" t="s">
        <v>182</v>
      </c>
    </row>
    <row r="209" spans="11:11">
      <c r="K209" s="31" t="s">
        <v>183</v>
      </c>
    </row>
    <row r="210" spans="11:11">
      <c r="K210" s="31" t="s">
        <v>127</v>
      </c>
    </row>
    <row r="211" spans="11:11">
      <c r="K211" s="31" t="s">
        <v>184</v>
      </c>
    </row>
    <row r="212" spans="11:11">
      <c r="K212" s="31" t="s">
        <v>128</v>
      </c>
    </row>
    <row r="213" spans="11:11">
      <c r="K213" s="31" t="s">
        <v>185</v>
      </c>
    </row>
    <row r="214" spans="11:11">
      <c r="K214" s="31" t="s">
        <v>129</v>
      </c>
    </row>
    <row r="215" spans="11:11">
      <c r="K215" s="31" t="s">
        <v>130</v>
      </c>
    </row>
    <row r="216" spans="11:11">
      <c r="K216" s="31" t="s">
        <v>131</v>
      </c>
    </row>
    <row r="217" spans="11:11">
      <c r="K217" s="31" t="s">
        <v>132</v>
      </c>
    </row>
    <row r="218" spans="11:11">
      <c r="K218" s="31" t="s">
        <v>186</v>
      </c>
    </row>
    <row r="219" spans="11:11">
      <c r="K219" s="31" t="s">
        <v>187</v>
      </c>
    </row>
    <row r="220" spans="11:11">
      <c r="K220" s="31" t="s">
        <v>133</v>
      </c>
    </row>
    <row r="221" spans="11:11">
      <c r="K221" s="32" t="s">
        <v>188</v>
      </c>
    </row>
    <row r="222" spans="11:11">
      <c r="K222" s="30" t="s">
        <v>134</v>
      </c>
    </row>
    <row r="223" spans="11:11">
      <c r="K223" s="31" t="s">
        <v>135</v>
      </c>
    </row>
    <row r="224" spans="11:11">
      <c r="K224" s="31" t="s">
        <v>136</v>
      </c>
    </row>
    <row r="225" spans="11:11">
      <c r="K225" s="31" t="s">
        <v>137</v>
      </c>
    </row>
    <row r="226" spans="11:11">
      <c r="K226" s="31" t="s">
        <v>138</v>
      </c>
    </row>
    <row r="227" spans="11:11">
      <c r="K227" s="31" t="s">
        <v>139</v>
      </c>
    </row>
    <row r="228" spans="11:11">
      <c r="K228" s="31" t="s">
        <v>140</v>
      </c>
    </row>
    <row r="229" spans="11:11">
      <c r="K229" s="32" t="s">
        <v>141</v>
      </c>
    </row>
    <row r="230" spans="11:11">
      <c r="K230" s="33" t="s">
        <v>142</v>
      </c>
    </row>
    <row r="231" spans="11:11">
      <c r="K231" s="33" t="s">
        <v>143</v>
      </c>
    </row>
    <row r="232" spans="11:11">
      <c r="K232" s="30" t="s">
        <v>144</v>
      </c>
    </row>
    <row r="233" spans="11:11">
      <c r="K233" s="31" t="s">
        <v>145</v>
      </c>
    </row>
    <row r="234" spans="11:11">
      <c r="K234" s="31" t="s">
        <v>146</v>
      </c>
    </row>
    <row r="235" spans="11:11">
      <c r="K235" s="31" t="s">
        <v>147</v>
      </c>
    </row>
    <row r="236" spans="11:11">
      <c r="K236" s="31" t="s">
        <v>148</v>
      </c>
    </row>
    <row r="237" spans="11:11">
      <c r="K237" s="31" t="s">
        <v>189</v>
      </c>
    </row>
    <row r="238" spans="11:11">
      <c r="K238" s="31" t="s">
        <v>149</v>
      </c>
    </row>
    <row r="239" spans="11:11">
      <c r="K239" s="32" t="s">
        <v>150</v>
      </c>
    </row>
    <row r="240" spans="11:11">
      <c r="K240" s="30" t="s">
        <v>151</v>
      </c>
    </row>
    <row r="241" spans="11:11">
      <c r="K241" s="31" t="s">
        <v>152</v>
      </c>
    </row>
    <row r="242" spans="11:11">
      <c r="K242" s="31" t="s">
        <v>153</v>
      </c>
    </row>
    <row r="243" spans="11:11">
      <c r="K243" s="31" t="s">
        <v>154</v>
      </c>
    </row>
    <row r="244" spans="11:11">
      <c r="K244" s="31" t="s">
        <v>155</v>
      </c>
    </row>
    <row r="245" spans="11:11">
      <c r="K245" s="31" t="s">
        <v>156</v>
      </c>
    </row>
    <row r="246" spans="11:11">
      <c r="K246" s="31" t="s">
        <v>328</v>
      </c>
    </row>
    <row r="247" spans="11:11">
      <c r="K247" s="31" t="s">
        <v>329</v>
      </c>
    </row>
    <row r="248" spans="11:11">
      <c r="K248" s="31" t="s">
        <v>330</v>
      </c>
    </row>
    <row r="249" spans="11:11">
      <c r="K249" s="31" t="s">
        <v>331</v>
      </c>
    </row>
    <row r="250" spans="11:11">
      <c r="K250" s="32" t="s">
        <v>332</v>
      </c>
    </row>
    <row r="251" spans="11:11">
      <c r="K251" s="30" t="s">
        <v>157</v>
      </c>
    </row>
    <row r="252" spans="11:11">
      <c r="K252" s="31" t="s">
        <v>158</v>
      </c>
    </row>
    <row r="253" spans="11:11">
      <c r="K253" s="31" t="s">
        <v>159</v>
      </c>
    </row>
    <row r="254" spans="11:11">
      <c r="K254" s="31" t="s">
        <v>160</v>
      </c>
    </row>
    <row r="255" spans="11:11">
      <c r="K255" s="31" t="s">
        <v>161</v>
      </c>
    </row>
    <row r="256" spans="11:11">
      <c r="K256" s="32" t="s">
        <v>162</v>
      </c>
    </row>
    <row r="257" spans="11:11">
      <c r="K257" s="30" t="s">
        <v>190</v>
      </c>
    </row>
    <row r="258" spans="11:11">
      <c r="K258" s="31" t="s">
        <v>163</v>
      </c>
    </row>
    <row r="259" spans="11:11">
      <c r="K259" s="31" t="s">
        <v>164</v>
      </c>
    </row>
    <row r="260" spans="11:11">
      <c r="K260" s="32" t="s">
        <v>165</v>
      </c>
    </row>
    <row r="261" spans="11:11">
      <c r="K261" s="30" t="s">
        <v>191</v>
      </c>
    </row>
    <row r="262" spans="11:11">
      <c r="K262" s="32" t="s">
        <v>166</v>
      </c>
    </row>
    <row r="263" spans="11:11">
      <c r="K263" s="68" t="s">
        <v>967</v>
      </c>
    </row>
    <row r="264" spans="11:11">
      <c r="K264" s="34" t="s">
        <v>472</v>
      </c>
    </row>
    <row r="265" spans="11:11">
      <c r="K265" s="34" t="s">
        <v>473</v>
      </c>
    </row>
    <row r="266" spans="11:11">
      <c r="K266" s="34" t="s">
        <v>474</v>
      </c>
    </row>
    <row r="267" spans="11:11">
      <c r="K267" s="34" t="s">
        <v>475</v>
      </c>
    </row>
    <row r="268" spans="11:11">
      <c r="K268" s="30" t="s">
        <v>476</v>
      </c>
    </row>
    <row r="269" spans="11:11">
      <c r="K269" s="34" t="s">
        <v>477</v>
      </c>
    </row>
    <row r="270" spans="11:11">
      <c r="K270" s="34" t="s">
        <v>478</v>
      </c>
    </row>
    <row r="271" spans="11:11">
      <c r="K271" s="34" t="s">
        <v>479</v>
      </c>
    </row>
    <row r="272" spans="11:11">
      <c r="K272" s="34" t="s">
        <v>480</v>
      </c>
    </row>
  </sheetData>
  <sortState xmlns:xlrd2="http://schemas.microsoft.com/office/spreadsheetml/2017/richdata2" ref="AQ2:AS41">
    <sortCondition ref="AQ2:AQ41"/>
  </sortState>
  <phoneticPr fontId="3"/>
  <conditionalFormatting sqref="N6:N51">
    <cfRule type="duplicateValues" dxfId="2" priority="22"/>
  </conditionalFormatting>
  <conditionalFormatting sqref="N52:Q97">
    <cfRule type="duplicateValues" dxfId="1" priority="2"/>
  </conditionalFormatting>
  <conditionalFormatting sqref="O98">
    <cfRule type="duplicateValues" dxfId="0" priority="1"/>
  </conditionalFormatting>
  <hyperlinks>
    <hyperlink ref="BA2" r:id="rId1" xr:uid="{00000000-0004-0000-0400-000000000000}"/>
    <hyperlink ref="BA3" r:id="rId2" xr:uid="{4CFFECBA-F5AB-4A6F-90F9-C3F14ECAF091}"/>
  </hyperlinks>
  <pageMargins left="0.75" right="0.75" top="1" bottom="1" header="0.51200000000000001" footer="0.51200000000000001"/>
  <pageSetup paperSize="9" orientation="portrait" r:id="rId3"/>
  <headerFooter alignWithMargins="0"/>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4"/>
  <sheetViews>
    <sheetView workbookViewId="0">
      <selection activeCell="C20" sqref="C20"/>
    </sheetView>
  </sheetViews>
  <sheetFormatPr defaultColWidth="9" defaultRowHeight="14"/>
  <cols>
    <col min="1" max="1" width="5.453125" style="75" customWidth="1"/>
    <col min="2" max="2" width="6.26953125" style="75" bestFit="1" customWidth="1"/>
    <col min="3" max="3" width="89.08984375" style="75" bestFit="1" customWidth="1"/>
    <col min="4" max="16384" width="9" style="75"/>
  </cols>
  <sheetData>
    <row r="1" spans="2:3">
      <c r="B1" s="75" t="s">
        <v>510</v>
      </c>
      <c r="C1" s="75" t="s">
        <v>511</v>
      </c>
    </row>
    <row r="2" spans="2:3">
      <c r="C2" s="75" t="s">
        <v>567</v>
      </c>
    </row>
    <row r="3" spans="2:3">
      <c r="C3" s="75" t="s">
        <v>569</v>
      </c>
    </row>
    <row r="4" spans="2:3">
      <c r="B4" s="75" t="s">
        <v>1067</v>
      </c>
      <c r="C4" s="75" t="s">
        <v>1068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B5ADEF623609343A95B77611D72174E" ma:contentTypeVersion="13" ma:contentTypeDescription="Create a new document." ma:contentTypeScope="" ma:versionID="d026dd3cb2a6f0e524b72c05948a4d1b">
  <xsd:schema xmlns:xsd="http://www.w3.org/2001/XMLSchema" xmlns:xs="http://www.w3.org/2001/XMLSchema" xmlns:p="http://schemas.microsoft.com/office/2006/metadata/properties" xmlns:ns2="ca9ae2f1-2f71-4efd-9b89-8a5ee18bab67" xmlns:ns3="88ba725a-4900-4775-9b4b-a37cb0540096" targetNamespace="http://schemas.microsoft.com/office/2006/metadata/properties" ma:root="true" ma:fieldsID="fa3d3ec87b1aef1fc33323c15f2feb19" ns2:_="" ns3:_="">
    <xsd:import namespace="ca9ae2f1-2f71-4efd-9b89-8a5ee18bab67"/>
    <xsd:import namespace="88ba725a-4900-4775-9b4b-a37cb05400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9ae2f1-2f71-4efd-9b89-8a5ee18bab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8ba725a-4900-4775-9b4b-a37cb05400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2157E39-E796-4D19-A734-BD0A23FF56A7}">
  <ds:schemaRefs>
    <ds:schemaRef ds:uri="http://schemas.microsoft.com/DataMashup"/>
  </ds:schemaRefs>
</ds:datastoreItem>
</file>

<file path=customXml/itemProps2.xml><?xml version="1.0" encoding="utf-8"?>
<ds:datastoreItem xmlns:ds="http://schemas.openxmlformats.org/officeDocument/2006/customXml" ds:itemID="{129CE3DD-6303-4AE8-981C-2E5FE0B1B5FE}">
  <ds:schemaRefs>
    <ds:schemaRef ds:uri="http://schemas.openxmlformats.org/package/2006/metadata/core-properties"/>
    <ds:schemaRef ds:uri="http://schemas.microsoft.com/office/2006/metadata/properties"/>
    <ds:schemaRef ds:uri="http://schemas.microsoft.com/office/2006/documentManagement/types"/>
    <ds:schemaRef ds:uri="http://schemas.microsoft.com/office/infopath/2007/PartnerControls"/>
    <ds:schemaRef ds:uri="ca9ae2f1-2f71-4efd-9b89-8a5ee18bab67"/>
    <ds:schemaRef ds:uri="http://purl.org/dc/terms/"/>
    <ds:schemaRef ds:uri="http://purl.org/dc/elements/1.1/"/>
    <ds:schemaRef ds:uri="http://www.w3.org/XML/1998/namespace"/>
    <ds:schemaRef ds:uri="88ba725a-4900-4775-9b4b-a37cb0540096"/>
    <ds:schemaRef ds:uri="http://purl.org/dc/dcmitype/"/>
  </ds:schemaRefs>
</ds:datastoreItem>
</file>

<file path=customXml/itemProps3.xml><?xml version="1.0" encoding="utf-8"?>
<ds:datastoreItem xmlns:ds="http://schemas.openxmlformats.org/officeDocument/2006/customXml" ds:itemID="{506C6ECC-533E-483B-9D92-B14E59FC46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9ae2f1-2f71-4efd-9b89-8a5ee18bab67"/>
    <ds:schemaRef ds:uri="88ba725a-4900-4775-9b4b-a37cb05400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CC0C689-C85F-4CA1-B001-5F6BFCAAB9D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88</vt:i4>
      </vt:variant>
    </vt:vector>
  </HeadingPairs>
  <TitlesOfParts>
    <vt:vector size="94" baseType="lpstr">
      <vt:lpstr>DRSEND</vt:lpstr>
      <vt:lpstr>Instructions</vt:lpstr>
      <vt:lpstr>csv</vt:lpstr>
      <vt:lpstr>Severity Matrix</vt:lpstr>
      <vt:lpstr>ListInfo</vt:lpstr>
      <vt:lpstr>Changelog</vt:lpstr>
      <vt:lpstr>ACC</vt:lpstr>
      <vt:lpstr>AEQ</vt:lpstr>
      <vt:lpstr>ahoge</vt:lpstr>
      <vt:lpstr>amoge</vt:lpstr>
      <vt:lpstr>batPath</vt:lpstr>
      <vt:lpstr>bhoge</vt:lpstr>
      <vt:lpstr>BLR</vt:lpstr>
      <vt:lpstr>bmoge</vt:lpstr>
      <vt:lpstr>choge</vt:lpstr>
      <vt:lpstr>CLS</vt:lpstr>
      <vt:lpstr>cmoge</vt:lpstr>
      <vt:lpstr>copyline</vt:lpstr>
      <vt:lpstr>CRG</vt:lpstr>
      <vt:lpstr>CRT</vt:lpstr>
      <vt:lpstr>csvSavePath</vt:lpstr>
      <vt:lpstr>DCK</vt:lpstr>
      <vt:lpstr>DCR</vt:lpstr>
      <vt:lpstr>Deatail4</vt:lpstr>
      <vt:lpstr>DefCode1</vt:lpstr>
      <vt:lpstr>DefCode2</vt:lpstr>
      <vt:lpstr>DefCode3</vt:lpstr>
      <vt:lpstr>DefCode4</vt:lpstr>
      <vt:lpstr>DefCode5</vt:lpstr>
      <vt:lpstr>DefCode6</vt:lpstr>
      <vt:lpstr>DefCode7</vt:lpstr>
      <vt:lpstr>Detail1</vt:lpstr>
      <vt:lpstr>Detail2</vt:lpstr>
      <vt:lpstr>Detail3</vt:lpstr>
      <vt:lpstr>Detail4</vt:lpstr>
      <vt:lpstr>Detail5</vt:lpstr>
      <vt:lpstr>Detail6</vt:lpstr>
      <vt:lpstr>Detail7</vt:lpstr>
      <vt:lpstr>dhoge</vt:lpstr>
      <vt:lpstr>dmoge</vt:lpstr>
      <vt:lpstr>DSH</vt:lpstr>
      <vt:lpstr>ehoge</vt:lpstr>
      <vt:lpstr>ELC</vt:lpstr>
      <vt:lpstr>emoge</vt:lpstr>
      <vt:lpstr>ext</vt:lpstr>
      <vt:lpstr>FFA</vt:lpstr>
      <vt:lpstr>fhoge</vt:lpstr>
      <vt:lpstr>FitUnfit</vt:lpstr>
      <vt:lpstr>fmoge</vt:lpstr>
      <vt:lpstr>fullDefCode</vt:lpstr>
      <vt:lpstr>fullList</vt:lpstr>
      <vt:lpstr>GEN</vt:lpstr>
      <vt:lpstr>ghoge</vt:lpstr>
      <vt:lpstr>gmoge</vt:lpstr>
      <vt:lpstr>HAC</vt:lpstr>
      <vt:lpstr>IGS</vt:lpstr>
      <vt:lpstr>ILL</vt:lpstr>
      <vt:lpstr>INJ</vt:lpstr>
      <vt:lpstr>Inspector1</vt:lpstr>
      <vt:lpstr>Inspector2</vt:lpstr>
      <vt:lpstr>Inspector3</vt:lpstr>
      <vt:lpstr>Inspector4</vt:lpstr>
      <vt:lpstr>Inspector5</vt:lpstr>
      <vt:lpstr>Inspector6</vt:lpstr>
      <vt:lpstr>Inspector7</vt:lpstr>
      <vt:lpstr>LLE</vt:lpstr>
      <vt:lpstr>LSA</vt:lpstr>
      <vt:lpstr>MacBrk</vt:lpstr>
      <vt:lpstr>MajMin</vt:lpstr>
      <vt:lpstr>MEN</vt:lpstr>
      <vt:lpstr>MMS</vt:lpstr>
      <vt:lpstr>MPR</vt:lpstr>
      <vt:lpstr>NEQ</vt:lpstr>
      <vt:lpstr>NIL</vt:lpstr>
      <vt:lpstr>ODD</vt:lpstr>
      <vt:lpstr>orgcode</vt:lpstr>
      <vt:lpstr>OTR</vt:lpstr>
      <vt:lpstr>PAE</vt:lpstr>
      <vt:lpstr>pasteline</vt:lpstr>
      <vt:lpstr>PAV</vt:lpstr>
      <vt:lpstr>DRSEND!Print_Area</vt:lpstr>
      <vt:lpstr>PSC</vt:lpstr>
      <vt:lpstr>Reason</vt:lpstr>
      <vt:lpstr>RepBy</vt:lpstr>
      <vt:lpstr>severity</vt:lpstr>
      <vt:lpstr>SHF</vt:lpstr>
      <vt:lpstr>shipname</vt:lpstr>
      <vt:lpstr>Status</vt:lpstr>
      <vt:lpstr>STR</vt:lpstr>
      <vt:lpstr>threelettershipcode</vt:lpstr>
      <vt:lpstr>vesseldata</vt:lpstr>
      <vt:lpstr>VET</vt:lpstr>
      <vt:lpstr>vettingeq</vt:lpstr>
      <vt:lpstr>WAR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DR Sender</dc:title>
  <dc:creator>Ashok Yadav</dc:creator>
  <cp:keywords>V34</cp:keywords>
  <dc:description>Version 3.4</dc:description>
  <cp:lastModifiedBy>Shukla Shashwat</cp:lastModifiedBy>
  <cp:lastPrinted>2020-04-22T13:54:49Z</cp:lastPrinted>
  <dcterms:created xsi:type="dcterms:W3CDTF">1997-01-08T22:48:59Z</dcterms:created>
  <dcterms:modified xsi:type="dcterms:W3CDTF">2022-03-30T11:52:22Z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0x010100EB5ADEF623609343A95B77611D72174E</vt:lpwstr>
  </property>
</Properties>
</file>