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multipage-app\"/>
    </mc:Choice>
  </mc:AlternateContent>
  <xr:revisionPtr revIDLastSave="0" documentId="13_ncr:1_{481F2A33-5675-45F6-A9CE-A85DADB73CD6}" xr6:coauthVersionLast="47" xr6:coauthVersionMax="47" xr10:uidLastSave="{00000000-0000-0000-0000-000000000000}"/>
  <bookViews>
    <workbookView xWindow="-90" yWindow="-16320" windowWidth="29040" windowHeight="1572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<sst xmlns="http://schemas.openxmlformats.org/spreadsheetml/2006/main" count="1402" uniqueCount="1104">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</sst>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279400</xdr:colOff>
          <xdr:row>4</xdr:row>
          <xdr:rowOff>165100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1593850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5" dataDxfId="4">
  <autoFilter ref="N4:Q99" xr:uid="{00000000-0009-0000-0100-000003000000}"/>
  <sortState xmlns:xlrd2="http://schemas.microsoft.com/office/spreadsheetml/2017/richdata2" ref="N5:Q99">
    <sortCondition ref="N4:N99"/>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B6" sqref="B6"/>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1" ht="18" customHeight="1" thickBot="1">
      <c r="A1" s="89"/>
      <c r="B1" s="90" t="s">
        <v>799</v>
      </c>
      <c r="C1" s="91" t="s">
        <v>568</v>
      </c>
      <c r="D1" s="92" t="e">
        <f>VLOOKUP(C1,vesseldata,3,FALSE)</f>
        <v>#N/A</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1" ht="18" customHeight="1" thickBot="1">
      <c r="A2" s="89"/>
      <c r="B2" s="96" t="s">
        <v>297</v>
      </c>
      <c r="C2" s="97" t="e">
        <f>VLOOKUP($C$1,vesseldata,4,FALSE)</f>
        <v>#N/A</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1" ht="18" customHeight="1" thickBot="1">
      <c r="A3" s="89"/>
      <c r="B3" s="96" t="s">
        <v>298</v>
      </c>
      <c r="C3" s="92">
        <f ca="1">TODAY()</f>
        <v>44657</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1"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1" ht="18" customHeight="1">
      <c r="A5" s="89"/>
      <c r="B5" s="102" t="s">
        <v>481</v>
      </c>
      <c r="C5" s="103" t="e">
        <f>VLOOKUP($C$1,vesseldata,2,FALSE)</f>
        <v>#N/A</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1"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1"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t="e">
        <f>$C$5</f>
        <v>#N/A</v>
      </c>
      <c r="AV7" s="111" t="str">
        <f>$C$1</f>
        <v/>
      </c>
      <c r="AW7" s="112" t="e">
        <f>$C$2</f>
        <v>#N/A</v>
      </c>
      <c r="AX7" s="87">
        <f ca="1">$C$3</f>
        <v>44657</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1" s="118" customFormat="1" ht="15" customHeight="1">
      <c r="A8" s="117" t="s">
        <v>1060</v>
      </c>
      <c r="B8" s="126"/>
      <c r="C8" s="126"/>
      <c r="D8" s="126"/>
      <c r="E8" s="126"/>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c r="BK8" s="126"/>
      <c r="BL8" s="126"/>
      <c r="BM8" s="126"/>
      <c r="BN8" s="126"/>
      <c r="BO8" s="126"/>
      <c r="BP8" s="126"/>
      <c r="BQ8" s="126"/>
      <c r="BR8" s="126"/>
      <c r="BS8" s="126"/>
      <c r="BT8" s="126"/>
      <c r="BU8" s="126"/>
      <c r="BV8" s="126"/>
      <c r="BW8" s="126"/>
      <c r="BX8" s="126"/>
      <c r="BY8" s="126"/>
      <c r="BZ8" s="126"/>
      <c r="CA8" s="126"/>
      <c r="CB8" s="126"/>
      <c r="CC8" s="126"/>
      <c r="CD8" s="126"/>
      <c r="CE8" s="126"/>
      <c r="CF8" s="126"/>
      <c r="CG8" s="126"/>
      <c r="CH8" s="126"/>
      <c r="CI8" s="126"/>
      <c r="CJ8" s="126"/>
      <c r="CK8" s="126"/>
      <c r="CL8" s="126"/>
      <c r="CM8" s="126"/>
      <c r="CN8" s="126"/>
      <c r="CO8" s="126"/>
      <c r="CP8" s="126"/>
      <c r="CQ8" s="126"/>
      <c r="CR8" s="126"/>
      <c r="CS8" s="126"/>
      <c r="CT8" s="126"/>
      <c r="CU8" s="126"/>
      <c r="CV8" s="126"/>
      <c r="CW8" s="12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266700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8" priority="22"/>
  </conditionalFormatting>
  <conditionalFormatting sqref="N52:Q97">
    <cfRule type="duplicateValues" dxfId="7" priority="2"/>
  </conditionalFormatting>
  <conditionalFormatting sqref="O98">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2022-04-06T11:23:52Z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