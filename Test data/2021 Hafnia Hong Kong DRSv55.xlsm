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Test data\"/>
    </mc:Choice>
  </mc:AlternateContent>
  <xr:revisionPtr revIDLastSave="0" documentId="13_ncr:1_{F9F3F3D3-7B96-4A03-B6BC-322C3D423E10}" xr6:coauthVersionLast="47" xr6:coauthVersionMax="47" xr10:uidLastSave="{00000000-0000-0000-0000-000000000000}"/>
  <bookViews>
    <workbookView xWindow="28680" yWindow="-120" windowWidth="29040" windowHeight="1572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DRSEND!$A$82</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81" i="9" l="1"/>
  <c r="J81" i="9"/>
  <c r="F81" i="9"/>
  <c r="E81" i="9"/>
  <c r="L80" i="9"/>
  <c r="J80" i="9"/>
  <c r="F80" i="9"/>
  <c r="E80" i="9"/>
  <c r="L79" i="9"/>
  <c r="J79" i="9"/>
  <c r="F79" i="9"/>
  <c r="E79" i="9"/>
  <c r="L78" i="9"/>
  <c r="J78" i="9"/>
  <c r="F78" i="9"/>
  <c r="E78" i="9"/>
  <c r="L77" i="9"/>
  <c r="J77" i="9"/>
  <c r="F77" i="9"/>
  <c r="E77" i="9"/>
  <c r="L76" i="9"/>
  <c r="J76" i="9"/>
  <c r="F76" i="9"/>
  <c r="E76" i="9"/>
  <c r="L75" i="9"/>
  <c r="J75" i="9"/>
  <c r="F75" i="9"/>
  <c r="E75" i="9"/>
  <c r="L74" i="9"/>
  <c r="J74" i="9"/>
  <c r="F74" i="9"/>
  <c r="E74" i="9"/>
  <c r="L73" i="9"/>
  <c r="J73" i="9"/>
  <c r="F73" i="9"/>
  <c r="E73" i="9"/>
  <c r="L72" i="9"/>
  <c r="J72" i="9"/>
  <c r="F72" i="9"/>
  <c r="E72" i="9"/>
  <c r="L71" i="9"/>
  <c r="J71" i="9"/>
  <c r="F71" i="9"/>
  <c r="E71" i="9"/>
  <c r="L70" i="9"/>
  <c r="J70" i="9"/>
  <c r="F70" i="9"/>
  <c r="E70" i="9"/>
  <c r="L69" i="9"/>
  <c r="J69" i="9"/>
  <c r="F69" i="9"/>
  <c r="E69" i="9"/>
  <c r="L68" i="9"/>
  <c r="J68" i="9"/>
  <c r="F68" i="9"/>
  <c r="E68" i="9"/>
  <c r="L67" i="9"/>
  <c r="J67" i="9"/>
  <c r="F67" i="9"/>
  <c r="E67" i="9"/>
  <c r="L66" i="9"/>
  <c r="J66" i="9"/>
  <c r="F66" i="9"/>
  <c r="E66" i="9"/>
  <c r="L65" i="9"/>
  <c r="J65" i="9"/>
  <c r="F65" i="9"/>
  <c r="E65" i="9"/>
  <c r="L64" i="9"/>
  <c r="J64" i="9"/>
  <c r="F64" i="9"/>
  <c r="E64" i="9"/>
  <c r="L63" i="9"/>
  <c r="J63" i="9"/>
  <c r="F63" i="9"/>
  <c r="E63" i="9"/>
  <c r="L62" i="9"/>
  <c r="J62" i="9"/>
  <c r="F62" i="9"/>
  <c r="E62" i="9"/>
  <c r="L61" i="9"/>
  <c r="J61" i="9"/>
  <c r="F61" i="9"/>
  <c r="E61" i="9"/>
  <c r="L60" i="9"/>
  <c r="J60" i="9"/>
  <c r="F60" i="9"/>
  <c r="E60" i="9"/>
  <c r="L59" i="9"/>
  <c r="J59" i="9"/>
  <c r="F59" i="9"/>
  <c r="E59" i="9"/>
  <c r="L58" i="9"/>
  <c r="J58" i="9"/>
  <c r="F58" i="9"/>
  <c r="E58" i="9"/>
  <c r="L57" i="9"/>
  <c r="J57" i="9"/>
  <c r="F57" i="9"/>
  <c r="E57" i="9"/>
  <c r="L56" i="9"/>
  <c r="J56" i="9"/>
  <c r="F56" i="9"/>
  <c r="E56" i="9"/>
  <c r="L55" i="9"/>
  <c r="J55" i="9"/>
  <c r="F55" i="9"/>
  <c r="E55" i="9"/>
  <c r="L54" i="9"/>
  <c r="J54" i="9"/>
  <c r="F54" i="9"/>
  <c r="E54" i="9"/>
  <c r="L53" i="9"/>
  <c r="J53" i="9"/>
  <c r="F53" i="9"/>
  <c r="E53" i="9"/>
  <c r="L52" i="9"/>
  <c r="J52" i="9"/>
  <c r="F52" i="9"/>
  <c r="E52" i="9"/>
  <c r="L51" i="9"/>
  <c r="J51" i="9"/>
  <c r="F51" i="9"/>
  <c r="E51" i="9"/>
  <c r="L50" i="9"/>
  <c r="J50" i="9"/>
  <c r="F50" i="9"/>
  <c r="E50" i="9"/>
  <c r="D1" i="9"/>
  <c r="C5" i="9"/>
  <c r="C2" i="9"/>
  <c r="C3" i="9"/>
  <c r="AW7" i="9" l="1"/>
  <c r="AX7" i="9"/>
  <c r="AY7" i="9"/>
  <c r="AV7" i="9"/>
  <c r="L7" i="9"/>
  <c r="J7" i="9"/>
  <c r="F7" i="9"/>
  <c r="E7" i="9"/>
  <c r="AU7" i="9" l="1"/>
</calcChain>
</file>

<file path=xl/sharedStrings.xml><?xml version="1.0" encoding="utf-8"?>
<sst xmlns="http://schemas.openxmlformats.org/spreadsheetml/2006/main" count="6557" uniqueCount="1834">
  <si>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</si>
  <si>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</si>
  <si>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</si>
  <si>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</si>
  <si>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</si>
  <si>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</si>
  <si>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</si>
  <si>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</si>
  <si>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</si>
  <si>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</si>
  <si>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</si>
  <si>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</si>
  <si>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</si>
  <si>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</si>
  <si>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</si>
  <si>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</si>
  <si>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</si>
  <si>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</si>
  <si>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</si>
  <si>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</si>
  <si>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</si>
  <si>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</si>
  <si>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</si>
  <si>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</si>
  <si>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</si>
  <si>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</si>
  <si>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</si>
  <si>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</si>
  <si>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</si>
  <si>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</si>
  <si>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</si>
  <si>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</si>
  <si>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</si>
  <si>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</si>
  <si>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</si>
  <si>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</si>
  <si>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</si>
  <si>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</si>
  <si>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</si>
  <si>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</si>
  <si>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</si>
  <si>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</si>
  <si>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</si>
  <si>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</si>
  <si>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</si>
  <si>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</si>
  <si>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</si>
  <si>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</si>
  <si>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</si>
  <si>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</si>
  <si>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</si>
  <si>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</si>
  <si>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</si>
  <si>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</si>
  <si>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</si>
  <si>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</si>
  <si>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</si>
  <si>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</si>
  <si>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</si>
  <si>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</si>
  <si>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</si>
  <si>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</si>
  <si>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</si>
  <si>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</si>
  <si>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</si>
  <si>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</si>
  <si>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</si>
  <si>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</si>
  <si>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</si>
  <si>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</si>
  <si>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</si>
  <si>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</si>
  <si>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</si>
  <si>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</si>
  <si>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</si>
  <si>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</si>
  <si>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</si>
  <si>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</si>
  <si>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</si>
  <si>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</si>
  <si>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</si>
  <si>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</si>
  <si>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</si>
  <si>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</si>
  <si>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</si>
  <si>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</si>
  <si>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</si>
  <si>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</si>
  <si>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</si>
  <si>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</si>
  <si>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</si>
  <si>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</si>
  <si>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</si>
  <si>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</si>
  <si>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</si>
  <si>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</si>
  <si>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</si>
  <si>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</si>
  <si>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</si>
  <si>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</si>
  <si>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</si>
  <si>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</si>
  <si>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</si>
  <si>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</si>
  <si>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</si>
  <si>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</si>
  <si>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</si>
  <si>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</si>
  <si>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</si>
  <si>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</si>
  <si>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</si>
  <si>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</si>
  <si>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</si>
  <si>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</si>
  <si>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</si>
  <si>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</si>
  <si>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</si>
  <si>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</si>
  <si>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</si>
  <si>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</si>
  <si>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</si>
  <si>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</si>
  <si>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</si>
  <si>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</si>
  <si>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</si>
  <si>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</si>
  <si>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</si>
  <si>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</si>
  <si>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</si>
  <si>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</si>
  <si>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</si>
  <si>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</si>
  <si>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</si>
  <si>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</si>
  <si>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</si>
  <si>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</si>
  <si>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</si>
  <si>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</si>
  <si>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</si>
  <si>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</si>
  <si>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</si>
  <si>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</si>
  <si>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</si>
  <si>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</si>
  <si>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</si>
  <si>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</si>
  <si>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</si>
  <si>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</si>
  <si>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</si>
  <si>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</si>
  <si>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</si>
  <si>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</si>
  <si>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</si>
  <si>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</si>
  <si>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</si>
  <si>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</si>
  <si>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</si>
  <si>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</si>
  <si>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</si>
  <si>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</si>
  <si>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</si>
  <si>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</si>
  <si>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</si>
  <si>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</si>
  <si>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</si>
  <si>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</si>
  <si>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</si>
  <si>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</si>
  <si>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</si>
  <si>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</si>
  <si>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</si>
  <si>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</si>
  <si>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</si>
  <si>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</si>
  <si>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</si>
  <si>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</si>
  <si>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</si>
  <si>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</si>
  <si>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</si>
  <si>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</si>
  <si>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</si>
  <si>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</si>
  <si>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</si>
  <si>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</si>
  <si>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</si>
  <si>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</si>
  <si>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</si>
  <si>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</si>
  <si>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</si>
  <si>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</si>
  <si>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</si>
  <si>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</si>
  <si>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</si>
  <si>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</si>
  <si>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</si>
  <si>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</si>
  <si>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</si>
  <si>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</si>
  <si>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</si>
  <si>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</si>
  <si>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</si>
  <si>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</si>
  <si>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</si>
  <si>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</si>
  <si>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</si>
  <si>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</si>
  <si>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</si>
  <si>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</si>
  <si>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</si>
  <si>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</si>
  <si>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</si>
  <si>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</si>
  <si>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</si>
  <si>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</si>
  <si>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</si>
  <si>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</si>
  <si>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</si>
  <si>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</si>
  <si>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</si>
  <si>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</si>
  <si>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</si>
  <si>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</si>
  <si>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</si>
  <si>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</si>
  <si>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</si>
  <si>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</si>
  <si>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</si>
  <si>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</si>
  <si>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</si>
  <si>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</si>
  <si>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</si>
  <si>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</si>
  <si>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</si>
  <si>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</si>
  <si>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</si>
  <si>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</si>
  <si>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</si>
  <si>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</si>
  <si>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</si>
  <si>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</si>
  <si>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</si>
  <si>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</si>
  <si>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</si>
  <si>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</si>
  <si>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</si>
  <si>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</si>
  <si>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</si>
  <si>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</si>
  <si>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</si>
  <si>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</si>
  <si>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</si>
  <si>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</si>
  <si>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</si>
  <si>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</si>
  <si>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</si>
  <si>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</si>
  <si>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</si>
  <si>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</si>
  <si>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</si>
  <si>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</si>
  <si>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</si>
  <si>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</si>
  <si>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</si>
  <si>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</si>
  <si>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</si>
  <si>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</si>
  <si>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</si>
  <si>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</si>
  <si>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</si>
  <si>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</si>
  <si>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</si>
  <si>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</si>
  <si>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</si>
  <si>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</si>
  <si>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</si>
  <si>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</si>
  <si>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</si>
  <si>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</si>
  <si>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</si>
  <si>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</si>
  <si>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</si>
  <si>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</si>
  <si>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</si>
  <si>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</si>
  <si>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</si>
  <si>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</si>
  <si>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</si>
  <si>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</si>
  <si>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</si>
  <si>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</si>
  <si>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</si>
  <si>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</si>
  <si>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</si>
  <si>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</si>
  <si>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</si>
  <si>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</si>
  <si>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</si>
  <si>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</si>
  <si>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</si>
  <si>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</si>
  <si>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</si>
  <si>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</si>
  <si>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</si>
  <si>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</si>
  <si>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</si>
  <si>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</si>
  <si>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</si>
  <si>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</si>
  <si>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</si>
  <si>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</si>
  <si>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</si>
  <si>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</si>
  <si>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</si>
  <si>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</si>
  <si>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</si>
  <si>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</si>
  <si>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</si>
  <si>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</si>
  <si>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</si>
  <si>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</si>
  <si>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</si>
  <si>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</si>
  <si>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</si>
  <si>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</si>
  <si>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</si>
  <si>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</si>
  <si>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</si>
  <si>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</si>
  <si>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</si>
  <si>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</si>
  <si>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</si>
  <si>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</si>
  <si>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</si>
  <si>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</si>
  <si>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</si>
  <si>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</si>
  <si>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</si>
  <si>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</si>
  <si>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</si>
  <si>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</si>
  <si>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</si>
  <si>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</si>
  <si>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</si>
  <si>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</si>
  <si>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</si>
  <si>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</si>
  <si>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</si>
  <si>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</si>
  <si>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</si>
  <si>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</si>
  <si>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</si>
  <si>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</si>
  <si>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</si>
  <si>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</si>
  <si>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</si>
  <si>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</si>
  <si>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</si>
  <si>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</si>
  <si>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</si>
  <si>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</si>
  <si>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</si>
  <si>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</si>
  <si>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</si>
  <si>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</si>
  <si>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</si>
  <si>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</si>
  <si>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</si>
  <si>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</si>
  <si>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</si>
  <si>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</si>
  <si>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</si>
  <si>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</si>
  <si>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</si>
  <si>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</si>
  <si>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</si>
  <si>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</si>
  <si>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</si>
  <si>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</si>
  <si>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</si>
  <si>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</si>
  <si>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</si>
  <si>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</si>
  <si>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</si>
  <si>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</si>
  <si>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</si>
  <si>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</si>
  <si>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</si>
  <si>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</si>
  <si>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</si>
  <si>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</si>
  <si>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</si>
  <si>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</si>
  <si>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</si>
  <si>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</si>
  <si>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</si>
  <si>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</si>
  <si>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</si>
  <si>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</si>
  <si>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</si>
  <si>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</si>
  <si>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</si>
  <si>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</si>
  <si>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</si>
  <si>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</si>
  <si>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</si>
  <si>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</si>
  <si>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</si>
  <si>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</si>
  <si>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</si>
  <si>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</si>
  <si>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</si>
  <si>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</si>
  <si>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</si>
  <si>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</si>
  <si>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</si>
  <si>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</si>
  <si>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</si>
  <si>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</si>
  <si>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</si>
  <si>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</si>
  <si>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</si>
  <si>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</si>
  <si>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</si>
  <si>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</si>
  <si>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</si>
  <si>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</si>
  <si>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</si>
  <si>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</si>
  <si>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</si>
  <si>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</si>
  <si>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</si>
  <si>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</si>
  <si>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</si>
  <si>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</si>
  <si>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</si>
  <si>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</si>
  <si>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</si>
  <si>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</si>
  <si>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</si>
  <si>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</si>
  <si>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</si>
  <si>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</si>
  <si>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</si>
  <si>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</si>
  <si>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</si>
  <si>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</si>
  <si>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</si>
  <si>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</si>
  <si>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</si>
  <si>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</si>
  <si>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</si>
  <si>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</si>
  <si>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</si>
  <si>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</si>
  <si>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</si>
  <si>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</si>
  <si>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</si>
  <si>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</si>
  <si>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</si>
  <si>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</si>
  <si>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</si>
  <si>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</si>
  <si>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</si>
  <si>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</si>
  <si>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</si>
  <si>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</si>
  <si>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</si>
  <si>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</si>
  <si>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</si>
  <si>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</si>
  <si>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</si>
  <si>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</si>
  <si>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</si>
  <si>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</si>
  <si>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</si>
  <si>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</si>
  <si>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</si>
  <si>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</si>
  <si>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</si>
  <si>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</si>
  <si>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</si>
  <si>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</si>
  <si>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</si>
  <si>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</si>
  <si>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</si>
  <si>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</si>
  <si>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</si>
  <si>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</si>
  <si>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</si>
  <si>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</si>
  <si>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</si>
  <si>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</si>
  <si>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</si>
  <si>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</si>
  <si>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</si>
  <si>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</si>
  <si>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</si>
  <si>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</si>
  <si>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</si>
  <si>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</si>
  <si>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</si>
  <si>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</si>
  <si>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</si>
  <si>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</si>
  <si>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</si>
  <si>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</si>
  <si>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</si>
  <si>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</si>
  <si>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</si>
  <si>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</si>
  <si>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</si>
  <si>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</si>
  <si>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</si>
  <si>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</si>
  <si>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</si>
  <si>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</si>
  <si>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</si>
  <si>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</si>
  <si>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</si>
  <si>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</si>
  <si>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</si>
  <si>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</si>
  <si>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</si>
  <si>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</si>
  <si>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</si>
  <si>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</si>
  <si>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</si>
  <si>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</si>
  <si>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</si>
  <si>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</si>
  <si>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</si>
  <si>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</si>
  <si>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</si>
  <si>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</si>
  <si>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</si>
  <si>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</si>
  <si>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</si>
  <si>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</si>
  <si>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</si>
  <si>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</si>
  <si>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</si>
  <si>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</si>
  <si>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</si>
  <si>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</si>
  <si>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</si>
  <si>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</si>
  <si>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</si>
  <si>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</si>
  <si>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</si>
  <si>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</si>
  <si>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</si>
  <si>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</si>
  <si>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</si>
  <si>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</si>
  <si>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</si>
  <si>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</si>
  <si>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</si>
  <si>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</si>
  <si>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</si>
  <si>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</si>
  <si>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</si>
  <si>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</si>
  <si>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</si>
  <si>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</si>
  <si>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</si>
  <si>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</si>
  <si>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</si>
  <si>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</si>
  <si>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</si>
  <si>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</si>
  <si>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</si>
  <si>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</si>
  <si>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</si>
  <si>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</si>
  <si>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</si>
  <si>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</si>
  <si>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</si>
  <si>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</si>
  <si>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</si>
  <si>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</si>
  <si>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</si>
  <si>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</si>
  <si>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</si>
  <si>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</si>
  <si>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</si>
  <si>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</si>
  <si>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</si>
  <si>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</si>
  <si>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</si>
  <si>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</si>
  <si>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</si>
  <si>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</si>
  <si>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</si>
  <si>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</si>
  <si>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</si>
  <si>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</si>
  <si>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</si>
  <si>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</si>
  <si>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</si>
  <si>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</si>
  <si>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</si>
  <si>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</si>
  <si>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</si>
  <si>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</si>
  <si>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</si>
  <si>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</si>
  <si>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</si>
  <si>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</si>
  <si>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</si>
  <si>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</si>
  <si>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</si>
  <si>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</si>
  <si>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</si>
  <si>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</si>
  <si>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</si>
  <si>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</si>
  <si>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</si>
  <si>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</si>
  <si>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</si>
  <si>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</si>
  <si>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</si>
  <si>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</si>
  <si>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</si>
  <si>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</si>
  <si>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</si>
  <si>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</si>
  <si>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</si>
  <si>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</si>
  <si>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</si>
  <si>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</si>
  <si>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</si>
  <si>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</si>
  <si>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</si>
  <si>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</si>
  <si>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</si>
  <si>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</si>
  <si>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</si>
  <si>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</si>
  <si>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</si>
  <si>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</si>
  <si>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</si>
  <si>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</si>
  <si>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</si>
  <si>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</si>
  <si>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</si>
  <si>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</si>
  <si>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</si>
  <si>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</si>
  <si>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</si>
  <si>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</si>
  <si>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</si>
  <si>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</si>
  <si>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</si>
  <si>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</si>
  <si>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</si>
  <si>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</si>
  <si>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</si>
  <si>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</si>
  <si>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</si>
  <si>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</si>
  <si>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</si>
  <si>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</si>
  <si>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</si>
  <si>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</si>
  <si>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</si>
  <si>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</si>
  <si>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</si>
  <si>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</si>
  <si>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</si>
  <si>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</si>
  <si>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</si>
  <si>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</si>
  <si>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</si>
  <si>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</si>
  <si>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</si>
  <si>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</si>
  <si>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</si>
  <si>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</si>
  <si>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</si>
  <si>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</si>
  <si>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</si>
  <si>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</si>
  <si>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</si>
  <si>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</si>
  <si>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</si>
  <si>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</si>
  <si>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</si>
  <si>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</si>
  <si>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</si>
  <si>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</si>
  <si>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</si>
  <si>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</si>
  <si>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</si>
  <si>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</si>
  <si>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</si>
  <si>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</si>
  <si>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</si>
  <si>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</si>
  <si>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</si>
  <si>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</si>
  <si>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</si>
  <si>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</si>
  <si>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</si>
  <si>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</si>
  <si>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</si>
  <si>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</si>
  <si>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</si>
  <si>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</si>
  <si>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</si>
  <si>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</si>
  <si>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</si>
  <si>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</si>
  <si>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</si>
  <si>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</si>
  <si>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</si>
  <si>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</si>
  <si>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</si>
  <si>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</si>
  <si>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</si>
  <si>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</si>
  <si>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</si>
  <si>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</si>
  <si>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</si>
  <si>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</si>
  <si>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</si>
  <si>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</si>
  <si>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</si>
  <si>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</si>
  <si>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</si>
  <si>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</si>
  <si>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</si>
  <si>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</si>
  <si>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</si>
  <si>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</si>
  <si>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</si>
  <si>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</si>
  <si>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</si>
  <si>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</si>
  <si>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</si>
  <si>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</si>
  <si>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</si>
  <si>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</si>
  <si>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</si>
  <si>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</si>
  <si>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</si>
  <si>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</si>
  <si>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</si>
  <si>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</si>
  <si>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</si>
  <si>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</si>
  <si>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</si>
  <si>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</si>
  <si>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</si>
  <si>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</si>
  <si>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</si>
  <si>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</si>
  <si>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</si>
  <si>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</si>
  <si>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</si>
  <si>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</si>
  <si>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</si>
  <si>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</si>
  <si>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</si>
  <si>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</si>
  <si>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</si>
  <si>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</si>
  <si>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</si>
  <si>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</si>
  <si>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</si>
  <si>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</si>
  <si>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</si>
  <si>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</si>
  <si>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</si>
  <si>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</si>
  <si>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</si>
  <si>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</si>
  <si>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</si>
  <si>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</si>
  <si>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</si>
  <si>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</si>
  <si>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</si>
  <si>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</si>
  <si>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</si>
  <si>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</si>
  <si>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</si>
  <si>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</si>
  <si>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</si>
  <si>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</si>
  <si>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</si>
  <si>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</si>
  <si>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</si>
  <si>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</si>
  <si>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</si>
  <si>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</si>
  <si>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</si>
  <si>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</si>
  <si>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</si>
  <si>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</si>
  <si>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</si>
  <si>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</si>
  <si>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</si>
  <si>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</si>
  <si>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</si>
  <si>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</si>
  <si>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</si>
  <si>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</si>
  <si>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</si>
  <si>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</si>
  <si>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</si>
  <si>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</si>
  <si>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</si>
  <si>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</si>
  <si>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</si>
  <si>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</si>
  <si>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</si>
  <si>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</si>
  <si>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</si>
  <si>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</si>
  <si>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</si>
  <si>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</si>
  <si>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</si>
  <si>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</si>
  <si>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</si>
  <si>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</si>
  <si>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</si>
  <si>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</si>
  <si>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</si>
  <si>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</si>
  <si>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</si>
  <si>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</si>
  <si>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</si>
  <si>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</si>
  <si>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</si>
  <si>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</si>
  <si>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</si>
  <si>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</si>
  <si>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</si>
  <si>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</si>
  <si>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</si>
  <si>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</si>
  <si>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</si>
  <si>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</si>
  <si>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</si>
  <si>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</si>
  <si>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</si>
  <si>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</si>
  <si>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</si>
  <si>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</si>
  <si>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</si>
  <si>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</si>
  <si>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</si>
  <si>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</si>
  <si>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</si>
  <si>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</si>
  <si>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</si>
  <si>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</si>
  <si>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</si>
  <si>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</si>
  <si>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</si>
  <si>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</si>
  <si>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</si>
  <si>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</si>
  <si>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</si>
  <si>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</si>
  <si>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</si>
  <si>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</si>
  <si>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</si>
  <si>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</si>
  <si>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</si>
  <si>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</si>
  <si>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</si>
  <si>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</si>
  <si>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</si>
  <si>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</si>
  <si>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</si>
  <si>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</si>
  <si>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</si>
  <si>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</si>
  <si>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</si>
  <si>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</si>
  <si>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</si>
  <si>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</si>
  <si>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</si>
  <si>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</si>
  <si>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</si>
  <si>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</si>
  <si>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</si>
  <si>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</si>
  <si>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</si>
  <si>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</si>
  <si>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</si>
  <si>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</si>
  <si>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</si>
  <si>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</si>
  <si>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</si>
  <si>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</si>
  <si>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</si>
  <si>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</si>
  <si>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</si>
  <si>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</si>
  <si>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</si>
  <si>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</si>
  <si>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</si>
  <si>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</si>
  <si>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</si>
  <si>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</si>
  <si>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</si>
  <si>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</si>
  <si>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</si>
  <si>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</si>
  <si>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</si>
  <si>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</si>
  <si>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</si>
  <si>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</si>
  <si>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</si>
  <si>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</si>
  <si>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</si>
  <si>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</si>
  <si>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</si>
  <si>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</si>
  <si>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</si>
  <si>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</si>
  <si>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</si>
  <si>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</si>
  <si>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</si>
  <si>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</si>
  <si>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</si>
  <si>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</si>
  <si>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</si>
  <si>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</si>
  <si>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</si>
  <si>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</si>
  <si>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</si>
  <si>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</si>
  <si>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</si>
  <si>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</si>
  <si>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</si>
  <si>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</si>
  <si>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</si>
  <si>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</si>
  <si>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</si>
  <si>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</si>
  <si>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</si>
  <si>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</si>
  <si>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</si>
  <si>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</si>
  <si>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</si>
  <si>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</si>
  <si>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</si>
  <si>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</si>
  <si>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</si>
  <si>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</si>
  <si>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</si>
  <si>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</si>
  <si>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</si>
  <si>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</si>
  <si>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</si>
  <si>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</si>
  <si>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</si>
  <si>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</si>
  <si>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</si>
  <si>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</si>
  <si>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</si>
  <si>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</si>
  <si>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</si>
  <si>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</si>
  <si>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</si>
  <si>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</si>
  <si>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</si>
  <si>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</si>
  <si>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</si>
  <si>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</si>
  <si>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</si>
  <si>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</si>
  <si>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</si>
  <si>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</si>
  <si>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</si>
  <si>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</si>
  <si>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</si>
  <si>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</si>
  <si>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</si>
  <si>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</si>
  <si>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</si>
  <si>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</si>
  <si>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</si>
  <si>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</si>
  <si>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</si>
  <si>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</si>
  <si>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</si>
  <si>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</si>
  <si>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</si>
  <si>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</si>
  <si>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</si>
  <si>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</si>
  <si>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</si>
  <si>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</si>
  <si>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</si>
  <si>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</si>
  <si>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</si>
  <si>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</si>
  <si>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</si>
  <si>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</si>
  <si>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</si>
  <si>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</si>
  <si>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</si>
  <si>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</si>
  <si>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</si>
  <si>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</si>
  <si>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</si>
  <si>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</si>
  <si>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</si>
  <si>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</si>
  <si>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</si>
  <si>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</si>
  <si>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</si>
  <si>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</si>
  <si>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</si>
  <si>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</si>
  <si>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</si>
  <si>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</si>
  <si>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</si>
  <si>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</si>
  <si>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</si>
  <si>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</si>
  <si>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</si>
  <si>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</si>
  <si>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</si>
  <si>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</si>
  <si>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</si>
  <si>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</si>
  <si>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</si>
  <si>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</si>
  <si>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</si>
  <si>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</si>
  <si>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</si>
  <si>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</si>
  <si>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</si>
  <si>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</si>
  <si>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</si>
  <si>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</si>
  <si>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</si>
  <si>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</si>
  <si>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</si>
  <si>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</si>
  <si>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</si>
  <si>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</si>
  <si>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</si>
  <si>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</si>
  <si>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</si>
  <si>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</si>
  <si>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</si>
  <si>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</si>
  <si>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</si>
  <si>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</si>
  <si>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</si>
  <si>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</si>
  <si>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</si>
  <si>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</si>
  <si>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</si>
  <si>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</si>
  <si>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</si>
  <si>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</si>
  <si>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</si>
  <si>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</si>
  <si>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</si>
  <si>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</si>
  <si>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</si>
  <si>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</si>
  <si>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</si>
  <si>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</si>
  <si>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</si>
  <si>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</si>
  <si>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</si>
  <si>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</si>
  <si>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</si>
  <si>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</si>
  <si>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</si>
  <si>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</si>
  <si>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</si>
  <si>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</si>
  <si>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</si>
  <si>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</si>
  <si>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</si>
  <si>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</si>
  <si>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</si>
  <si>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</si>
  <si>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</si>
  <si>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</si>
  <si>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</si>
  <si>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</si>
  <si>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</si>
  <si>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</si>
  <si>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</si>
  <si>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</si>
  <si>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</si>
  <si>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</si>
  <si>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</si>
  <si>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</si>
  <si>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</si>
  <si>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</si>
  <si>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</si>
  <si>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Fmoge</t>
  </si>
  <si>
    <t>Fhoge</t>
  </si>
  <si>
    <t>OK</t>
  </si>
  <si>
    <t>Yes</t>
  </si>
  <si>
    <t>ODD</t>
  </si>
  <si>
    <t>ODD01</t>
  </si>
  <si>
    <t>Cmoge</t>
  </si>
  <si>
    <t>Choge</t>
  </si>
  <si>
    <t>MMS</t>
  </si>
  <si>
    <t>CRG</t>
  </si>
  <si>
    <t>CRG06</t>
  </si>
  <si>
    <t>LLE</t>
  </si>
  <si>
    <t>LLE01</t>
  </si>
  <si>
    <t>LSA</t>
  </si>
  <si>
    <t>LSA01</t>
  </si>
  <si>
    <t>MEN</t>
  </si>
  <si>
    <t>AEQ</t>
  </si>
  <si>
    <t>FFA</t>
  </si>
  <si>
    <t>FFA01</t>
  </si>
  <si>
    <t>No</t>
  </si>
  <si>
    <t>NEQ</t>
  </si>
  <si>
    <t>NEQ04</t>
  </si>
  <si>
    <t>ELC</t>
  </si>
  <si>
    <t>CRG02</t>
  </si>
  <si>
    <t>Dmoge</t>
  </si>
  <si>
    <t>Dhoge</t>
  </si>
  <si>
    <t>PSC</t>
  </si>
  <si>
    <t>TANKER 2</t>
  </si>
  <si>
    <t>OIL/CHEM</t>
  </si>
  <si>
    <t>MMS09</t>
  </si>
  <si>
    <t>AEQ06</t>
  </si>
  <si>
    <t>Capt.Anil Kumar</t>
  </si>
  <si>
    <t>TP201900120190515002208</t>
  </si>
  <si>
    <t>HHO-2019022</t>
  </si>
  <si>
    <t>Capt. Sood</t>
  </si>
  <si>
    <t>MMS13</t>
  </si>
  <si>
    <t>2 Nos fairlead rollers on Stbd side Fwd springs were found frozen. Ship staff were aware of the deficiency &amp; were already working on it.</t>
  </si>
  <si>
    <t>Suspect grit &amp; rust between the shaft &amp; the roller making it difficult to lubricate duriing the routine greasing. The roller was in frozen state from the time of yard delivery. Ship staff failed to attend the issue at yard prior departure.</t>
  </si>
  <si>
    <t>Job to be prioritised</t>
  </si>
  <si>
    <t>Only 1 of the roller in frozen state, all possible means have been tried but failed to free it. 23-May-2020: - 1 roller remains frozen. Does not move using the tool or even when under load from mooring wire. Will attempt dismantling the complete unit at calm weather conditions while at anchorage and revert. 12-Jul-2020: - Attempted moving the roller or dismantling without success. 17-Aug-2020: - Dismantled a working roller to formulate an approach. Tried dismantling of the frozen roller by fixing an eye in place of top grease nipple without success. Need to heat the roller for freeing it up. To be tried at next opportunity of Gas-Free condition.19 Dec 2020 : Vessel was gas freed only 4W and 5W cargo tanks. Still awaiting suitable oppurtunity. 23 Feb 21 - Both rollers freed up by hot work, dismantled cleaned and re installed after greasing. Additional grease pumped while turning after reinstalltion. This defct can be closed now.</t>
  </si>
  <si>
    <t>07-June-2019: Noted. Please endeavour to attend to the Job at the earliest.(Siva). PLEASE REVERT WITH PRESENT STATUS 20-Feb-20: Please revert with present status of the roller.try and use the tool fabricated onboard for trying out the roller. 19 Aug 20- Another unsuccessful attempt of freeing up the stuck outboard roller but efforts and perseverance are appreciated. Now no other option seems viable other than using heat to ease up the stuck roller pin which will be possible only when vessel is gas free. This defect remains open</t>
  </si>
  <si>
    <t>Finally both rollers have been confirmed moving smoothly after using hot work</t>
  </si>
  <si>
    <t>Siva</t>
  </si>
  <si>
    <t>JOB REQUIRES HOT WORK, ALL MECHANICAL MEANS TO FREE THE ROLLER HAS FAILED.</t>
  </si>
  <si>
    <t>v55_2021/11/09 13:07:36</t>
  </si>
  <si>
    <t>TP201900120201213190908</t>
  </si>
  <si>
    <t>HHO-2020-036</t>
  </si>
  <si>
    <t>Brijendra S. Bisht</t>
  </si>
  <si>
    <t>MMS11</t>
  </si>
  <si>
    <t>COT 4S pressure sensor erratic</t>
  </si>
  <si>
    <t>Gives occassional alarm</t>
  </si>
  <si>
    <t>Trouble shooting in progress. Reqn for the spare sensor has been raised.</t>
  </si>
  <si>
    <t>10 April - Sensor received at Amsterdam and replaced. This defect can be closed.</t>
  </si>
  <si>
    <t>Spare sensor has been ordered incase the erractic measurement idoes not get resolved. The sensor has 6 weekd of delivery time from Scanjet.</t>
  </si>
  <si>
    <t>Defect is being closed basis vessel's confirmation of sensor replacement.</t>
  </si>
  <si>
    <t>SI Bisht</t>
  </si>
  <si>
    <t>Lead  time of delivery and awaiting conveneint port for supply.</t>
  </si>
  <si>
    <t>9830288_SI_20201019_01</t>
  </si>
  <si>
    <t>v55_2021/11/09 13:07:37</t>
  </si>
  <si>
    <t>TP201900120201213190910</t>
  </si>
  <si>
    <t>HHO-2020-038</t>
  </si>
  <si>
    <t>MMS23</t>
  </si>
  <si>
    <t>Spare cold room evaporator fan reported operating  noisily</t>
  </si>
  <si>
    <t>Normal wear and tear. Needs replacement in the fuuture</t>
  </si>
  <si>
    <t>Reqn raised and sent to office.</t>
  </si>
  <si>
    <t>19 Feb - Spare eveaporator fan received at Fujairah during bunkering. 22 feb - Fan replaced and working satisactorily.</t>
  </si>
  <si>
    <t>Spare evaporator fan has been ordered on 5 Nov but has a delivery lead time of 3 weeks.</t>
  </si>
  <si>
    <t>Noted evaporator fan replaced.</t>
  </si>
  <si>
    <t>SI-BIsht</t>
  </si>
  <si>
    <t>Spare has been received and will be supplied at next port after Australia</t>
  </si>
  <si>
    <t>v55_2021/11/09 13:07:38</t>
  </si>
  <si>
    <t>TP201900120201213190914</t>
  </si>
  <si>
    <t>HHO-2020-042</t>
  </si>
  <si>
    <t>Additional  stripping hose and coupling to order</t>
  </si>
  <si>
    <t>Only one hose availabe</t>
  </si>
  <si>
    <t>requisition raised</t>
  </si>
  <si>
    <t>4 April - Additional stripping hose coupling received from office at Amsterdam and a second stripping hose fabricated onbaord.</t>
  </si>
  <si>
    <t>Please rasie a reqn. We will supply an additional streipping hose to expedite cargo completetion.</t>
  </si>
  <si>
    <t>Observation is closed basis vessel's confirmation of additional coupling receipt and hose fabrication.</t>
  </si>
  <si>
    <t>SI-BISHT</t>
  </si>
  <si>
    <t>Lead time of supply from MARFLEX + awaiting conveneint oppurtunity for supply.</t>
  </si>
  <si>
    <t>v55_2021/11/09 13:07:39</t>
  </si>
  <si>
    <t>TP201900120210419094044</t>
  </si>
  <si>
    <t>HHO-2021-001</t>
  </si>
  <si>
    <t>Emoge</t>
  </si>
  <si>
    <t>Ehoge</t>
  </si>
  <si>
    <t>Remote Survey</t>
  </si>
  <si>
    <t>CLS</t>
  </si>
  <si>
    <t>MMS20</t>
  </si>
  <si>
    <t>Loss of Starboard anchor.</t>
  </si>
  <si>
    <t>Material Failure.</t>
  </si>
  <si>
    <t>Immediately Informed To Office, Local Port authority. Upon investigation it was found that the chain is present but the anchor is lost. Suspected lost out at sea.Inspection of both mooring equipments carried out ship side checked, bitter end checked. All found in good condition.Informed all crew &amp; Duty officer that only one anchor available for deployment. Requested office to inform Class &amp; Flag.</t>
  </si>
  <si>
    <t xml:space="preserve">23 march - New Anchor installed. Windlass tried out anchor fully up and no gap present between the fluke and the ship side. chain stopper found in good condition. New SAFCON Cert rcvd upon installation and COC withdrawn. Defect can be closed. </t>
  </si>
  <si>
    <t>7th March - Flag / class / H&amp;M / port state informed of the anchor loss. Class imposed a COC as per flag recommendation for 3 months. Short term SAFCON certfciate issued with a validity till 8 June</t>
  </si>
  <si>
    <t>New DNV class approved anchor and swivel shackle installed at Fawley anchorage on 23rd march and anchor heaving and lowering tested to satisfaction. Videos of operation and masters statement of confirmation of the equipemnt in good operation order submitted to class for reinstating the SAFCON by remote survey.</t>
  </si>
  <si>
    <t>v55_2021/11/09 13:07:40</t>
  </si>
  <si>
    <t>HHO-2021-06</t>
  </si>
  <si>
    <t>TP201900120210520134559</t>
  </si>
  <si>
    <t>Brijendra S.Bisht</t>
  </si>
  <si>
    <t>MMS06</t>
  </si>
  <si>
    <t>Ship name and port of registry faded on 4 nos lifebuoy</t>
  </si>
  <si>
    <t>It was faded due to Continious shiping Seas on deck and Salt deposit on life bouy + direct sunlight.</t>
  </si>
  <si>
    <t>Stencills prepared for the identified lifebouys</t>
  </si>
  <si>
    <t>All Life bouy Cleaned With Fresh Water and Port Of Registry stenciled by ship staff. All lifebuoy checked and found stencil is in order.</t>
  </si>
  <si>
    <t>The PIC should carefully check all LSA and FFA equipements and maintain as per SOLAS requirement. Master or CO should peridically inspect items at Random.</t>
  </si>
  <si>
    <t>Noted the idetified buoys re stencilled.</t>
  </si>
  <si>
    <t>9830288_SI_20210419_01</t>
  </si>
  <si>
    <t>v55_2021/11/09 13:07:41</t>
  </si>
  <si>
    <t>HHO-2021-07</t>
  </si>
  <si>
    <t>TP201900120210520134600</t>
  </si>
  <si>
    <t>Retro reflective tape missing on 1 of the lifebuoy</t>
  </si>
  <si>
    <t>It was damaged During present Voyage due to Heavy Shiping Seas On deck . It was Noticed by Ship Staff and awaiting good Weather.</t>
  </si>
  <si>
    <t>Missing tape replaced on identification</t>
  </si>
  <si>
    <t>New retroreflective Tape Placed On Lifebouy by ships Staff and all Lifebuoys rechecked for any further missing tape.</t>
  </si>
  <si>
    <t>Noted</t>
  </si>
  <si>
    <t>v55_2021/11/09 13:07:42</t>
  </si>
  <si>
    <t>HHO-2021-08</t>
  </si>
  <si>
    <t>TP201900120210520134601</t>
  </si>
  <si>
    <t>MMS15</t>
  </si>
  <si>
    <t>USCG CFR Book 1 &amp; Book 2 – OLD Edition onboard</t>
  </si>
  <si>
    <t>Lack of Knowledge</t>
  </si>
  <si>
    <t xml:space="preserve">Vessel Urgently requested next port agent and Navtor to arrange for supply. </t>
  </si>
  <si>
    <t>New books rcvd by the vessel at the stapleton anchorage.</t>
  </si>
  <si>
    <t>Please request agents for the hard copy new edition on cash payment basis.</t>
  </si>
  <si>
    <t>Noted both book 1&amp;2 received prior COC inspection on 22nd April at Stapelton</t>
  </si>
  <si>
    <t>v55_2021/11/09 13:07:43</t>
  </si>
  <si>
    <t>HHO-2021-09</t>
  </si>
  <si>
    <t>TP201900120210520134602</t>
  </si>
  <si>
    <t>Brake band adjustment bolt not correctly set for Starboard windlass</t>
  </si>
  <si>
    <t>Missed out on vessel's part</t>
  </si>
  <si>
    <t>Will be adjusted on priority as per makers recommendtion.</t>
  </si>
  <si>
    <t>Bolt slaked and adjusted with a 2 mm gap with the band when brake fully slack as per makers instructions. All winches checked and confirm comply with makers recommendation.</t>
  </si>
  <si>
    <t>Please check the brake adjustemnts bolts for all wiches and port windlass.</t>
  </si>
  <si>
    <t>Noted and closed basis vessel's confirmation.</t>
  </si>
  <si>
    <t>v55_2021/11/09 13:07:44</t>
  </si>
  <si>
    <t>HHO-2021-010</t>
  </si>
  <si>
    <t>TP201900120210520134603</t>
  </si>
  <si>
    <t>Spare Pilot ladder which was rcvd in Fujairah was not tagged.</t>
  </si>
  <si>
    <t>Tag was damaged during arranging the Store .</t>
  </si>
  <si>
    <t>Immediately new tag was placed by ships staff.</t>
  </si>
  <si>
    <t>All Crew brief on the importance of tagging to reminded to avoid Future Re-Occurence.</t>
  </si>
  <si>
    <t>NOted</t>
  </si>
  <si>
    <t>v55_2021/11/09 13:07:45</t>
  </si>
  <si>
    <t>HHO-2021-011</t>
  </si>
  <si>
    <t>TP201900120210520134604</t>
  </si>
  <si>
    <t xml:space="preserve">Dep Stability Condition found not filled up in deck log book </t>
  </si>
  <si>
    <t>All Dep stability condition were present but last port was missed out.</t>
  </si>
  <si>
    <t xml:space="preserve">Immediately ships staff filled up Stability Departure Condition from the copy which was posted in the bridge.  </t>
  </si>
  <si>
    <t>informed to the concerned person for Regularly checking of log book to Avoid Future Re-ocurrence.</t>
  </si>
  <si>
    <t>This is a lapse and failure of the SMS implelemenation onboard and would have resulted in an observation during SIRE or PSC inspection.</t>
  </si>
  <si>
    <t>Master to ensure all entries as per SMS and regulatory requirement are entered in the log book orior signing.</t>
  </si>
  <si>
    <t>Si-BISHT</t>
  </si>
  <si>
    <t>v55_2021/11/09 13:07:46</t>
  </si>
  <si>
    <t>HHO-2021-012</t>
  </si>
  <si>
    <t>TP201900120210520134605</t>
  </si>
  <si>
    <t>MMS14</t>
  </si>
  <si>
    <t>Composite boiler minor fuel leak from burner lance</t>
  </si>
  <si>
    <t>Oversite</t>
  </si>
  <si>
    <t>Burner overhauled and leak rectified</t>
  </si>
  <si>
    <t>Burner overhauled and leak rectified.</t>
  </si>
  <si>
    <t>Noted burner overhauled</t>
  </si>
  <si>
    <t>Si BISHT</t>
  </si>
  <si>
    <t>v55_2021/11/09 13:07:47</t>
  </si>
  <si>
    <t>HHO-2021-013</t>
  </si>
  <si>
    <t>TP201900120210520134606</t>
  </si>
  <si>
    <t>Waste oil tank level gauge showing false readings</t>
  </si>
  <si>
    <t xml:space="preserve">Sticky sludge accumulated on the level gauge pipe inner wall due to low temperature. </t>
  </si>
  <si>
    <t>Level Gauge pipe opened up and cleaned from inside. magnetic float freed.</t>
  </si>
  <si>
    <t>Level gauge pipe opened up and cleaned from inside. magnetic float freed.</t>
  </si>
  <si>
    <t>During last cleaning of the waste oil tank , probabaly cleaning of the the level gauge pipe chamber might have been missed out.</t>
  </si>
  <si>
    <t>PLease ensure the level gauge chamber is thoroughly cleaned and flushed a few times with  dieael oil and the float is carefully inspected for deteriartion / cracks.</t>
  </si>
  <si>
    <t>v55_2021/11/09 13:07:48</t>
  </si>
  <si>
    <t>HHO-2021-014</t>
  </si>
  <si>
    <t>TP201900120210520134607</t>
  </si>
  <si>
    <t>AE#4 leakage from fuel inlet pipe of fuel pump due to broken orifice at inlet</t>
  </si>
  <si>
    <t>Wear and Tear</t>
  </si>
  <si>
    <t>Orifice replaced and leak rectified.</t>
  </si>
  <si>
    <t>Orifice replaced and leak rectified</t>
  </si>
  <si>
    <t>Probable cause of the damage is overtighnteningof the orifice union during last overhaul which would have damaged the orifice.</t>
  </si>
  <si>
    <t>Confirm if any tightening torque is mentioned in the instruction book and accordingly follow.</t>
  </si>
  <si>
    <t>v55_2021/11/09 13:07:49</t>
  </si>
  <si>
    <t>HHO-2021-015</t>
  </si>
  <si>
    <t>TP201900120210520134608</t>
  </si>
  <si>
    <t xml:space="preserve">Sea water leak from FWG ejector pump discharge v/v bonnet </t>
  </si>
  <si>
    <t>Improper tightening in shipyard.</t>
  </si>
  <si>
    <t>Valve bonnet gasket renewed. Leak rectified.</t>
  </si>
  <si>
    <t>No comments</t>
  </si>
  <si>
    <t>NOted gasket renewed and leak rectified.</t>
  </si>
  <si>
    <t>v55_2021/11/09 13:07:50</t>
  </si>
  <si>
    <t>HHO-2021-016</t>
  </si>
  <si>
    <t>TP201900120210520134609</t>
  </si>
  <si>
    <t>MDO storage tank suction(QCV) valve stuck in shut position</t>
  </si>
  <si>
    <t>Poor workmanship by shipyard</t>
  </si>
  <si>
    <t>Valve actuating device overhauled.</t>
  </si>
  <si>
    <t>Indertand the disk of the valve disc had come loose and fallen on the seat thus preventing the valve from opening.</t>
  </si>
  <si>
    <t>Noted valve and its operating mechaism overhauled and defect rectified.</t>
  </si>
  <si>
    <t>v55_2021/11/09 13:07:51</t>
  </si>
  <si>
    <t>HHO-2021-017</t>
  </si>
  <si>
    <t>TP201900120210520151239</t>
  </si>
  <si>
    <t>Capt. Dinesh Dabas</t>
  </si>
  <si>
    <t>Heavy rust observed on the spare Vapor &amp; bunker reducer.</t>
  </si>
  <si>
    <t>Lack of maintenance</t>
  </si>
  <si>
    <t>Discussed during top management meeting onboard</t>
  </si>
  <si>
    <t>All reducers onboard including the spare reducers  surface preparation, painting and marking carried out. Defects can be closed</t>
  </si>
  <si>
    <t xml:space="preserve">Missed out by the PIC during routine PMS inspection of all reducers to check thier condition </t>
  </si>
  <si>
    <t>It should be ensured that all reducers are removed and carefully inspected as per PMS. Any rust on the sealing faces to be immediatelt attended to and the reducers pained.</t>
  </si>
  <si>
    <t>v55_2021/11/09 13:07:52</t>
  </si>
  <si>
    <t>HHO-2021-018</t>
  </si>
  <si>
    <t>TP201900120210520164236</t>
  </si>
  <si>
    <t>Fwd horizontal roller which is present between universal roller and breast winch found not turning with both hands.</t>
  </si>
  <si>
    <t>Lack of lubrication and maintenance.</t>
  </si>
  <si>
    <t>Discussed during daily management meeting that job to be done on priority as vessel is expected to berth at anytime.</t>
  </si>
  <si>
    <t>Horizontal roller freed up using winch power and old grease removed and fresh greas applied. Roller turning easily with one hand. Defect can be closed</t>
  </si>
  <si>
    <t xml:space="preserve">Classic example of lack of greasing and mainteance of the rollers </t>
  </si>
  <si>
    <t>All crew involved in mooring are to be briefed regularly to report any defects to the CO. During stations the offciers supervizing the operation to confirm smooth rotation of rollers.</t>
  </si>
  <si>
    <t>v55_2021/11/09 13:07:53</t>
  </si>
  <si>
    <t>HHO-2021-019</t>
  </si>
  <si>
    <t>TP201900120210520170721</t>
  </si>
  <si>
    <t>Scupper aft of Stbd side light which is IWO No 2S WBT was found chocked and not draining water.</t>
  </si>
  <si>
    <t>Suspecting wooden piece inside since delivery and now might got chocked due to dust, rust mud or may be cloth.</t>
  </si>
  <si>
    <t xml:space="preserve">Water near the area was removed using pneumatic vaccum pump and tried to clear chock using snake wire and long rod but all attempts were unsuccessfull. </t>
  </si>
  <si>
    <t>Elbow piece inside 2S WBT tank was removed and pipe was successfully cleared A thick long wooden piece found inside the pipe. Job completed, Defect can be closed</t>
  </si>
  <si>
    <t>Unfortunate.</t>
  </si>
  <si>
    <t>v55_2021/11/09 13:07:54</t>
  </si>
  <si>
    <t>HHO-2021-020</t>
  </si>
  <si>
    <t>TP201900120210520172310</t>
  </si>
  <si>
    <t xml:space="preserve">By pulling the handle of turning lever wire it was found that the rescue boat davit is turning but by leaving the handle the davit was not stopping. Turning lever not resetting to its original position when leaving the handle free and davit continously swinging Lever had to be resetted manually at local position. </t>
  </si>
  <si>
    <t>Excessive paint &amp; Lack of maintenance</t>
  </si>
  <si>
    <t>Tried to free the lever by operating but was unsuccessfull. Excessive paint was removed and lubrication of lever carried out and then Lever got freed</t>
  </si>
  <si>
    <t>Lever operated by pulling and leaving the handle all found working satisfactory. All crew were briefed on the importance of correct operation of safety items and any defect found onboard must be reported to HOD as soon as possible. Defect can be closed</t>
  </si>
  <si>
    <t>The FFA incharge officer should diligently check all equipemnt and any malfuntion or sustected defect to be immediately brought to masters notice for prompt rectification.</t>
  </si>
  <si>
    <t>Noted the final ection by vessel.</t>
  </si>
  <si>
    <t>v55_2021/11/09 13:07:55</t>
  </si>
  <si>
    <t>TP201900120210729121539</t>
  </si>
  <si>
    <t>HHO-2021-023</t>
  </si>
  <si>
    <t>Capt Dinesh Dabbas</t>
  </si>
  <si>
    <t>MEN15</t>
  </si>
  <si>
    <t xml:space="preserve">Auto Slowdown Occurred On Voyage from Beaumont to Rotterdam due to following alarm on EMS - _x000D_
1. DPU 40: SIO card 1 Channel 4 Alarm_x000D_
2. ME start Blocked._x000D_
Same was reset within 5 Min and no further slow down occurred after that. </t>
  </si>
  <si>
    <t>freezig of the DPU module</t>
  </si>
  <si>
    <t>Resetting of the DPU module A4052 by powering off</t>
  </si>
  <si>
    <t xml:space="preserve">Tighness of all modules chcked and confirmed OK. </t>
  </si>
  <si>
    <t>As per makers ' EICU-A slowdown input signal is at module A4051 channel 11,   channel LED normal condition should be off. This can be falsely trigerred by a loose connection at 11 or the module itself hanging.</t>
  </si>
  <si>
    <t>makers have been requested to advsie keeping ROB of important modules. Same will be provided to owners for approval.</t>
  </si>
  <si>
    <t>0.3</t>
  </si>
  <si>
    <t>v55_2021/11/09 13:07:56</t>
  </si>
  <si>
    <t>HHO-2021-022</t>
  </si>
  <si>
    <t>TP201900120210729124028</t>
  </si>
  <si>
    <t>PSC24</t>
  </si>
  <si>
    <t>Nil Observation</t>
  </si>
  <si>
    <t>Appreciate the hardwork and efforts put in by the Management team and the crew</t>
  </si>
  <si>
    <t>Capt. T.P.Sivaramakrishnan</t>
  </si>
  <si>
    <t>9830288_PSC_20210114_01</t>
  </si>
  <si>
    <t>Australia</t>
  </si>
  <si>
    <t>BOTANY BAY</t>
  </si>
  <si>
    <t>DINESH  DABAS</t>
  </si>
  <si>
    <t>PRADEEP  KUMAR</t>
  </si>
  <si>
    <t>TANAY  SHARMA</t>
  </si>
  <si>
    <t>Hafnia</t>
  </si>
  <si>
    <t>Hafnia Tankers</t>
  </si>
  <si>
    <t>Malta</t>
  </si>
  <si>
    <t>DNVGL</t>
  </si>
  <si>
    <t>v55_2021/11/09 13:07:57</t>
  </si>
  <si>
    <t>TP201900120210729124040</t>
  </si>
  <si>
    <t>Roopak Puri</t>
  </si>
  <si>
    <t>9830288_PSC_20210422_01</t>
  </si>
  <si>
    <t>United States </t>
  </si>
  <si>
    <t>Stapleton</t>
  </si>
  <si>
    <t>Amjad Mahamood Mulla</t>
  </si>
  <si>
    <t>Pradeep  Kumar</t>
  </si>
  <si>
    <t xml:space="preserve">Puneet  </t>
  </si>
  <si>
    <t>v55_2021/11/09 13:07:58</t>
  </si>
  <si>
    <t>HHO-2021-024</t>
  </si>
  <si>
    <t>TP201900120210729124052</t>
  </si>
  <si>
    <t>PSC01</t>
  </si>
  <si>
    <t>1 crew on board with a SEA of deck cadet,crew has a STCW licenseof ll-1. SEA to be ammended and wages to be paid as per CBA as date of joining</t>
  </si>
  <si>
    <t>deck cadet joined as trainee O/S and he was promoted on board on 24th June. Not aware if this could be a defficiency</t>
  </si>
  <si>
    <t>As verbally suggested by the inspector the crew with license can be anything but not a cadet. A new SA requested and received on board for him as a deck trainee.</t>
  </si>
  <si>
    <t xml:space="preserve">Deficiency closure report submitted to Antwerp PSC by Master. Company issued a new service agreement mentioning him as a deck trainee. </t>
  </si>
  <si>
    <t>Capt. Roopak Pur</t>
  </si>
  <si>
    <t>17</t>
  </si>
  <si>
    <t>9830288_PSC_20210708_01</t>
  </si>
  <si>
    <t>Belgium</t>
  </si>
  <si>
    <t>Antwerp</t>
  </si>
  <si>
    <t>Siva  Subramanyam</t>
  </si>
  <si>
    <t>Neeraj  Kumar</t>
  </si>
  <si>
    <t>v55_2021/11/09 13:07:59</t>
  </si>
  <si>
    <t>HHO-2021-025</t>
  </si>
  <si>
    <t>TP201900120210729124054</t>
  </si>
  <si>
    <t>Lever for slewing out not coming back to "0" position. Lever for manual slewing is stuck.</t>
  </si>
  <si>
    <t>Lever was found sluggish and same was freed less than a week before. Unfortunately it got stuck again before coming to "0" position.</t>
  </si>
  <si>
    <t>Lever freed again before the inspector left the vessel.further check and over haul will be done after sailing from the port.</t>
  </si>
  <si>
    <t>Lever freed, planned for complete overhaul post sailing out of Port. Closure report submitted to Antwerp PSC.</t>
  </si>
  <si>
    <t>Capt. Roopak Puri</t>
  </si>
  <si>
    <t>v55_2021/11/09 13:08:00</t>
  </si>
  <si>
    <t>HHO-2021-026</t>
  </si>
  <si>
    <t>TP201900120210729165323</t>
  </si>
  <si>
    <t>slow down of ME due to the following alarms on EMS :_x000D_
ME ECS slowdown from EICU-A_x000D_
ME Slowdown prewarning_x000D_
ME slowdown active</t>
  </si>
  <si>
    <t>Freezing of card</t>
  </si>
  <si>
    <t>Inside Main Engine PCS cabinet, power to module no. A4052 (BXM 2200 type) was turned OFF and then ON by removing and reconnecting the ribbon connector. This was done with ME in STOP condition. This allowed the alarms to be reset.</t>
  </si>
  <si>
    <t>Requested company to consult makers to maintain ROB of critical modules for ME RCS</t>
  </si>
  <si>
    <t>As per maker Gamma CPU DPU2010 to be reset to see SIO2010 can back normal.   It’s looks SIO2010 channel 4 stop work by unclear reason, restart CPU module will restart channel working process.  SIO2010 power is mainly for amplifier, channel control by CPU module</t>
  </si>
  <si>
    <t>Priority wise list of important modules requested from makers for owenrs approval to maintain stock onbaord</t>
  </si>
  <si>
    <t>v55_2021/11/09 13:08:01</t>
  </si>
  <si>
    <t>HHO-2021-027</t>
  </si>
  <si>
    <t>TP201900120210729190453</t>
  </si>
  <si>
    <t>CE NEERAJ KUMAR</t>
  </si>
  <si>
    <t>Foam Pump mechanical seal leaking</t>
  </si>
  <si>
    <t xml:space="preserve">On investigation found the fault within the foam pump electrical circuit. When the sea water pressure is zero, foam pump will not start. _x000D_
But in the stop condition, if start button is pressed foam pump circuit gets activated. _x000D_
It waits for sea water pressure and foam pump starts automatically when the sea water pressure increases to set value in the foam line._x000D_
</t>
  </si>
  <si>
    <t xml:space="preserve">In the foam pump electrical circuit connection 3K73.6 14-11 shifted from location 3.8 to 3.2._x000D_
In the absence of sea water pressure, relay 3K73.6 14-11 will remain open. Pressing the start button, will not close the relay 3k2._x000D_
Pump stops either by pressing the stop button or emergency stop switch._x000D_
Circuit has been tried out and working as described above. Requisition HHO-2021-087 raised. On 10 Sep spare received._x000D_
</t>
  </si>
  <si>
    <t>Foam pump mechanical seal changed with new spare seal. Pump tried out and running without any leak. This Defect is closed.</t>
  </si>
  <si>
    <t>This additional feature incorporated by makers is not required at all as the foam system will never be operated remotely. When system use is required the authorized operator needs to manually open valves prior operation before starting the pump. Auto operation of the pump when SW pressure is attained is not required. Vessel's modification of the circuit to disable auto pump opertion is appreciated. Reqn for replacement seal has been received and the seal ordered. It will be positively supplied at next convenient port afet West Africa with other spares.</t>
  </si>
  <si>
    <t>The observation si being claosed basis vessel's confirmation of replacement of the seal and potos provided as an objective evidence with the weekly mainteance report.</t>
  </si>
  <si>
    <t xml:space="preserve">HHO-2021-087 </t>
  </si>
  <si>
    <t>v55_2021/11/09 13:08:02</t>
  </si>
  <si>
    <t>HHO-2021-028</t>
  </si>
  <si>
    <t>TP201900120210729190804</t>
  </si>
  <si>
    <t>On 15 June following alarm activated on EMS --_x000D_
1. ME BRG TLG mis aligned._x000D_
2. ME ECS Slowdown from EICU-A_x000D_
3. ME Slowdown prewarning</t>
  </si>
  <si>
    <t>There are total 14 slowdown and 2 shutdown requests (Digital Inputs: 1 to 16) on module BSM 2200 – A4051. None of the LED from 1 to 16 was ON._x000D_
Digital output channel number 3 (Slowdown Pre-Warning) LED was ON._x000D_
24-volt supply from this channel is going to SLOWDOWN PRE-WARNING light on the ME local operating panel.</t>
  </si>
  <si>
    <t>ME stopped to rectify incorrect signal of slowdown from card BSM 2200 - A4051. Power to this module was disconnected and reconnected to reset the card. Module card DZM402 was reset by reset switch. Also carried out the bridge telegraph calibration during the stoppage. This defect is closed.</t>
  </si>
  <si>
    <t>0.8</t>
  </si>
  <si>
    <t>As per RCS makers the alarm “ME BRG TLG mis aligned”  is activated when bridge telegraph lever setting value &amp; hardware ‘stop’ signal do not match when the engine is stopped. Vessel needs to stop and check and  probabaly recalibrate.</t>
  </si>
  <si>
    <t>Vessel immediate action was advsied by  tel con  as received from makers and confirmed by vessel.</t>
  </si>
  <si>
    <t>v55_2021/11/09 13:08:03</t>
  </si>
  <si>
    <t>HHO-2021-029</t>
  </si>
  <si>
    <t>TP201900120210825100245</t>
  </si>
  <si>
    <t>CE NEERAJ KUMER</t>
  </si>
  <si>
    <t>General Service Air Dryer not working</t>
  </si>
  <si>
    <t>Piston and cylinder of decompression valve is damaged</t>
  </si>
  <si>
    <t>General service air is passing through the both absorption tower. Manully air is reveresd on each tower for regeneration. Requisition HHO-2021-089 is raised</t>
  </si>
  <si>
    <t>Spare requested received on 30 Oct 2021. Decompression block changed. Service air dryer is now working. This defect is now closed.</t>
  </si>
  <si>
    <t>Noted due to damaged oiston and cylinder of the decompression valve the air is passing through both adsortion towers. Vessel's immediate action for manually reverving the air flow for regeneration is acceptable till the time spares are connected. Please note spares have been ordered vide our PO 21-097-HHO-RS and has been delivered to our forwarder. This spare together with other consolidated spares will be connected at next port Gulei around 29th Oct. Please confirm if a PMS schedule for overhaul and inspection of the dryer can be included.</t>
  </si>
  <si>
    <t>HHO-2021-089</t>
  </si>
  <si>
    <t>HHO-2021-030</t>
  </si>
  <si>
    <t>TP201900120210825161227</t>
  </si>
  <si>
    <t>AEQ14</t>
  </si>
  <si>
    <t>FWG ejector pump opened for inspection. Heavy wear down found on impeller body and its vanes.</t>
  </si>
  <si>
    <t>Material fault. Within 2.5 years in service, impeller had come to this shape.</t>
  </si>
  <si>
    <t xml:space="preserve">Wear down o the impelller was rectified with soft patch applying Devcon bronze putty. Ejector pump tried out with 3.8 bar discharge pressure. Requisition HHO-2021-090 raised. Requisition received on 10 Sep 2021. </t>
  </si>
  <si>
    <t>FWG ejector pump impeller replaced. This defect is closed.</t>
  </si>
  <si>
    <t>The makers suggest to overhaul the pump at 7000 running hours and the schedule has been included in the PMS. During overhaul if any major pump componenet appears to be wering down, a requisition to be immediately rasied for supply ay the earliest oppurtunity for replacement at next overhaul</t>
  </si>
  <si>
    <t>Noted new impeller has been receved and replaced. The observatin is being closed basis vessels confirmation and final follow up action.</t>
  </si>
  <si>
    <t>Si-Bisht</t>
  </si>
  <si>
    <t>HHO-2021-090</t>
  </si>
  <si>
    <t>v55_2021/11/09 13:08:05</t>
  </si>
  <si>
    <t>HHO-2021-031</t>
  </si>
  <si>
    <t>TP201900120210825235432</t>
  </si>
  <si>
    <t>Capt. Anil Kumar</t>
  </si>
  <si>
    <t>Anti-piracy equipment : Jet guns not operational.</t>
  </si>
  <si>
    <t xml:space="preserve">Jet guns were not flushed with Fresh water after use. </t>
  </si>
  <si>
    <t xml:space="preserve">Jet guns were dismantled and inspected. Found the bearings rusted and jammed. Cleaned all the parts, noticed bearing fully rusted and damaged. 6 bearings damaged. (Therefore 3 jet guns out-of-order)_x000D_
11 hoses damaged (Minor &amp; major Leaks)_x000D_
</t>
  </si>
  <si>
    <t>Spare parts received on 30 Oct 2021. Jet gun overhauled and now in working condition. This defect is now closed.</t>
  </si>
  <si>
    <t>This is bound to happen again and again if during un rigging of the anti piracy cannons the vrew are not explained in the tool box meeting on how to flush and secre the guns and the hoses. This is a normal seamanship practise which regretfully is totally overlooked. In addition to flushing thoroughly with FW the gear box of the guns is to be quoted with light oil andprior storing. The spares as requested have been ordered vide reqn 21-100-HHO-RS and have been received at our forwarders warehouse. IMPORTATNT - Kindly include the requisition no with the immediate action taken.</t>
  </si>
  <si>
    <t>HHO-2021-032</t>
  </si>
  <si>
    <t>TP201900120210826001137</t>
  </si>
  <si>
    <t>Paint break downs on mid ship draft marks (PORT &amp; STBD side)</t>
  </si>
  <si>
    <t>Paint break downs &amp; corrosion on the ship side.</t>
  </si>
  <si>
    <t>Requested terminal to paint the draft marks only at this terminal which was denied by them._x000D_
After permission from the terminal, ship side pics taken to see paint break down and corrosion on the ship side.</t>
  </si>
  <si>
    <t>HHO-2021-033</t>
  </si>
  <si>
    <t>TP201900120210826002047</t>
  </si>
  <si>
    <t>Paint break downs &amp; corrosion on Aft draft marks (Port &amp; Stbd side)</t>
  </si>
  <si>
    <t>HHO-2021-034</t>
  </si>
  <si>
    <t>TP201900120210826003014</t>
  </si>
  <si>
    <t>Paint break downs &amp; Corrosion on ship side PORT &amp; (STBD side frame no: F085-F095 &amp; F105-F110 - under the stbd gangway turn table )</t>
  </si>
  <si>
    <t>Paint break downs &amp; corrosion on the ship side due to unsuitable fendering arrangements on jetty,canal locks without fender arrangement, Abrasion due to sts fendering, Tugs push etc.</t>
  </si>
  <si>
    <t>Requested terminal to carry out maintenance but  terminal denied._x000D_
After permission from the terminal, ship side pics taken to see paint break down and corrosion on the ship side.</t>
  </si>
  <si>
    <t>HHO-2021-035</t>
  </si>
  <si>
    <t>TP201900120210826003837</t>
  </si>
  <si>
    <t xml:space="preserve">Paint break downs &amp; Corrosion on ship side PORT &amp; (STBD side frame no: F195-F220) </t>
  </si>
  <si>
    <t>HHO-2021-036</t>
  </si>
  <si>
    <t>TP201900120210915181948</t>
  </si>
  <si>
    <t>SCBA electric whistle not working</t>
  </si>
  <si>
    <t>Poor quality</t>
  </si>
  <si>
    <t>Checked all other SCBA and found working satisfactorily, Raised requisition for the defective electric whistles.</t>
  </si>
  <si>
    <t>HHO-2021-037</t>
  </si>
  <si>
    <t>TP201900120210924185927</t>
  </si>
  <si>
    <t>COT 2(S) High and High High level is in alarm state constantly.</t>
  </si>
  <si>
    <t>Raw value from High and High High sensor was between 3 to 6 mA. Either the PCB or the level switch is faulty.</t>
  </si>
  <si>
    <t xml:space="preserve">The PCB from the previously removed level sensor fitted. With this PCB, amp measured was between 3 to 6 mA. Alarm state continue. </t>
  </si>
  <si>
    <t>There was new spare level sensor of smaller in length was available. Both the PCB and level switch from this smaller sensor fitted to COT 2(S). Now COT 2(S) High and High High level alarm is working. The amp measured from both PCB is now 13.2 mA. This defect is closed.</t>
  </si>
  <si>
    <t>Noted immediate action taken which unfortunately did not recitfy the defect. Vessel has been instructed to raise reqn for spares high and overfill alarm PCB and level sensors to for replacement</t>
  </si>
  <si>
    <t>Appreciate the final action by the vessel which has rectified the deficinecy. Although the complete sensor lenght is different for each tank but the sensor probe and PCB is the same on all tnaks, Just the lenght of the tube on which the probe is mounted is diffeent as per tank demensions. The observation is closed basis photos shared via e mail after the defect rectification and vessel's confimatatory follow up action.</t>
  </si>
  <si>
    <t>v55_2021/11/09 13:08:12</t>
  </si>
  <si>
    <t>HHO-2021-038</t>
  </si>
  <si>
    <t>TP201900120211002060241</t>
  </si>
  <si>
    <t>ELC06</t>
  </si>
  <si>
    <t>Emergency switch board low insulation alarm not coming on AMS</t>
  </si>
  <si>
    <t xml:space="preserve">When there is low insulation, the relay inside the insulation meter is chattering and alarm red LED light is constantly flickering._x000D_
This chattering of relay inside the insulation meter is also causing the relay K120.6 to chatter._x000D_
As there was no continues contact of relay K120.6, the light on CPU 1214C DC/DC/DC DIa number 0.5 is not ON and so there is no alarm on AMS screen in ECR_x000D_
</t>
  </si>
  <si>
    <t>Every day twice physical monitoring of 220 VAC low insulation is carried out. Requisition HHO-2021-130 Raised</t>
  </si>
  <si>
    <t>HHO-2021-130</t>
  </si>
  <si>
    <t>HHO-2021-039</t>
  </si>
  <si>
    <t>TP201900120211014163143</t>
  </si>
  <si>
    <t>MEN18</t>
  </si>
  <si>
    <t>Oil Mist Detector - When tried to put the system in use, scavenge air channel bellow got damaged after replacing it with new spare.</t>
  </si>
  <si>
    <t>The amount of driving air needed to create negative pressure in the measuring head is very high to start the OMD. The negative pressure is much more lower than -60 mmWC.</t>
  </si>
  <si>
    <t>Damage scavenge air bellow replaced with new spare bellow. The air restrictor filter renewed. System in ready state but the driving air pressure is still very high and negative pressure is much more lower than -60 mmWC. Requisition HHO-2021-133 raised.</t>
  </si>
  <si>
    <t>New OMD measuring head received on 30 Oct 2021. Old measuring head replaced with the new measuring head on 05 Nov 2021. OMD is now working good. This defect is now closed.</t>
  </si>
  <si>
    <t xml:space="preserve">HHO-2021-133 </t>
  </si>
  <si>
    <t>HHO-2021-040</t>
  </si>
  <si>
    <t>TP201900120211014164311</t>
  </si>
  <si>
    <t>Vapour Alarm System: 32.LooP alarm activating</t>
  </si>
  <si>
    <t>Oxygen sensor Xgard PCB is malfunctioning</t>
  </si>
  <si>
    <t>Vapour alarm system will not detect O2 %. Portable meter to use to measure O2 %. Req HHO-2021-134 raised</t>
  </si>
  <si>
    <t>Spare received on 30 Oct 2021. Complete oxygen sensor Xgard replaced. Now working good. This defect is closed.</t>
  </si>
  <si>
    <t xml:space="preserve">HHO-2021-134 </t>
  </si>
  <si>
    <t>HHO-2021-041</t>
  </si>
  <si>
    <t>TP201900120211105074327</t>
  </si>
  <si>
    <t>Forward horn is not working</t>
  </si>
  <si>
    <t>Parts dismantled and found crankshaft set, connecting rod set, roller bearing of connecting rod, ball bearing of crankshaft and shaft seal are damaged.</t>
  </si>
  <si>
    <t xml:space="preserve">HHO-2021-145 </t>
  </si>
  <si>
    <t>HHO-2021-042</t>
  </si>
  <si>
    <t>TP201900120211108070058</t>
  </si>
  <si>
    <t>C1P remote ullage indication is not working. Short circuit and Hardware failure allarm is active.</t>
  </si>
  <si>
    <t>Water was found inside radar box of C1P. IG pressure of C1P is working. Swapping of channel with C1S doesn’t make C1P working. Voltage measured on terminal inside the Radar cap: 21.3 VDC. On WAGO module, red LED blinking on C1P terminal.</t>
  </si>
  <si>
    <t>Risk Assessment is prepared. One UTI should be always standby at C1P for manual ullaging at regular interval during loading/discharging. Technical assistance is needed.</t>
  </si>
  <si>
    <t>TP201900120211109130845</t>
  </si>
  <si>
    <t>HHO-2021-043</t>
  </si>
  <si>
    <t>9830288_SI_20211105_01</t>
  </si>
  <si>
    <t>Brijendra Bisht / Rajnish Tiwari</t>
  </si>
  <si>
    <t>Remote ullage indication of 1P COT is not working. Short circuit and Hardware failure alarm is active.</t>
  </si>
  <si>
    <t>TP201900120211109130846</t>
  </si>
  <si>
    <t>HHO-2021-044</t>
  </si>
  <si>
    <t>Minor crack was observed on Stbd side gangway Stanchions.</t>
  </si>
  <si>
    <t>TP201900120211109130847</t>
  </si>
  <si>
    <t>HHO-2021-045</t>
  </si>
  <si>
    <t>COT 2S tank dome wheel basement was found cracked</t>
  </si>
  <si>
    <t>TP201900120211109130848</t>
  </si>
  <si>
    <t>HHO-2021-046</t>
  </si>
  <si>
    <t>Pilot ladder winch air supply hose was reported to be in poor condition.</t>
  </si>
  <si>
    <t>TP201900120211109130849</t>
  </si>
  <si>
    <t>HHO-2021-047</t>
  </si>
  <si>
    <t>Steam lines of cargo heating system are corroded.</t>
  </si>
  <si>
    <t>TP201900120211109130850</t>
  </si>
  <si>
    <t>HHO-2021-048</t>
  </si>
  <si>
    <t>Several pipeline flanges on IG and hydraulic pipeline were reported in rusted condition.</t>
  </si>
  <si>
    <t>TP201900120211109130851</t>
  </si>
  <si>
    <t>HHO-2021-049</t>
  </si>
  <si>
    <t>Aux boiler dosing pump discharge pvc pipe reported leaking</t>
  </si>
  <si>
    <t>TP201900120211109130852</t>
  </si>
  <si>
    <t>HHO-2021-050</t>
  </si>
  <si>
    <t xml:space="preserve">Portion of refractory infornt of burner reorted damaged. </t>
  </si>
  <si>
    <t>TP201900120211109130853</t>
  </si>
  <si>
    <t>HHO-2021-051</t>
  </si>
  <si>
    <t>Engine room bottom platform one chequered plate hinge reported broken</t>
  </si>
  <si>
    <t>TP201900120211109130854</t>
  </si>
  <si>
    <t>HHO-2021-052</t>
  </si>
  <si>
    <t>Significant number of securing screw missing from ER bottom platform chequered plate</t>
  </si>
  <si>
    <t>TP201900120211109130855</t>
  </si>
  <si>
    <t>HHO-2021-053</t>
  </si>
  <si>
    <t>This defect is being closed basis vessels final confirmation action after receivng the spares and replacing the decompression block</t>
  </si>
  <si>
    <t>Awaiting convenient port for supply due to vessel's long Voyage from Dakar ( at port from 19 Aug to 02 Sept) , then oading at Las Laffan ( 10th ~ 11th OCt) and finally connected at Discharge port Gulei on 30 oct</t>
  </si>
  <si>
    <t>v55_2021/11/09 7:38:10 PM</t>
  </si>
  <si>
    <t>Defect is closed basis vessel final corrective action after receipt of spares at Gulei.</t>
  </si>
  <si>
    <t xml:space="preserve">Awaiting convenient port for supply due to vessel's long Voyage from Dakar ( at port from 19 Aug to 02 Sept) , then oading at Las Laffan ( 10th ~ 11th OCt) and finally connected at Discharge port Gulei on 30 </t>
  </si>
  <si>
    <t>v55_2021/11/09 7:41:56 PM</t>
  </si>
  <si>
    <t>Noted and appreciate masters initiative in seeking terminal permission for taking photos and sharing with offcie. Please positively plan to attend to this observation at the next available oppurtunity. 9 Nov 21- Please prioritse and close this defect at the next anchorage availability.</t>
  </si>
  <si>
    <t>Noted and appreciate masters initiative in seeking terminal permission for taking photos and sharing with office. Please positively plan to attend to this observation at the next available oppurtunity.9 Nov 21- Please prioritse and close this defect at the next anchorage availability.</t>
  </si>
  <si>
    <t>Noted and appreciate masters initiative in seeking terminal permission for taking photos and sharing with offcie. Please positively plan to attend to this observation at the next available oppurtunity.9 Nov 21- Please prioritse and close this defect at the next anchorage availability.</t>
  </si>
  <si>
    <t>Agree to the vessels reasoning which is the cause of the defect. Spares insulation meter has been ordered pending supply. 9 Nov - The relay has been received at our forwarders warehouse as will be supplied at next conveniet port.</t>
  </si>
  <si>
    <t>The immediate corrective action by vessel to replace the damaged air bellow and restrciter air filter is the only way forward. Makers have been consulted and they advsie to replace the complete measuring head. The same has been operred on priority and will be supplied at Next port Gulie with aother spares.</t>
  </si>
  <si>
    <t>Observation clsoed basis final corrective action by vessel of replacing the measuring head supplied. Objective evidence of replacement has been received from vessel via mail.</t>
  </si>
  <si>
    <t>v55_2021/11/09 8:00:04 PM</t>
  </si>
  <si>
    <t>The makers confirm the error is due to PCB fault and not because of the O2 sensor. The complete X gard PCB has been ordered and will be positively connected at next port Gulei. Since the vessel is at Sea, notifications to class / flag have not made as the spaes PCB will be positively connected at the next port. Moreover the VECS , if used , will be during loading.</t>
  </si>
  <si>
    <t>The observation is being claosed basis receipt of the complete Z gard PCB and vessels final corrective action after spares receipt and confirmation of VECS being reinstated to working condition.</t>
  </si>
  <si>
    <t>v55_2021/11/09 8:09:23 PM</t>
  </si>
  <si>
    <t>Requiaition has been received. To mitigate the on functionality of the fwd horn please judicious use the aft horn.</t>
  </si>
  <si>
    <t>Concur with vessel's immediate cottection action. The problem is being followed up with Scanjet for the resolution. Various chcks carried out by vessel as per Scanjet to identify the problem has been conveyed to them.</t>
  </si>
  <si>
    <t xml:space="preserve">Emergency generator not able to start by primary means of starting i.e. the battery. </t>
  </si>
  <si>
    <t>Although the batteries show a charge of 24 volts but sufficient current is not being generated to crank the engine. After one attempt the battery voltage is falling to 5.2 V.</t>
  </si>
  <si>
    <t>The secondary means of starting is hydraulic accumulator and is working fine. Special safety meeting conducted and all crew menber briefed. Request raised with local agaent to procure new set of battery.</t>
  </si>
  <si>
    <t>3</t>
  </si>
  <si>
    <t>Email dated 13 Nov 2021 Hafnia Hong Kong // Life Raft Exchange at Hong Kong</t>
  </si>
  <si>
    <t>Kindly update ststsus as understand the whistles have been supplied at Algeciras in Sept. 9 Nov 21 - Kindly update as Whistle has been supplied in Algeciras</t>
  </si>
  <si>
    <t xml:space="preserve">Because of the aging, the PVC pipe had become brittle and cracked. </t>
  </si>
  <si>
    <t>The distance of the front refractory wall is close to burner. This is degine defect. Reducing the burner pressure will reduce the sludge burning capacity.</t>
  </si>
  <si>
    <t xml:space="preserve">Refractory patched up. Requisition HHO-2021-147 raised for 350 kg refractory. </t>
  </si>
  <si>
    <t xml:space="preserve">HHO-2021-147 </t>
  </si>
  <si>
    <t>The quality of hinge welded was poor. During opening and closing of the chequered plate, the hinge broked.</t>
  </si>
  <si>
    <t>There is no history from when these securing screw in bottom platform is missing.</t>
  </si>
  <si>
    <t xml:space="preserve">Raised request for securing screw in requisition number HHO-2021-147. </t>
  </si>
  <si>
    <t>New hinge welded to the chequered plate. location of the welded also shifted to give it a good strength.     This defect is closed.</t>
  </si>
  <si>
    <t>Requisition HHO-2021-147 received in singapore. Screw fixed in all missing places.                            This defect is closed.</t>
  </si>
  <si>
    <t>New set of battery received on 15 Nov 2021 at Hong Kong. Emergency generator tried out battery and run successfully.                                                            This defect is closed.</t>
  </si>
  <si>
    <t>Refractory raised in Requisition HHO-2021-147 received in singapore.                                               This defect is closed.</t>
  </si>
  <si>
    <t>New PVC pipe fitted. Now not leaking.                        This defect is closed.</t>
  </si>
  <si>
    <t xml:space="preserve">Aft horn is working. Requisition HHO-2021-145 raised on urgent basis. </t>
  </si>
  <si>
    <t>Capt. Anuj Mehta</t>
  </si>
  <si>
    <t>Material Failure</t>
  </si>
  <si>
    <t>Stanchios removed and Gangway put out of use.</t>
  </si>
  <si>
    <t>Tank dome batten down and secured in stowed position to avoid further damage/ falling.</t>
  </si>
  <si>
    <t>Requsition was raised to renew the hose.</t>
  </si>
  <si>
    <t>Neglience and exposure to the atmosphere</t>
  </si>
  <si>
    <t>Lack of Maintenance</t>
  </si>
  <si>
    <t>HOD being briefed regarding maintenance on the cargo heating system.</t>
  </si>
  <si>
    <t>Lack of Maintenance, Negligence</t>
  </si>
  <si>
    <t>HOD briefed and same to be carried our on priority basis.</t>
  </si>
  <si>
    <t>Flanges of IIG and hydraulic pipeline chipped and painted.</t>
  </si>
  <si>
    <t>All cargo heating system valves, flanges spot chipped and painted. This defect is closed</t>
  </si>
  <si>
    <t>Tank dome cover removed and welded. This defect is closed</t>
  </si>
  <si>
    <t>Stanchions removed and renewed with the fabricated one. Gangway in operational mode now. This defect is closed</t>
  </si>
  <si>
    <t xml:space="preserve">HHO-2021-060 </t>
  </si>
  <si>
    <t>Due to rough weather while vessel drifting in arabian sea, same will be carried out at next availiable oppurtunity. This defect is closed</t>
  </si>
  <si>
    <t>Same is not accessable, as vessel in loaded condition. This defect is closed</t>
  </si>
  <si>
    <t>Midship Draft Mark touched up and will repaint at the next availiable oppurtunity. This defect is closed</t>
  </si>
  <si>
    <t>Awaiting spares. Battery renewed and tried out. All working satisfactory. This defect is closed</t>
  </si>
  <si>
    <t>TP201900120211228135328</t>
  </si>
  <si>
    <t>HHO-2021-054</t>
  </si>
  <si>
    <t>3P COT master valve (hydraulic) body found cracked while chipping, buffing.</t>
  </si>
  <si>
    <t>poor  maintenance (corrosion control)</t>
  </si>
  <si>
    <t>crack covered with soft patch and painted over. office been advised.</t>
  </si>
  <si>
    <t>HHO-2021-142</t>
  </si>
  <si>
    <t>TP201900120211229075344</t>
  </si>
  <si>
    <t>HHO-2021-055</t>
  </si>
  <si>
    <t>No. 4 Aux Engine flywheel ring gear damage</t>
  </si>
  <si>
    <t>The air starter pinion gear was not fully engaged and it rotated to start the engine. Excess load on half of the ring gear damaged it.</t>
  </si>
  <si>
    <t>The damaged ring gear cleaned and smoothened. Position of damage gear was shifted after the air starter pinion gear. Engine started successfully. Requisition raised for new flywheel ring gear.</t>
  </si>
  <si>
    <t>HHO-2021-169</t>
  </si>
  <si>
    <t>TP201900120211229080106</t>
  </si>
  <si>
    <t>HHO-2021-056</t>
  </si>
  <si>
    <t>Fuel oil leakage from HP pipe connecting the booster unit and distributor block</t>
  </si>
  <si>
    <t xml:space="preserve">Material defect. </t>
  </si>
  <si>
    <t>Replaced with new HP pipe. Requisition raised.</t>
  </si>
  <si>
    <t>HHO-2021-173</t>
  </si>
  <si>
    <t>TP201900120220209050833</t>
  </si>
  <si>
    <t>HHO-2022-01</t>
  </si>
  <si>
    <t>Main Engine tripped and stoppage</t>
  </si>
  <si>
    <t>Main Engine shut down because of Low HPS pressure</t>
  </si>
  <si>
    <t xml:space="preserve">Vessel tried to restart the main engine but the engine tripped again on HPS low Pressure. On Dead slow command it was noticed that both electrical pump was running and all 3 mechnical driven pumps swash plate position increasing from 10% to 100% and engine shut down again on low HPS pressure. All engine driven pump accumulator pressure check and found 133 bar. Both solenoid fitted on V310 replaced with spare new solenoid. Engine tried out but the pressure was not increasing beyond 222 bar and after starting the engine on dead slow, engine shut down activated again on low HPS pressure. To find the leakeage electrical pump started on manual mode and one by one each HCU valve 420 was closed to check if the pressure is increasing. After closing all 6 units valve No 420 one by one there was no increase in pressure of HPS line. Further focused was shifted to safety and accumulator block other fitting. One by one V311, V315, V310, V316 all opened to check. No abnormalities found. The spring fitted in valve V311 and V310 was found intact.After checking every fitting on safety and accumulator block engine was tested agin with lube oil pump No.1. before vessel was doing the check with lube oil pump No 1. With No 2 lube oil pump the HPS pressure increased to 225 bar and at standby only one electrical pump was running to maintain this pressure. Engine started and found HPS pressure matching with the set pressure of 225 bar. Engine speed increased from dead slow to slow and found the running electrical pump stop and all load of HPS system was taken by the engine driven pump. Slowly Engine RPM was increade to Max RPM (68.0) and the swash plate position on the control pump was approximate 50% and the other 2 follow pump position was less than 50%. </t>
  </si>
  <si>
    <t>2</t>
  </si>
  <si>
    <t>3.0</t>
  </si>
  <si>
    <t>TP201900120220214154847</t>
  </si>
  <si>
    <t>HHO-2022-058</t>
  </si>
  <si>
    <t>9830288_SI_20211122_01</t>
  </si>
  <si>
    <t>Brijendra Singh Bisht</t>
  </si>
  <si>
    <t xml:space="preserve">	Rescue boat instruction plate under emergency light to be clear and readable</t>
  </si>
  <si>
    <t>TP201900120220214154848</t>
  </si>
  <si>
    <t>HHO-2022-059</t>
  </si>
  <si>
    <t>Rescue boat oil level gauge not working</t>
  </si>
  <si>
    <t>TP201900120220214154849</t>
  </si>
  <si>
    <t>HHO-2022-060</t>
  </si>
  <si>
    <t>All deck shelter edges have onset of rust at the periphery</t>
  </si>
  <si>
    <t>TP201900120220214154850</t>
  </si>
  <si>
    <t>HHO-2022-061</t>
  </si>
  <si>
    <t>Miship mast stay wires dry and spot rust around the foundation.</t>
  </si>
  <si>
    <t>TP201900120220214154851</t>
  </si>
  <si>
    <t>HHO-2022-062</t>
  </si>
  <si>
    <t>Spot rust on IG line in way of COT 5</t>
  </si>
  <si>
    <t>TP201900120220214154852</t>
  </si>
  <si>
    <t>HHO-2022-063</t>
  </si>
  <si>
    <t>Vapour  reducer of 14x16, 14x10, 6x14 &amp; 14x16 presentation flanges require mainteance</t>
  </si>
  <si>
    <t>TP201900120220214154853</t>
  </si>
  <si>
    <t>HHO-2022-064</t>
  </si>
  <si>
    <t>Liquid level not clearly visible in the PV breaker and markings faded</t>
  </si>
  <si>
    <t>TP201900120220214154854</t>
  </si>
  <si>
    <t>HHO-2022-065</t>
  </si>
  <si>
    <t>Spare MARFLEX pump head in the midship locker to be cleaned , greased and covered</t>
  </si>
  <si>
    <t>TP201900120220214154855</t>
  </si>
  <si>
    <t>HHO-2022-066</t>
  </si>
  <si>
    <t>Fire hose &amp; hydrant access obstructed in the fore peak store</t>
  </si>
  <si>
    <t>TP201900120220214154856</t>
  </si>
  <si>
    <t>HHO-2022-067</t>
  </si>
  <si>
    <t>Minor hydraulic oil leak observed from No 2 Hydraulic pump discharge flange</t>
  </si>
  <si>
    <t>TP201900120220214154857</t>
  </si>
  <si>
    <t>HHO-2022-068</t>
  </si>
  <si>
    <t>No 1 and No 2 hydraulic motor spidex couplings to be renewed</t>
  </si>
  <si>
    <t>TP201900120220214154858</t>
  </si>
  <si>
    <t>HHO-2022-069</t>
  </si>
  <si>
    <t>Spot rust observed on  athwartship flanges of No 2 cargo line</t>
  </si>
  <si>
    <t>TP201900120220214154859</t>
  </si>
  <si>
    <t>HHO-2022-070</t>
  </si>
  <si>
    <t>Hydraulic actuator of 3P cargo line master showing signs of rust</t>
  </si>
  <si>
    <t>TP201900120220214154900</t>
  </si>
  <si>
    <t>HHO-2022-071</t>
  </si>
  <si>
    <t>Markings of VLSFO sampling points of AE's/ Boilers and ME not conspicuos</t>
  </si>
  <si>
    <t>TP201900120220214154901</t>
  </si>
  <si>
    <t>HHO-2022-072</t>
  </si>
  <si>
    <t>STP chlorine dozing pump discharge hose leaking</t>
  </si>
  <si>
    <t>TP201900120220214154902</t>
  </si>
  <si>
    <t>HHO-2022-073</t>
  </si>
  <si>
    <t>Anti slapsh tapes missing from All AE fuel inlet flanges prior engine inlet</t>
  </si>
  <si>
    <t>TP201900120220214154903</t>
  </si>
  <si>
    <t>HHO-2022-074</t>
  </si>
  <si>
    <t>Cosmetic upgrade of ME warranted</t>
  </si>
  <si>
    <t>Machinery green paint has been received during this Singapore call. Soap washing and painting of the main engine of  scavenge space area and below will be carried out at next immediate oppurtunity</t>
  </si>
  <si>
    <t>Main engine painting completed and photos sent to office</t>
  </si>
  <si>
    <t>Negligence</t>
  </si>
  <si>
    <t>Observation is being closed basis final corrective action and confirmation by the vessel.</t>
  </si>
  <si>
    <t>v55_2022/02/14 3:56:46 PM</t>
  </si>
  <si>
    <t>Overlook</t>
  </si>
  <si>
    <t>Flanges cleaned and anti splash tape applied immediately after the deficiency was highlighted</t>
  </si>
  <si>
    <t>Immediate rectification of the deficiency</t>
  </si>
  <si>
    <t>Neglligence and lack of safety awareness</t>
  </si>
  <si>
    <t>Observation cloased basis immediate abd final corrective action.</t>
  </si>
  <si>
    <t>v55_2022/02/14 3:59:50 PM</t>
  </si>
  <si>
    <t>Oversight</t>
  </si>
  <si>
    <t>Discharge hose removed , fittings cleaned and a crack found on the pipe near the union. The pipe renewed and installed.</t>
  </si>
  <si>
    <t>Confirmed leak rectified after renwing the pipe.</t>
  </si>
  <si>
    <t>Sheer negligence</t>
  </si>
  <si>
    <t>Observation being closed basis the immediate which is also the final corrective  action.</t>
  </si>
  <si>
    <t>v55_2022/02/14 7:23:22 PM</t>
  </si>
  <si>
    <t>Marking were faded and placards dirty</t>
  </si>
  <si>
    <t>Repainting carried out in RED of the Sampling points and placards renewed</t>
  </si>
  <si>
    <t>Same as immediate action</t>
  </si>
  <si>
    <t>negligence</t>
  </si>
  <si>
    <t>Noted sampling points re painted in RED and new placards made.</t>
  </si>
  <si>
    <t>v55_2022/02/14 7:32:50 PM</t>
  </si>
  <si>
    <t>In adequate maintenance.Thick coat of paint was applied previously without proper surface preparation</t>
  </si>
  <si>
    <t>Vessel will plan for maintenace at the soonest available oppurtunity.</t>
  </si>
  <si>
    <t>The hydraulic block of 3P line master hydro blasted, surfeace prepared by mop disk and painted over with 3 coats of primer prior top coat application</t>
  </si>
  <si>
    <t>Insufficient know how on deck mainteance and no supervision</t>
  </si>
  <si>
    <t>Observation is being closed basis vessel's confirmation of the final corrective action and follow up pictures provided via e mail</t>
  </si>
  <si>
    <t>The rust spots on the flanges and pipeline hydro blasted, surfeace prepared by mop disk and painted over with 3 coats of primer prior top coat application</t>
  </si>
  <si>
    <t>v55_2022/02/15 5:44:27 PM</t>
  </si>
  <si>
    <t xml:space="preserve">Observation is being closed basis vessel's confirmation of the final corrective action and follow up pictures provided via e mail_x000D_
</t>
  </si>
  <si>
    <t>v55_2022/02/15 5:57:41 PM</t>
  </si>
  <si>
    <t>Vessel has 2 nos of spidex couplings on hand and will be renewed after depature Singapore. Requisition  for replenishment of the consumed stock will be rasied.</t>
  </si>
  <si>
    <t>Spidex couplings renewed after Malacca transit</t>
  </si>
  <si>
    <t>Please renew the couplings at the earliest</t>
  </si>
  <si>
    <t xml:space="preserve">Observation is being closed basis vessel's confirmation of the final corrective action of replacing the couplings and follow up pictures provided via e mail_x000D_
</t>
  </si>
  <si>
    <t>v55_2022/02/15 6:03:04 PM</t>
  </si>
  <si>
    <t>Negligence and overlook</t>
  </si>
  <si>
    <t>Pump discharge flange tightened and system operated and confirmed leak rectification.</t>
  </si>
  <si>
    <t>Immedate action is the final action  taken</t>
  </si>
  <si>
    <t>Noted flange tighteneed and leak has been rectified.</t>
  </si>
  <si>
    <t>v55_2022/02/15 6:06:45 PM</t>
  </si>
  <si>
    <t>Hosekeeping carried out immedoately to square up and clear the access area for hydrant access.</t>
  </si>
  <si>
    <t>Immediate action taken is the corective action.</t>
  </si>
  <si>
    <t>Case of negligence. During safety meetings the topic of situataional awaresess to be mephasized.</t>
  </si>
  <si>
    <t>Obsevration closed basis the immediate action taken by vessel.</t>
  </si>
  <si>
    <t>v55_2022/02/19 10:37:24 PM</t>
  </si>
  <si>
    <t>Spare pump head celaned / a thin layer of grease applied and coverted with transparent pplactic.</t>
  </si>
  <si>
    <t>Same as immediate action taken</t>
  </si>
  <si>
    <t>Again a case of neglligence and lack of knowledge. The spare pump head provided to vessel is an expensive items which will be used in emegency. Proper storage will ensure it remiins in usable condition at all times.</t>
  </si>
  <si>
    <t>Observation closed baisis vessel's confirmation and objective evidence provided via e mail.</t>
  </si>
  <si>
    <t>v55_2022/02/19 10:41:34 PM</t>
  </si>
  <si>
    <t>Level and corresponding pressure readable but faint</t>
  </si>
  <si>
    <t>Draining of liquid and cleaning of the PV breaker will be planned after clearing Malacca straits</t>
  </si>
  <si>
    <t>PV breaker draiined, glass cleaned and markings redone</t>
  </si>
  <si>
    <t>Oversite as overrelliance on the remote pressure sensors for IG line pressure readings.</t>
  </si>
  <si>
    <t>Observation beibg closed basis final corrective action by vessel and objective evidence provided via e mail</t>
  </si>
  <si>
    <t>v55_2022/02/19 11:12:31 PM</t>
  </si>
  <si>
    <t>Mainteance of the reducer flanges will be planned at the earliest</t>
  </si>
  <si>
    <t>Vapour reducers removed from thir storage location, fresenstation flanges cleaned, buffed, painted, sceured and covered.</t>
  </si>
  <si>
    <t>Negligence and lcak of maintenance</t>
  </si>
  <si>
    <t>Observation closed basis vessel's final corrective action and objective evidence provided via e mail</t>
  </si>
  <si>
    <t>v55_2022/02/19 11:15:37 PM</t>
  </si>
  <si>
    <t>Defect was identified by vessel. Mainteance is ongoing</t>
  </si>
  <si>
    <t>Mainteance is ongoing . Will be attended to at the earliest.</t>
  </si>
  <si>
    <t>IG line rest spots across COT 5W hydro blasted, surface prepared using mop disk and psinted over with 3 primer coats prior one cost of finished paint.</t>
  </si>
  <si>
    <t>Lack of mainteance</t>
  </si>
  <si>
    <t>Observation closed basis vessels confirmation of final action and objective evidence photos provided via e mail</t>
  </si>
  <si>
    <t>SI- BISHT</t>
  </si>
  <si>
    <t>v55_2022/02/19 11:20:13 PM</t>
  </si>
  <si>
    <t>Lack of mainteance due to oversite</t>
  </si>
  <si>
    <t>Defect will be attended to at the earliest</t>
  </si>
  <si>
    <t>Mast foundation hydro blasted , cleaned and painted. Stay wires greased and covered.</t>
  </si>
  <si>
    <t>Observation claosed basis vessel's confirmation.</t>
  </si>
  <si>
    <t>v55_2022/02/19 11:24:33 PM</t>
  </si>
  <si>
    <t>Will be attended to at the earliest</t>
  </si>
  <si>
    <t>All eck shelters hydro blasted, surfeace preared and painted.</t>
  </si>
  <si>
    <t>observation clsoed basis vessel's corrective action</t>
  </si>
  <si>
    <t>v55_2022/02/19 11:27:10 PM</t>
  </si>
  <si>
    <t>Will be attended to after depature Singapore</t>
  </si>
  <si>
    <t>Rescue boat davit oil drained &amp; cleaned, level glass removed, cleaned, oil flow passage to the glass air blown and confrimed clear.</t>
  </si>
  <si>
    <t>Negligence and overlook. Weekly and monthly iinspections to be more thorough and supervised.</t>
  </si>
  <si>
    <t>Observation claosed bais the final action by vessel and oblective evidence provided.</t>
  </si>
  <si>
    <t>v55_2022/02/19 11:33:00 PM</t>
  </si>
  <si>
    <t>Will be planned immediately after departure</t>
  </si>
  <si>
    <t>Instruction plate removed, cleaned restencilled and reinstatated.</t>
  </si>
  <si>
    <t>Negilgence and oversite</t>
  </si>
  <si>
    <t>Observation clsoed basis vessel's corrective action and objective evidence provided.</t>
  </si>
  <si>
    <t>v55_2022/02/19 11:35:33 PM</t>
  </si>
  <si>
    <t>Office was immediately informed of this trouble. In consulation with office the HPS system pressure relief valves  and check valves were overhauled. It is uspsected the No 2 LO pump could not cope up with the HPS LO pressure demand when speed was increased to Max. The LO pump No 2 is to be inspected at the next available oppurtunity to confirm the exact coause. Meanwhile communciation with the makers is ongoing for the root casue of this incident.</t>
  </si>
  <si>
    <t>v55_2022/02/19 11:40:47 PM</t>
  </si>
  <si>
    <t>Requisition has been received. Will bes upplied at next oppurtinity due to lead time</t>
  </si>
  <si>
    <t>v55_2022/02/19 11:41:39 PM</t>
  </si>
  <si>
    <t>Makers MAN has confirmed the exisitng gear ring which is damaged can be replaced by thier new split design gear ring wheel. The exiting gear rim needs to be cut and removed for the new split ring installtion. The lead time for fabrication to suit your veseel is 2 months. In the intermin after stopping the AE please ennsure the deamaged few teeth and turned over the starting air motor pinon for seemless starting.</t>
  </si>
  <si>
    <t>v55_2022/02/19 11:57:48 PM</t>
  </si>
  <si>
    <t>Spares have been ordered and will be supplied at the earliest once received.</t>
  </si>
  <si>
    <t>v55_2022/02/19 11:58:36 PM</t>
  </si>
  <si>
    <t>Unfotunate incident. The battery was replaced just over a year ago. Flag and class informed of this. Battery willbe supplied at berth in Hong Kong</t>
  </si>
  <si>
    <t>Observation closed basis vessel's confirmation</t>
  </si>
  <si>
    <t>Si-BIsht</t>
  </si>
  <si>
    <t>v55_2022/02/20 12:01:11 AM</t>
  </si>
  <si>
    <t>Noted and observation is closed after the final action by vessel.</t>
  </si>
  <si>
    <t>v55_2022/02/20 12:02:21 AM</t>
  </si>
  <si>
    <t>v55_2022/02/20 12:03:11 AM</t>
  </si>
  <si>
    <t>Noted refractory patched up and requisition rasied</t>
  </si>
  <si>
    <t>Observation clsoed basis vessel's final action</t>
  </si>
  <si>
    <t>v55_2022/02/20 12:04:21 AM</t>
  </si>
  <si>
    <t>v55_2022/02/20 12:05:03 AM</t>
  </si>
  <si>
    <t>observation closed basis final confirmation from veseel.</t>
  </si>
  <si>
    <t>v55_2022/02/20 12:06:07 AM</t>
  </si>
  <si>
    <t>Lack of mainteance due to negllgence</t>
  </si>
  <si>
    <t>Observation closed basis vessel final corrective action and objective evidence provided.</t>
  </si>
  <si>
    <t>v55_2022/02/20 12:07:20 AM</t>
  </si>
  <si>
    <t>Hose received and replaced. This deficiency can be closed</t>
  </si>
  <si>
    <t>Noted and observation closed basis final corrective action by vessel.</t>
  </si>
  <si>
    <t>v55_2022/02/20 12:10:04 AM</t>
  </si>
  <si>
    <t>v55_2022/02/20 12:10:54 AM</t>
  </si>
  <si>
    <t>v55_2022/02/20 12:11:42 AM</t>
  </si>
  <si>
    <t>Spare radar electronic block is on order. Lead time of supply is 8 weeks from order date. Meanwile please follow counter measures as per RA prepared by vessel and acknowledged by offcie.</t>
  </si>
  <si>
    <t>On 09 Dec 2021, complete new set of forward horn found kept in the forward bosun store. New complete horn installed. Horn tried out and working good. Will close the defect once the ordered spares received. Spares received and this defect can be closed</t>
  </si>
  <si>
    <t>Defect closed basis vessels confirmation</t>
  </si>
  <si>
    <t>v55_2022/02/20 12:16:13 AM</t>
  </si>
  <si>
    <t>Insulation ,eter received and replaced.</t>
  </si>
  <si>
    <t>Observation closed.</t>
  </si>
  <si>
    <t>v55_2022/02/20 12:17:25 AM</t>
  </si>
  <si>
    <t>v55_2022/02/20 12:17:52 AM</t>
  </si>
  <si>
    <t>v55_2022/02/20 12:18:52 AM</t>
  </si>
  <si>
    <t>Noted defect cloased</t>
  </si>
  <si>
    <t>v55_2022/02/20 12:19:30 AM</t>
  </si>
  <si>
    <t>Noted defect claosed</t>
  </si>
  <si>
    <t>v55_2022/02/20 12:20:31 AM</t>
  </si>
  <si>
    <t>Noted defeect confirmd can be closed.</t>
  </si>
  <si>
    <t>Si-BISHt</t>
  </si>
  <si>
    <t>Follwed in SI observation list.</t>
  </si>
  <si>
    <t>v55_2022/02/20 12:23:03 AM</t>
  </si>
  <si>
    <t>ELC08</t>
  </si>
  <si>
    <t>GEN</t>
  </si>
  <si>
    <t>GEN14</t>
  </si>
  <si>
    <t>MMS17</t>
  </si>
  <si>
    <t>MMS07</t>
  </si>
  <si>
    <t>MMS21</t>
  </si>
  <si>
    <t>Vessel awaiting suitable anchorage to paint the draft marks and close the observation.</t>
  </si>
  <si>
    <t>v55_2022/02/26 11:37:52 AM</t>
  </si>
  <si>
    <t>The lead time of supply of the 1P COT radar module is 8 weeks. troubleshooting with makers assistance did not resolve the problem. Replacement has been recomeded.</t>
  </si>
  <si>
    <t>v55_2022/02/26 11:39:45 AM</t>
  </si>
  <si>
    <t>07-June-2019: Noted. Please endeavour to attend to the Job at the earliest.(Siva). PLEASE REVERT WITH PRESENT STATUS 20-Feb-20: Please revert with present status of the roller.try and use the tool fabricated onboard for trying out the roller. 19 Aug 20- Another unsuccessful attempt of freeing up the stuck outboard roller but efforts and perseverance are appreciated. Now no other option seems viable other than using heat to ease up the stuck roller pin which will be possible only when vessel is gas free. This defect remains open.This is a duplicate netry and has to be deleted.&lt;delete&gt;</t>
  </si>
  <si>
    <t>v55_2022/04/16 13:23:39</t>
  </si>
  <si>
    <t>Spare sensor has been ordered incase the erractic measurement idoes not get resolved. The sensor has 6 weekd of delivery time from Scanjet.This is a duplicate netry and has to be deleted.&lt;delete&gt;</t>
  </si>
  <si>
    <t>v55_2022/04/16 20:43:03</t>
  </si>
  <si>
    <t>Spare evaporator fan has been ordered on 5 Nov but has a delivery lead time of 3 weeks.&lt;delete&gt;</t>
  </si>
  <si>
    <t>v55_2022/04/16 20:43:20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</si>
</sst>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4">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276225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196850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
  <cols>
    <col min="1" max="1" width="4.2695312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c r="A1" s="130" t="s">
        <v>894</v>
      </c>
      <c r="B1" s="130"/>
      <c r="C1" s="75"/>
      <c r="D1" s="129" t="s">
        <v>603</v>
      </c>
      <c r="E1" s="129"/>
      <c r="F1" s="129"/>
    </row>
    <row r="2" spans="1:6" ht="7.5" customHeight="1">
      <c r="B2" s="56"/>
      <c r="C2" s="73"/>
      <c r="E2" s="56"/>
    </row>
    <row r="3" spans="1:6" ht="15.5">
      <c r="A3" s="55" t="s">
        <v>587</v>
      </c>
      <c r="B3" s="72" t="s">
        <v>894</v>
      </c>
      <c r="C3" s="73"/>
      <c r="D3" s="58" t="s">
        <v>587</v>
      </c>
      <c r="E3" s="59" t="s">
        <v>588</v>
      </c>
      <c r="F3" s="60" t="s">
        <v>589</v>
      </c>
    </row>
    <row r="4" spans="1:6" ht="25">
      <c r="A4" s="61">
        <v>1</v>
      </c>
      <c r="B4" s="62" t="s">
        <v>623</v>
      </c>
      <c r="C4" s="73"/>
      <c r="D4" s="63">
        <v>1</v>
      </c>
      <c r="E4" s="64" t="s">
        <v>602</v>
      </c>
      <c r="F4" s="65" t="s">
        <v>622</v>
      </c>
    </row>
    <row r="5" spans="1:6" ht="26">
      <c r="A5" s="61">
        <v>2</v>
      </c>
      <c r="B5" s="62" t="s">
        <v>624</v>
      </c>
      <c r="C5" s="73"/>
      <c r="D5" s="63">
        <v>2</v>
      </c>
      <c r="E5" s="64" t="s">
        <v>600</v>
      </c>
      <c r="F5" s="65" t="s">
        <v>601</v>
      </c>
    </row>
    <row r="6" spans="1:6" ht="26">
      <c r="A6" s="61">
        <v>3</v>
      </c>
      <c r="B6" s="62" t="s">
        <v>898</v>
      </c>
      <c r="C6" s="73"/>
      <c r="D6" s="63">
        <v>3</v>
      </c>
      <c r="E6" s="64" t="s">
        <v>304</v>
      </c>
      <c r="F6" s="65" t="s">
        <v>599</v>
      </c>
    </row>
    <row r="7" spans="1:6" ht="26">
      <c r="A7" s="61">
        <v>4</v>
      </c>
      <c r="B7" s="62" t="s">
        <v>604</v>
      </c>
      <c r="C7" s="73"/>
      <c r="D7" s="63">
        <v>4</v>
      </c>
      <c r="E7" s="64" t="s">
        <v>598</v>
      </c>
      <c r="F7" s="65" t="s">
        <v>621</v>
      </c>
    </row>
    <row r="8" spans="1:6" ht="25">
      <c r="A8" s="61">
        <v>5</v>
      </c>
      <c r="B8" s="62" t="s">
        <v>625</v>
      </c>
      <c r="C8" s="73"/>
      <c r="D8" s="63">
        <v>5</v>
      </c>
      <c r="E8" s="64" t="s">
        <v>596</v>
      </c>
      <c r="F8" s="65" t="s">
        <v>597</v>
      </c>
    </row>
    <row r="9" spans="1:6" ht="37.5">
      <c r="A9" s="61">
        <v>6</v>
      </c>
      <c r="B9" s="78" t="s">
        <v>1043</v>
      </c>
      <c r="C9" s="73"/>
      <c r="D9" s="63">
        <v>6</v>
      </c>
      <c r="E9" s="64" t="s">
        <v>896</v>
      </c>
      <c r="F9" s="65" t="s">
        <v>1044</v>
      </c>
    </row>
    <row r="10" spans="1:6">
      <c r="A10" s="61">
        <v>7</v>
      </c>
      <c r="B10" s="78" t="s">
        <v>605</v>
      </c>
      <c r="C10" s="73"/>
      <c r="D10" s="63">
        <v>7</v>
      </c>
      <c r="E10" s="64" t="s">
        <v>897</v>
      </c>
      <c r="F10" s="65" t="s">
        <v>595</v>
      </c>
    </row>
    <row r="11" spans="1:6" ht="26">
      <c r="A11" s="61">
        <v>8</v>
      </c>
      <c r="B11" s="113" t="s">
        <v>1097</v>
      </c>
      <c r="C11" s="73"/>
      <c r="D11" s="63">
        <v>8</v>
      </c>
      <c r="E11" s="64" t="s">
        <v>593</v>
      </c>
      <c r="F11" s="65" t="s">
        <v>594</v>
      </c>
    </row>
    <row r="12" spans="1:6" ht="26">
      <c r="C12" s="73"/>
      <c r="D12" s="63">
        <v>9</v>
      </c>
      <c r="E12" s="64" t="s">
        <v>592</v>
      </c>
      <c r="F12" s="65" t="s">
        <v>620</v>
      </c>
    </row>
    <row r="13" spans="1:6" ht="25">
      <c r="C13" s="73"/>
      <c r="D13" s="63">
        <v>10</v>
      </c>
      <c r="E13" s="64" t="s">
        <v>890</v>
      </c>
      <c r="F13" s="65" t="s">
        <v>975</v>
      </c>
    </row>
    <row r="14" spans="1:6" ht="25">
      <c r="C14" s="73"/>
      <c r="D14" s="63">
        <v>11</v>
      </c>
      <c r="E14" s="64" t="s">
        <v>591</v>
      </c>
      <c r="F14" s="65" t="s">
        <v>976</v>
      </c>
    </row>
    <row r="15" spans="1:6">
      <c r="C15" s="73"/>
      <c r="D15" s="63">
        <v>12</v>
      </c>
      <c r="E15" s="64" t="s">
        <v>590</v>
      </c>
      <c r="F15" s="65" t="s">
        <v>586</v>
      </c>
    </row>
    <row r="16" spans="1:6" ht="25">
      <c r="C16" s="73"/>
      <c r="D16" s="63">
        <v>13</v>
      </c>
      <c r="E16" s="64" t="s">
        <v>606</v>
      </c>
      <c r="F16" s="65" t="s">
        <v>613</v>
      </c>
    </row>
    <row r="17" spans="3:6" ht="37.5">
      <c r="C17" s="73"/>
      <c r="D17" s="63">
        <v>14</v>
      </c>
      <c r="E17" s="64" t="s">
        <v>607</v>
      </c>
      <c r="F17" s="65" t="s">
        <v>614</v>
      </c>
    </row>
    <row r="18" spans="3:6" ht="39">
      <c r="C18" s="73"/>
      <c r="D18" s="63">
        <v>15</v>
      </c>
      <c r="E18" s="64" t="s">
        <v>608</v>
      </c>
      <c r="F18" s="65" t="s">
        <v>615</v>
      </c>
    </row>
    <row r="19" spans="3:6" ht="39">
      <c r="C19" s="73"/>
      <c r="D19" s="63">
        <v>16</v>
      </c>
      <c r="E19" s="64" t="s">
        <v>609</v>
      </c>
      <c r="F19" s="65" t="s">
        <v>616</v>
      </c>
    </row>
    <row r="20" spans="3:6" ht="26">
      <c r="C20" s="73"/>
      <c r="D20" s="66">
        <v>17</v>
      </c>
      <c r="E20" s="67" t="s">
        <v>610</v>
      </c>
      <c r="F20" s="68" t="s">
        <v>617</v>
      </c>
    </row>
    <row r="21" spans="3:6">
      <c r="C21" s="73"/>
      <c r="D21" s="63">
        <v>18</v>
      </c>
      <c r="E21" s="67" t="s">
        <v>611</v>
      </c>
      <c r="F21" s="68"/>
    </row>
    <row r="22" spans="3:6" ht="26">
      <c r="C22" s="73"/>
      <c r="D22" s="66">
        <v>19</v>
      </c>
      <c r="E22" s="67" t="s">
        <v>487</v>
      </c>
      <c r="F22" s="68" t="s">
        <v>618</v>
      </c>
    </row>
    <row r="23" spans="3:6" ht="25">
      <c r="C23" s="73"/>
      <c r="D23" s="63">
        <v>20</v>
      </c>
      <c r="E23" s="69" t="s">
        <v>488</v>
      </c>
      <c r="F23" s="68" t="s">
        <v>619</v>
      </c>
    </row>
    <row r="24" spans="3:6" ht="25">
      <c r="C24" s="73"/>
      <c r="D24" s="66">
        <v>21</v>
      </c>
      <c r="E24" s="69" t="s">
        <v>612</v>
      </c>
      <c r="F24" s="68" t="s">
        <v>1045</v>
      </c>
    </row>
    <row r="25" spans="3:6" ht="25">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82"/>
  <sheetViews>
    <sheetView tabSelected="1" topLeftCell="B1" zoomScaleNormal="100" workbookViewId="0">
      <pane ySplit="6" topLeftCell="A7" activePane="bottomLeft" state="frozen"/>
      <selection pane="bottomLeft" activeCell="B10" sqref="B10"/>
    </sheetView>
  </sheetViews>
  <sheetFormatPr defaultColWidth="9" defaultRowHeight="15" customHeight="1"/>
  <cols>
    <col min="1" max="1" width="9.7265625" style="17" hidden="1" customWidth="1"/>
    <col min="2" max="2" width="11.90625" style="17" customWidth="1"/>
    <col min="3" max="3" width="20.26953125" style="17" customWidth="1"/>
    <col min="4" max="4" width="14.90625" style="17" customWidth="1"/>
    <col min="5" max="5" width="6.7265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26953125" style="17" hidden="1" customWidth="1"/>
    <col min="13" max="13" width="9" style="17" customWidth="1"/>
    <col min="14" max="14" width="43" style="17" customWidth="1"/>
    <col min="15" max="15" width="33.453125" style="17" customWidth="1"/>
    <col min="16" max="16" width="11.453125" style="17" customWidth="1"/>
    <col min="17" max="17" width="13.2695312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26953125" style="17" customWidth="1"/>
    <col min="36" max="36" width="11.6328125" style="17" customWidth="1"/>
    <col min="37" max="37" width="15.08984375" style="17" customWidth="1"/>
    <col min="38" max="38" width="15.453125" style="17" customWidth="1"/>
    <col min="39" max="39" width="20.453125" style="17" customWidth="1"/>
    <col min="40" max="40" width="11.2695312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26953125" style="17" hidden="1" customWidth="1"/>
    <col min="54" max="54" width="11" style="17" hidden="1" customWidth="1"/>
    <col min="55" max="55" width="12.453125" style="17" hidden="1" customWidth="1"/>
    <col min="56" max="56" width="15.26953125" style="17" hidden="1" customWidth="1"/>
    <col min="57" max="57" width="12.90625" style="17" hidden="1" customWidth="1"/>
    <col min="58" max="59" width="11" style="17" hidden="1" customWidth="1"/>
    <col min="60" max="60" width="12.453125" style="17" hidden="1" customWidth="1"/>
    <col min="61" max="63" width="11" style="17" hidden="1" customWidth="1"/>
    <col min="64" max="64" width="25.26953125" style="17" hidden="1" customWidth="1"/>
    <col min="65" max="65" width="13.6328125" style="17" hidden="1" customWidth="1"/>
    <col min="66" max="66" width="13.453125" style="17" hidden="1" customWidth="1"/>
    <col min="67" max="68" width="11.6328125" style="17" hidden="1" customWidth="1"/>
    <col min="69" max="69" width="11.2695312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c r="A1" s="14"/>
      <c r="B1" s="19" t="s">
        <v>799</v>
      </c>
      <c r="C1" s="13" t="s">
        <v>734</v>
      </c>
      <c r="D1" s="24" t="str">
        <f>VLOOKUP(C1,vesseldata,3,FALSE)</f>
        <v>HHO</v>
      </c>
      <c r="E1" s="14"/>
      <c r="F1" s="14"/>
      <c r="G1" s="14"/>
      <c r="H1" s="16" t="s">
        <v>296</v>
      </c>
      <c r="I1" s="10">
        <v>44618.486087962963</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2" t="str">
        <f>VLOOKUP($C$1,vesseldata,4,FALSE)</f>
        <v>TP2019001</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44667</v>
      </c>
      <c r="D3" s="14"/>
      <c r="E3" s="14"/>
      <c r="F3" s="14"/>
      <c r="G3" s="14"/>
      <c r="H3" s="16" t="s">
        <v>299</v>
      </c>
      <c r="I3" s="10">
        <v>44618.48641203704</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t="s">
        <v>1586</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f>VLOOKUP($C$1,vesseldata,2,FALSE)</f>
        <v>9830288</v>
      </c>
      <c r="D5" s="14"/>
      <c r="E5" s="14"/>
      <c r="F5" s="14"/>
      <c r="G5" s="14"/>
      <c r="H5" s="14"/>
      <c r="I5" s="14"/>
      <c r="J5" s="14"/>
      <c r="K5" s="76"/>
      <c r="L5" s="76"/>
      <c r="M5" s="76"/>
      <c r="N5" s="76"/>
      <c r="O5" s="14"/>
      <c r="P5" s="14"/>
      <c r="Q5" s="14"/>
      <c r="R5" s="14"/>
      <c r="S5" s="14"/>
      <c r="T5" s="14"/>
      <c r="U5" s="14"/>
      <c r="V5" s="14"/>
      <c r="W5" s="14"/>
      <c r="X5" s="131" t="s">
        <v>301</v>
      </c>
      <c r="Y5" s="132"/>
      <c r="Z5" s="132"/>
      <c r="AA5" s="132"/>
      <c r="AB5" s="132"/>
      <c r="AC5" s="132"/>
      <c r="AD5" s="132"/>
      <c r="AE5" s="133"/>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9830288</v>
      </c>
      <c r="AV7" s="90" t="str">
        <f>$C$1</f>
        <v>Hafnia Hong Kong</v>
      </c>
      <c r="AW7" s="108" t="str">
        <f>$C$2</f>
        <v>TP2019001</v>
      </c>
      <c r="AX7" s="91">
        <f ca="1">$C$3</f>
        <v>44667</v>
      </c>
      <c r="AY7" s="108" t="str">
        <f>$C$4</f>
        <v>Capt. Anuj Mehta</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c r="A8" s="117" t="s">
        <v>1133</v>
      </c>
      <c r="B8" s="118">
        <v>43594</v>
      </c>
      <c r="C8" s="117" t="s">
        <v>1134</v>
      </c>
      <c r="D8" s="117" t="s">
        <v>352</v>
      </c>
      <c r="E8" s="119" t="s">
        <v>1107</v>
      </c>
      <c r="F8" s="117" t="s">
        <v>1108</v>
      </c>
      <c r="G8" s="117" t="s">
        <v>374</v>
      </c>
      <c r="H8" s="117" t="s">
        <v>1135</v>
      </c>
      <c r="I8" s="117" t="s">
        <v>354</v>
      </c>
      <c r="J8" s="117" t="s">
        <v>1109</v>
      </c>
      <c r="K8" s="117" t="s">
        <v>416</v>
      </c>
      <c r="L8" s="117" t="s">
        <v>1136</v>
      </c>
      <c r="M8" s="119" t="s">
        <v>346</v>
      </c>
      <c r="N8" s="117" t="s">
        <v>1137</v>
      </c>
      <c r="O8" s="117" t="s">
        <v>1138</v>
      </c>
      <c r="P8" s="117" t="s">
        <v>1139</v>
      </c>
      <c r="Q8" s="118">
        <v>43594</v>
      </c>
      <c r="R8" s="118">
        <v>44152</v>
      </c>
      <c r="S8" s="117" t="s">
        <v>1140</v>
      </c>
      <c r="T8" s="118">
        <v>44024</v>
      </c>
      <c r="U8" s="120" t="s">
        <v>295</v>
      </c>
      <c r="V8" s="120" t="s">
        <v>295</v>
      </c>
      <c r="W8" s="121" t="s">
        <v>262</v>
      </c>
      <c r="X8" s="117" t="s">
        <v>1828</v>
      </c>
      <c r="Y8" s="117" t="s">
        <v>348</v>
      </c>
      <c r="Z8" s="117" t="s">
        <v>1120</v>
      </c>
      <c r="AA8" s="117" t="s">
        <v>804</v>
      </c>
      <c r="AB8" s="117" t="s">
        <v>1142</v>
      </c>
      <c r="AC8" s="118">
        <v>44278</v>
      </c>
      <c r="AD8" s="117" t="s">
        <v>349</v>
      </c>
      <c r="AE8" s="117" t="s">
        <v>1143</v>
      </c>
      <c r="AF8" s="90" t="s">
        <v>1103</v>
      </c>
      <c r="AG8" s="90" t="s">
        <v>0</v>
      </c>
      <c r="AH8" s="93" t="s">
        <v>972</v>
      </c>
      <c r="AI8" s="93" t="b">
        <v>0</v>
      </c>
      <c r="AJ8" s="93"/>
      <c r="AK8" s="93" t="b">
        <v>0</v>
      </c>
      <c r="AL8" s="93"/>
      <c r="AM8" s="93" t="b">
        <v>1</v>
      </c>
      <c r="AN8" s="93" t="b">
        <v>0</v>
      </c>
      <c r="AO8" s="93" t="b">
        <v>0</v>
      </c>
      <c r="AP8" s="93" t="b">
        <v>0</v>
      </c>
      <c r="AQ8" s="93" t="b">
        <v>0</v>
      </c>
      <c r="AR8" s="93" t="b">
        <v>0</v>
      </c>
      <c r="AS8" s="93" t="b">
        <v>0</v>
      </c>
      <c r="AT8" s="107" t="s">
        <v>1829</v>
      </c>
      <c r="AU8" s="94">
        <v>9830288</v>
      </c>
      <c r="AV8" s="90" t="s">
        <v>734</v>
      </c>
      <c r="AW8" s="108" t="s">
        <v>943</v>
      </c>
      <c r="AX8" s="91">
        <v>44667</v>
      </c>
      <c r="AY8" s="108" t="s">
        <v>1586</v>
      </c>
      <c r="AZ8" s="90" t="s">
        <v>581</v>
      </c>
      <c r="BA8" s="90" t="s">
        <v>173</v>
      </c>
      <c r="BB8" s="90" t="s">
        <v>42</v>
      </c>
      <c r="BC8" s="90"/>
      <c r="BD8" s="90" t="s">
        <v>31</v>
      </c>
      <c r="BE8" s="90"/>
      <c r="BF8" s="90" t="s">
        <v>575</v>
      </c>
      <c r="BG8" s="91">
        <v>43960</v>
      </c>
      <c r="BH8" s="93" t="b">
        <v>0</v>
      </c>
      <c r="BI8" s="90" t="s">
        <v>499</v>
      </c>
      <c r="BJ8" s="90" t="s">
        <v>1144</v>
      </c>
      <c r="BK8" s="90" t="s">
        <v>1104</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c r="A9" s="117" t="s">
        <v>1146</v>
      </c>
      <c r="B9" s="118">
        <v>44123</v>
      </c>
      <c r="C9" s="117" t="s">
        <v>1147</v>
      </c>
      <c r="D9" s="117" t="s">
        <v>352</v>
      </c>
      <c r="E9" s="119" t="s">
        <v>1107</v>
      </c>
      <c r="F9" s="117" t="s">
        <v>1108</v>
      </c>
      <c r="G9" s="117" t="s">
        <v>374</v>
      </c>
      <c r="H9" s="117" t="s">
        <v>1148</v>
      </c>
      <c r="I9" s="117" t="s">
        <v>354</v>
      </c>
      <c r="J9" s="117" t="s">
        <v>1109</v>
      </c>
      <c r="K9" s="117" t="s">
        <v>414</v>
      </c>
      <c r="L9" s="117" t="s">
        <v>1149</v>
      </c>
      <c r="M9" s="119" t="s">
        <v>346</v>
      </c>
      <c r="N9" s="117" t="s">
        <v>1150</v>
      </c>
      <c r="O9" s="117" t="s">
        <v>1151</v>
      </c>
      <c r="P9" s="117" t="s">
        <v>1152</v>
      </c>
      <c r="Q9" s="118">
        <v>44137</v>
      </c>
      <c r="R9" s="118">
        <v>43862</v>
      </c>
      <c r="S9" s="117" t="s">
        <v>1153</v>
      </c>
      <c r="T9" s="118">
        <v>44296</v>
      </c>
      <c r="U9" s="120" t="s">
        <v>295</v>
      </c>
      <c r="V9" s="120" t="s">
        <v>295</v>
      </c>
      <c r="W9" s="121" t="s">
        <v>262</v>
      </c>
      <c r="X9" s="117" t="s">
        <v>1830</v>
      </c>
      <c r="Y9" s="117"/>
      <c r="Z9" s="117"/>
      <c r="AA9" s="117" t="s">
        <v>167</v>
      </c>
      <c r="AB9" s="117" t="s">
        <v>1155</v>
      </c>
      <c r="AC9" s="118">
        <v>44296</v>
      </c>
      <c r="AD9" s="117" t="s">
        <v>349</v>
      </c>
      <c r="AE9" s="117" t="s">
        <v>1156</v>
      </c>
      <c r="AF9" s="90" t="s">
        <v>1103</v>
      </c>
      <c r="AG9" s="90" t="s">
        <v>0</v>
      </c>
      <c r="AH9" s="93" t="s">
        <v>972</v>
      </c>
      <c r="AI9" s="93" t="b">
        <v>0</v>
      </c>
      <c r="AJ9" s="93"/>
      <c r="AK9" s="93" t="b">
        <v>0</v>
      </c>
      <c r="AL9" s="93"/>
      <c r="AM9" s="93" t="b">
        <v>0</v>
      </c>
      <c r="AN9" s="93" t="b">
        <v>0</v>
      </c>
      <c r="AO9" s="93" t="b">
        <v>0</v>
      </c>
      <c r="AP9" s="93" t="b">
        <v>0</v>
      </c>
      <c r="AQ9" s="93" t="b">
        <v>0</v>
      </c>
      <c r="AR9" s="93" t="b">
        <v>0</v>
      </c>
      <c r="AS9" s="93" t="b">
        <v>0</v>
      </c>
      <c r="AT9" s="107" t="s">
        <v>1831</v>
      </c>
      <c r="AU9" s="94">
        <v>9830288</v>
      </c>
      <c r="AV9" s="90" t="s">
        <v>734</v>
      </c>
      <c r="AW9" s="108" t="s">
        <v>943</v>
      </c>
      <c r="AX9" s="91">
        <v>44667</v>
      </c>
      <c r="AY9" s="108" t="s">
        <v>1586</v>
      </c>
      <c r="AZ9" s="90" t="s">
        <v>582</v>
      </c>
      <c r="BA9" s="90" t="s">
        <v>175</v>
      </c>
      <c r="BB9" s="90" t="s">
        <v>40</v>
      </c>
      <c r="BC9" s="90"/>
      <c r="BD9" s="90" t="s">
        <v>30</v>
      </c>
      <c r="BE9" s="90"/>
      <c r="BF9" s="90" t="s">
        <v>574</v>
      </c>
      <c r="BG9" s="91">
        <v>44317</v>
      </c>
      <c r="BH9" s="93" t="b">
        <v>0</v>
      </c>
      <c r="BI9" s="90"/>
      <c r="BJ9" s="90" t="s">
        <v>1157</v>
      </c>
      <c r="BK9" s="90" t="s">
        <v>1104</v>
      </c>
      <c r="BL9" s="90" t="s">
        <v>1158</v>
      </c>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c r="A10" s="117" t="s">
        <v>1160</v>
      </c>
      <c r="B10" s="118">
        <v>44123</v>
      </c>
      <c r="C10" s="117" t="s">
        <v>1161</v>
      </c>
      <c r="D10" s="117" t="s">
        <v>352</v>
      </c>
      <c r="E10" s="119" t="s">
        <v>1107</v>
      </c>
      <c r="F10" s="117" t="s">
        <v>1108</v>
      </c>
      <c r="G10" s="117" t="s">
        <v>374</v>
      </c>
      <c r="H10" s="117" t="s">
        <v>1148</v>
      </c>
      <c r="I10" s="117" t="s">
        <v>354</v>
      </c>
      <c r="J10" s="117" t="s">
        <v>1109</v>
      </c>
      <c r="K10" s="117" t="s">
        <v>426</v>
      </c>
      <c r="L10" s="117" t="s">
        <v>1162</v>
      </c>
      <c r="M10" s="119" t="s">
        <v>346</v>
      </c>
      <c r="N10" s="117" t="s">
        <v>1163</v>
      </c>
      <c r="O10" s="117" t="s">
        <v>1164</v>
      </c>
      <c r="P10" s="117" t="s">
        <v>1165</v>
      </c>
      <c r="Q10" s="118">
        <v>44132</v>
      </c>
      <c r="R10" s="118">
        <v>44223</v>
      </c>
      <c r="S10" s="117" t="s">
        <v>1166</v>
      </c>
      <c r="T10" s="118">
        <v>44249</v>
      </c>
      <c r="U10" s="120" t="s">
        <v>295</v>
      </c>
      <c r="V10" s="120" t="s">
        <v>295</v>
      </c>
      <c r="W10" s="121" t="s">
        <v>262</v>
      </c>
      <c r="X10" s="117" t="s">
        <v>1832</v>
      </c>
      <c r="Y10" s="117"/>
      <c r="Z10" s="117"/>
      <c r="AA10" s="117" t="s">
        <v>167</v>
      </c>
      <c r="AB10" s="117" t="s">
        <v>1168</v>
      </c>
      <c r="AC10" s="118">
        <v>44249</v>
      </c>
      <c r="AD10" s="117" t="s">
        <v>349</v>
      </c>
      <c r="AE10" s="117" t="s">
        <v>1169</v>
      </c>
      <c r="AF10" s="90" t="s">
        <v>1103</v>
      </c>
      <c r="AG10" s="90" t="s">
        <v>0</v>
      </c>
      <c r="AH10" s="93" t="s">
        <v>972</v>
      </c>
      <c r="AI10" s="93" t="b">
        <v>0</v>
      </c>
      <c r="AJ10" s="93"/>
      <c r="AK10" s="93" t="b">
        <v>0</v>
      </c>
      <c r="AL10" s="93"/>
      <c r="AM10" s="93" t="b">
        <v>0</v>
      </c>
      <c r="AN10" s="93" t="b">
        <v>0</v>
      </c>
      <c r="AO10" s="93" t="b">
        <v>0</v>
      </c>
      <c r="AP10" s="93" t="b">
        <v>0</v>
      </c>
      <c r="AQ10" s="93" t="b">
        <v>0</v>
      </c>
      <c r="AR10" s="93" t="b">
        <v>0</v>
      </c>
      <c r="AS10" s="93" t="b">
        <v>0</v>
      </c>
      <c r="AT10" s="107" t="s">
        <v>1833</v>
      </c>
      <c r="AU10" s="94">
        <v>9830288</v>
      </c>
      <c r="AV10" s="90" t="s">
        <v>734</v>
      </c>
      <c r="AW10" s="108" t="s">
        <v>943</v>
      </c>
      <c r="AX10" s="91">
        <v>44667</v>
      </c>
      <c r="AY10" s="108" t="s">
        <v>1586</v>
      </c>
      <c r="AZ10" s="90" t="s">
        <v>17</v>
      </c>
      <c r="BA10" s="90" t="s">
        <v>184</v>
      </c>
      <c r="BB10" s="90" t="s">
        <v>52</v>
      </c>
      <c r="BC10" s="90"/>
      <c r="BD10" s="90" t="s">
        <v>756</v>
      </c>
      <c r="BE10" s="90"/>
      <c r="BF10" s="90" t="s">
        <v>575</v>
      </c>
      <c r="BG10" s="91">
        <v>44255</v>
      </c>
      <c r="BH10" s="93" t="b">
        <v>0</v>
      </c>
      <c r="BI10" s="90"/>
      <c r="BJ10" s="90" t="s">
        <v>1170</v>
      </c>
      <c r="BK10" s="90" t="s">
        <v>1104</v>
      </c>
      <c r="BL10" s="90" t="s">
        <v>1158</v>
      </c>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c r="A11" s="117" t="s">
        <v>1172</v>
      </c>
      <c r="B11" s="118">
        <v>44123</v>
      </c>
      <c r="C11" s="117" t="s">
        <v>1173</v>
      </c>
      <c r="D11" s="117" t="s">
        <v>352</v>
      </c>
      <c r="E11" s="119" t="s">
        <v>1107</v>
      </c>
      <c r="F11" s="117" t="s">
        <v>1108</v>
      </c>
      <c r="G11" s="117" t="s">
        <v>374</v>
      </c>
      <c r="H11" s="117" t="s">
        <v>1148</v>
      </c>
      <c r="I11" s="117" t="s">
        <v>354</v>
      </c>
      <c r="J11" s="117" t="s">
        <v>1109</v>
      </c>
      <c r="K11" s="117" t="s">
        <v>414</v>
      </c>
      <c r="L11" s="117" t="s">
        <v>1149</v>
      </c>
      <c r="M11" s="119" t="s">
        <v>346</v>
      </c>
      <c r="N11" s="117" t="s">
        <v>1174</v>
      </c>
      <c r="O11" s="117" t="s">
        <v>1175</v>
      </c>
      <c r="P11" s="117" t="s">
        <v>1176</v>
      </c>
      <c r="Q11" s="118">
        <v>44130</v>
      </c>
      <c r="R11" s="118">
        <v>44214</v>
      </c>
      <c r="S11" s="117" t="s">
        <v>1177</v>
      </c>
      <c r="T11" s="118">
        <v>44290</v>
      </c>
      <c r="U11" s="120" t="s">
        <v>295</v>
      </c>
      <c r="V11" s="120" t="s">
        <v>295</v>
      </c>
      <c r="W11" s="121" t="s">
        <v>262</v>
      </c>
      <c r="X11" s="117" t="s">
        <v>1178</v>
      </c>
      <c r="Y11" s="117"/>
      <c r="Z11" s="117"/>
      <c r="AA11" s="117" t="s">
        <v>5</v>
      </c>
      <c r="AB11" s="117" t="s">
        <v>1179</v>
      </c>
      <c r="AC11" s="118">
        <v>44290</v>
      </c>
      <c r="AD11" s="117" t="s">
        <v>349</v>
      </c>
      <c r="AE11" s="117" t="s">
        <v>1180</v>
      </c>
      <c r="AF11" s="90" t="s">
        <v>1103</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1182</v>
      </c>
      <c r="AU11" s="94">
        <v>9830288</v>
      </c>
      <c r="AV11" s="90" t="s">
        <v>734</v>
      </c>
      <c r="AW11" s="108" t="s">
        <v>943</v>
      </c>
      <c r="AX11" s="91">
        <v>44509</v>
      </c>
      <c r="AY11" s="108" t="s">
        <v>1132</v>
      </c>
      <c r="AZ11" s="90" t="s">
        <v>582</v>
      </c>
      <c r="BA11" s="90" t="s">
        <v>69</v>
      </c>
      <c r="BB11" s="90" t="s">
        <v>40</v>
      </c>
      <c r="BC11" s="90"/>
      <c r="BD11" s="90" t="s">
        <v>30</v>
      </c>
      <c r="BE11" s="90"/>
      <c r="BF11" s="90" t="s">
        <v>574</v>
      </c>
      <c r="BG11" s="91">
        <v>44300</v>
      </c>
      <c r="BH11" s="93" t="b">
        <v>0</v>
      </c>
      <c r="BI11" s="90"/>
      <c r="BJ11" s="90" t="s">
        <v>1181</v>
      </c>
      <c r="BK11" s="90" t="s">
        <v>1104</v>
      </c>
      <c r="BL11" s="90" t="s">
        <v>1158</v>
      </c>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c r="A12" s="117" t="s">
        <v>1183</v>
      </c>
      <c r="B12" s="118">
        <v>44261</v>
      </c>
      <c r="C12" s="117" t="s">
        <v>1184</v>
      </c>
      <c r="D12" s="117" t="s">
        <v>361</v>
      </c>
      <c r="E12" s="119" t="s">
        <v>1185</v>
      </c>
      <c r="F12" s="117" t="s">
        <v>1186</v>
      </c>
      <c r="G12" s="117" t="s">
        <v>387</v>
      </c>
      <c r="H12" s="117" t="s">
        <v>1187</v>
      </c>
      <c r="I12" s="117" t="s">
        <v>363</v>
      </c>
      <c r="J12" s="117" t="s">
        <v>1188</v>
      </c>
      <c r="K12" s="117" t="s">
        <v>423</v>
      </c>
      <c r="L12" s="117" t="s">
        <v>1189</v>
      </c>
      <c r="M12" s="119" t="s">
        <v>346</v>
      </c>
      <c r="N12" s="117" t="s">
        <v>1190</v>
      </c>
      <c r="O12" s="117" t="s">
        <v>1191</v>
      </c>
      <c r="P12" s="117" t="s">
        <v>1192</v>
      </c>
      <c r="Q12" s="118">
        <v>44261</v>
      </c>
      <c r="R12" s="118">
        <v>44355</v>
      </c>
      <c r="S12" s="117" t="s">
        <v>1193</v>
      </c>
      <c r="T12" s="118">
        <v>44279</v>
      </c>
      <c r="U12" s="120" t="s">
        <v>295</v>
      </c>
      <c r="V12" s="120" t="s">
        <v>295</v>
      </c>
      <c r="W12" s="121" t="s">
        <v>262</v>
      </c>
      <c r="X12" s="117" t="s">
        <v>1194</v>
      </c>
      <c r="Y12" s="117"/>
      <c r="Z12" s="117"/>
      <c r="AA12" s="117" t="s">
        <v>4</v>
      </c>
      <c r="AB12" s="117" t="s">
        <v>1195</v>
      </c>
      <c r="AC12" s="118">
        <v>44279</v>
      </c>
      <c r="AD12" s="117" t="s">
        <v>349</v>
      </c>
      <c r="AE12" s="117" t="s">
        <v>1180</v>
      </c>
      <c r="AF12" s="90" t="s">
        <v>1103</v>
      </c>
      <c r="AG12" s="90" t="s">
        <v>0</v>
      </c>
      <c r="AH12" s="93" t="s">
        <v>972</v>
      </c>
      <c r="AI12" s="93" t="b">
        <v>0</v>
      </c>
      <c r="AJ12" s="93"/>
      <c r="AK12" s="93" t="b">
        <v>0</v>
      </c>
      <c r="AL12" s="93"/>
      <c r="AM12" s="93" t="b">
        <v>0</v>
      </c>
      <c r="AN12" s="93" t="b">
        <v>0</v>
      </c>
      <c r="AO12" s="93" t="b">
        <v>0</v>
      </c>
      <c r="AP12" s="93" t="b">
        <v>0</v>
      </c>
      <c r="AQ12" s="93" t="b">
        <v>0</v>
      </c>
      <c r="AR12" s="93" t="b">
        <v>1</v>
      </c>
      <c r="AS12" s="93" t="b">
        <v>0</v>
      </c>
      <c r="AT12" s="107" t="s">
        <v>1196</v>
      </c>
      <c r="AU12" s="94">
        <v>9830288</v>
      </c>
      <c r="AV12" s="90" t="s">
        <v>734</v>
      </c>
      <c r="AW12" s="108" t="s">
        <v>943</v>
      </c>
      <c r="AX12" s="91">
        <v>44509</v>
      </c>
      <c r="AY12" s="108" t="s">
        <v>1132</v>
      </c>
      <c r="AZ12" s="90" t="s">
        <v>581</v>
      </c>
      <c r="BA12" s="90" t="s">
        <v>172</v>
      </c>
      <c r="BB12" s="90" t="s">
        <v>49</v>
      </c>
      <c r="BC12" s="90"/>
      <c r="BD12" s="90" t="s">
        <v>31</v>
      </c>
      <c r="BE12" s="90"/>
      <c r="BF12" s="90"/>
      <c r="BG12" s="91"/>
      <c r="BH12" s="93" t="b">
        <v>0</v>
      </c>
      <c r="BI12" s="90"/>
      <c r="BJ12" s="90"/>
      <c r="BK12" s="90" t="s">
        <v>1120</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c r="A13" s="117" t="s">
        <v>1198</v>
      </c>
      <c r="B13" s="118">
        <v>44305</v>
      </c>
      <c r="C13" s="117" t="s">
        <v>1197</v>
      </c>
      <c r="D13" s="117" t="s">
        <v>352</v>
      </c>
      <c r="E13" s="119" t="s">
        <v>1107</v>
      </c>
      <c r="F13" s="117" t="s">
        <v>1108</v>
      </c>
      <c r="G13" s="117" t="s">
        <v>374</v>
      </c>
      <c r="H13" s="117" t="s">
        <v>1199</v>
      </c>
      <c r="I13" s="117" t="s">
        <v>354</v>
      </c>
      <c r="J13" s="117" t="s">
        <v>1109</v>
      </c>
      <c r="K13" s="117" t="s">
        <v>408</v>
      </c>
      <c r="L13" s="117" t="s">
        <v>1200</v>
      </c>
      <c r="M13" s="119" t="s">
        <v>346</v>
      </c>
      <c r="N13" s="117" t="s">
        <v>1201</v>
      </c>
      <c r="O13" s="117" t="s">
        <v>1202</v>
      </c>
      <c r="P13" s="117" t="s">
        <v>1203</v>
      </c>
      <c r="Q13" s="118">
        <v>44305</v>
      </c>
      <c r="R13" s="118">
        <v>44316</v>
      </c>
      <c r="S13" s="117" t="s">
        <v>1204</v>
      </c>
      <c r="T13" s="118">
        <v>44307</v>
      </c>
      <c r="U13" s="120" t="s">
        <v>295</v>
      </c>
      <c r="V13" s="120" t="s">
        <v>295</v>
      </c>
      <c r="W13" s="121" t="s">
        <v>262</v>
      </c>
      <c r="X13" s="117" t="s">
        <v>1205</v>
      </c>
      <c r="Y13" s="117"/>
      <c r="Z13" s="117"/>
      <c r="AA13" s="117" t="s">
        <v>804</v>
      </c>
      <c r="AB13" s="117" t="s">
        <v>1206</v>
      </c>
      <c r="AC13" s="118">
        <v>44307</v>
      </c>
      <c r="AD13" s="117" t="s">
        <v>349</v>
      </c>
      <c r="AE13" s="117" t="s">
        <v>1180</v>
      </c>
      <c r="AF13" s="90" t="s">
        <v>1103</v>
      </c>
      <c r="AG13" s="90" t="s">
        <v>0</v>
      </c>
      <c r="AH13" s="93" t="s">
        <v>972</v>
      </c>
      <c r="AI13" s="93" t="b">
        <v>0</v>
      </c>
      <c r="AJ13" s="93"/>
      <c r="AK13" s="93" t="b">
        <v>0</v>
      </c>
      <c r="AL13" s="93"/>
      <c r="AM13" s="93" t="b">
        <v>0</v>
      </c>
      <c r="AN13" s="93" t="b">
        <v>0</v>
      </c>
      <c r="AO13" s="93" t="b">
        <v>0</v>
      </c>
      <c r="AP13" s="93" t="b">
        <v>0</v>
      </c>
      <c r="AQ13" s="93" t="b">
        <v>0</v>
      </c>
      <c r="AR13" s="93" t="b">
        <v>0</v>
      </c>
      <c r="AS13" s="93" t="b">
        <v>0</v>
      </c>
      <c r="AT13" s="107" t="s">
        <v>1208</v>
      </c>
      <c r="AU13" s="94">
        <v>9830288</v>
      </c>
      <c r="AV13" s="90" t="s">
        <v>734</v>
      </c>
      <c r="AW13" s="108" t="s">
        <v>943</v>
      </c>
      <c r="AX13" s="91">
        <v>44509</v>
      </c>
      <c r="AY13" s="108" t="s">
        <v>1132</v>
      </c>
      <c r="AZ13" s="90" t="s">
        <v>11</v>
      </c>
      <c r="BA13" s="90"/>
      <c r="BB13" s="90" t="s">
        <v>35</v>
      </c>
      <c r="BC13" s="90"/>
      <c r="BD13" s="90" t="s">
        <v>28</v>
      </c>
      <c r="BE13" s="90"/>
      <c r="BF13" s="90"/>
      <c r="BG13" s="91"/>
      <c r="BH13" s="93" t="b">
        <v>0</v>
      </c>
      <c r="BI13" s="90"/>
      <c r="BJ13" s="90"/>
      <c r="BK13" s="90" t="s">
        <v>1120</v>
      </c>
      <c r="BL13" s="90" t="s">
        <v>1207</v>
      </c>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c r="A14" s="117" t="s">
        <v>1210</v>
      </c>
      <c r="B14" s="118">
        <v>44305</v>
      </c>
      <c r="C14" s="117" t="s">
        <v>1209</v>
      </c>
      <c r="D14" s="117" t="s">
        <v>352</v>
      </c>
      <c r="E14" s="119" t="s">
        <v>1107</v>
      </c>
      <c r="F14" s="117" t="s">
        <v>1108</v>
      </c>
      <c r="G14" s="117" t="s">
        <v>374</v>
      </c>
      <c r="H14" s="117" t="s">
        <v>1199</v>
      </c>
      <c r="I14" s="117" t="s">
        <v>354</v>
      </c>
      <c r="J14" s="117" t="s">
        <v>1109</v>
      </c>
      <c r="K14" s="117" t="s">
        <v>408</v>
      </c>
      <c r="L14" s="117" t="s">
        <v>1200</v>
      </c>
      <c r="M14" s="119" t="s">
        <v>346</v>
      </c>
      <c r="N14" s="117" t="s">
        <v>1211</v>
      </c>
      <c r="O14" s="117" t="s">
        <v>1212</v>
      </c>
      <c r="P14" s="117" t="s">
        <v>1213</v>
      </c>
      <c r="Q14" s="118">
        <v>44305</v>
      </c>
      <c r="R14" s="118">
        <v>44316</v>
      </c>
      <c r="S14" s="117" t="s">
        <v>1214</v>
      </c>
      <c r="T14" s="118">
        <v>44306</v>
      </c>
      <c r="U14" s="120" t="s">
        <v>295</v>
      </c>
      <c r="V14" s="120" t="s">
        <v>295</v>
      </c>
      <c r="W14" s="121" t="s">
        <v>262</v>
      </c>
      <c r="X14" s="117" t="s">
        <v>1205</v>
      </c>
      <c r="Y14" s="117"/>
      <c r="Z14" s="117"/>
      <c r="AA14" s="117" t="s">
        <v>804</v>
      </c>
      <c r="AB14" s="117" t="s">
        <v>1215</v>
      </c>
      <c r="AC14" s="118">
        <v>44306</v>
      </c>
      <c r="AD14" s="117" t="s">
        <v>349</v>
      </c>
      <c r="AE14" s="117" t="s">
        <v>1180</v>
      </c>
      <c r="AF14" s="90" t="s">
        <v>1103</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1216</v>
      </c>
      <c r="AU14" s="94">
        <v>9830288</v>
      </c>
      <c r="AV14" s="90" t="s">
        <v>734</v>
      </c>
      <c r="AW14" s="108" t="s">
        <v>943</v>
      </c>
      <c r="AX14" s="91">
        <v>44509</v>
      </c>
      <c r="AY14" s="108" t="s">
        <v>1132</v>
      </c>
      <c r="AZ14" s="90" t="s">
        <v>11</v>
      </c>
      <c r="BA14" s="90" t="s">
        <v>81</v>
      </c>
      <c r="BB14" s="90" t="s">
        <v>35</v>
      </c>
      <c r="BC14" s="90"/>
      <c r="BD14" s="90" t="s">
        <v>28</v>
      </c>
      <c r="BE14" s="90"/>
      <c r="BF14" s="90"/>
      <c r="BG14" s="91"/>
      <c r="BH14" s="93" t="b">
        <v>0</v>
      </c>
      <c r="BI14" s="90"/>
      <c r="BJ14" s="90"/>
      <c r="BK14" s="90" t="s">
        <v>1120</v>
      </c>
      <c r="BL14" s="90" t="s">
        <v>1207</v>
      </c>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c r="A15" s="117" t="s">
        <v>1218</v>
      </c>
      <c r="B15" s="118">
        <v>44305</v>
      </c>
      <c r="C15" s="117" t="s">
        <v>1217</v>
      </c>
      <c r="D15" s="117" t="s">
        <v>352</v>
      </c>
      <c r="E15" s="119" t="s">
        <v>1107</v>
      </c>
      <c r="F15" s="117" t="s">
        <v>1108</v>
      </c>
      <c r="G15" s="117" t="s">
        <v>374</v>
      </c>
      <c r="H15" s="117" t="s">
        <v>1199</v>
      </c>
      <c r="I15" s="117" t="s">
        <v>354</v>
      </c>
      <c r="J15" s="117" t="s">
        <v>1109</v>
      </c>
      <c r="K15" s="117" t="s">
        <v>418</v>
      </c>
      <c r="L15" s="117" t="s">
        <v>1219</v>
      </c>
      <c r="M15" s="119" t="s">
        <v>346</v>
      </c>
      <c r="N15" s="117" t="s">
        <v>1220</v>
      </c>
      <c r="O15" s="117" t="s">
        <v>1221</v>
      </c>
      <c r="P15" s="117" t="s">
        <v>1222</v>
      </c>
      <c r="Q15" s="118">
        <v>44305</v>
      </c>
      <c r="R15" s="118">
        <v>44346</v>
      </c>
      <c r="S15" s="117" t="s">
        <v>1223</v>
      </c>
      <c r="T15" s="118">
        <v>44308</v>
      </c>
      <c r="U15" s="120" t="s">
        <v>295</v>
      </c>
      <c r="V15" s="120" t="s">
        <v>295</v>
      </c>
      <c r="W15" s="121" t="s">
        <v>262</v>
      </c>
      <c r="X15" s="117" t="s">
        <v>1224</v>
      </c>
      <c r="Y15" s="117"/>
      <c r="Z15" s="117"/>
      <c r="AA15" s="117" t="s">
        <v>3</v>
      </c>
      <c r="AB15" s="117" t="s">
        <v>1225</v>
      </c>
      <c r="AC15" s="118">
        <v>44308</v>
      </c>
      <c r="AD15" s="117" t="s">
        <v>349</v>
      </c>
      <c r="AE15" s="117" t="s">
        <v>1180</v>
      </c>
      <c r="AF15" s="90" t="s">
        <v>1103</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1226</v>
      </c>
      <c r="AU15" s="94">
        <v>9830288</v>
      </c>
      <c r="AV15" s="90" t="s">
        <v>734</v>
      </c>
      <c r="AW15" s="108" t="s">
        <v>943</v>
      </c>
      <c r="AX15" s="91">
        <v>44509</v>
      </c>
      <c r="AY15" s="108" t="s">
        <v>1132</v>
      </c>
      <c r="AZ15" s="90" t="s">
        <v>23</v>
      </c>
      <c r="BA15" s="90" t="s">
        <v>165</v>
      </c>
      <c r="BB15" s="90" t="s">
        <v>44</v>
      </c>
      <c r="BC15" s="90"/>
      <c r="BD15" s="90" t="s">
        <v>755</v>
      </c>
      <c r="BE15" s="90"/>
      <c r="BF15" s="90"/>
      <c r="BG15" s="91"/>
      <c r="BH15" s="93" t="b">
        <v>0</v>
      </c>
      <c r="BI15" s="90"/>
      <c r="BJ15" s="90"/>
      <c r="BK15" s="90" t="s">
        <v>1120</v>
      </c>
      <c r="BL15" s="90" t="s">
        <v>1207</v>
      </c>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c r="A16" s="117" t="s">
        <v>1228</v>
      </c>
      <c r="B16" s="118">
        <v>44305</v>
      </c>
      <c r="C16" s="117" t="s">
        <v>1227</v>
      </c>
      <c r="D16" s="117" t="s">
        <v>352</v>
      </c>
      <c r="E16" s="119" t="s">
        <v>1107</v>
      </c>
      <c r="F16" s="117" t="s">
        <v>1108</v>
      </c>
      <c r="G16" s="117" t="s">
        <v>374</v>
      </c>
      <c r="H16" s="117" t="s">
        <v>1199</v>
      </c>
      <c r="I16" s="117" t="s">
        <v>354</v>
      </c>
      <c r="J16" s="117" t="s">
        <v>1109</v>
      </c>
      <c r="K16" s="117" t="s">
        <v>418</v>
      </c>
      <c r="L16" s="117" t="s">
        <v>1219</v>
      </c>
      <c r="M16" s="119" t="s">
        <v>346</v>
      </c>
      <c r="N16" s="117" t="s">
        <v>1229</v>
      </c>
      <c r="O16" s="117" t="s">
        <v>1230</v>
      </c>
      <c r="P16" s="117" t="s">
        <v>1231</v>
      </c>
      <c r="Q16" s="118">
        <v>44309</v>
      </c>
      <c r="R16" s="118">
        <v>44316</v>
      </c>
      <c r="S16" s="117" t="s">
        <v>1232</v>
      </c>
      <c r="T16" s="118">
        <v>44309</v>
      </c>
      <c r="U16" s="120" t="s">
        <v>295</v>
      </c>
      <c r="V16" s="120" t="s">
        <v>295</v>
      </c>
      <c r="W16" s="121" t="s">
        <v>262</v>
      </c>
      <c r="X16" s="117" t="s">
        <v>1233</v>
      </c>
      <c r="Y16" s="117"/>
      <c r="Z16" s="117"/>
      <c r="AA16" s="117" t="s">
        <v>1</v>
      </c>
      <c r="AB16" s="117" t="s">
        <v>1234</v>
      </c>
      <c r="AC16" s="118">
        <v>44313</v>
      </c>
      <c r="AD16" s="117" t="s">
        <v>349</v>
      </c>
      <c r="AE16" s="117" t="s">
        <v>1180</v>
      </c>
      <c r="AF16" s="90" t="s">
        <v>1103</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1235</v>
      </c>
      <c r="AU16" s="94">
        <v>9830288</v>
      </c>
      <c r="AV16" s="90" t="s">
        <v>734</v>
      </c>
      <c r="AW16" s="108" t="s">
        <v>943</v>
      </c>
      <c r="AX16" s="91">
        <v>44509</v>
      </c>
      <c r="AY16" s="108" t="s">
        <v>1132</v>
      </c>
      <c r="AZ16" s="90" t="s">
        <v>13</v>
      </c>
      <c r="BA16" s="90" t="s">
        <v>83</v>
      </c>
      <c r="BB16" s="90" t="s">
        <v>44</v>
      </c>
      <c r="BC16" s="90"/>
      <c r="BD16" s="90" t="s">
        <v>755</v>
      </c>
      <c r="BE16" s="90"/>
      <c r="BF16" s="90"/>
      <c r="BG16" s="91"/>
      <c r="BH16" s="93" t="b">
        <v>0</v>
      </c>
      <c r="BI16" s="90"/>
      <c r="BJ16" s="90"/>
      <c r="BK16" s="90" t="s">
        <v>1120</v>
      </c>
      <c r="BL16" s="90" t="s">
        <v>1207</v>
      </c>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c r="A17" s="117" t="s">
        <v>1237</v>
      </c>
      <c r="B17" s="118">
        <v>44305</v>
      </c>
      <c r="C17" s="117" t="s">
        <v>1236</v>
      </c>
      <c r="D17" s="117" t="s">
        <v>352</v>
      </c>
      <c r="E17" s="119" t="s">
        <v>1107</v>
      </c>
      <c r="F17" s="117" t="s">
        <v>1108</v>
      </c>
      <c r="G17" s="117" t="s">
        <v>374</v>
      </c>
      <c r="H17" s="117" t="s">
        <v>1199</v>
      </c>
      <c r="I17" s="117" t="s">
        <v>354</v>
      </c>
      <c r="J17" s="117" t="s">
        <v>1109</v>
      </c>
      <c r="K17" s="117" t="s">
        <v>412</v>
      </c>
      <c r="L17" s="117" t="s">
        <v>1130</v>
      </c>
      <c r="M17" s="119" t="s">
        <v>346</v>
      </c>
      <c r="N17" s="117" t="s">
        <v>1238</v>
      </c>
      <c r="O17" s="117" t="s">
        <v>1239</v>
      </c>
      <c r="P17" s="117" t="s">
        <v>1240</v>
      </c>
      <c r="Q17" s="118">
        <v>44305</v>
      </c>
      <c r="R17" s="118">
        <v>44316</v>
      </c>
      <c r="S17" s="117" t="s">
        <v>1241</v>
      </c>
      <c r="T17" s="118">
        <v>44307</v>
      </c>
      <c r="U17" s="120" t="s">
        <v>295</v>
      </c>
      <c r="V17" s="120" t="s">
        <v>295</v>
      </c>
      <c r="W17" s="121" t="s">
        <v>262</v>
      </c>
      <c r="X17" s="117" t="s">
        <v>1242</v>
      </c>
      <c r="Y17" s="117"/>
      <c r="Z17" s="117"/>
      <c r="AA17" s="117" t="s">
        <v>2</v>
      </c>
      <c r="AB17" s="117" t="s">
        <v>1215</v>
      </c>
      <c r="AC17" s="118">
        <v>44307</v>
      </c>
      <c r="AD17" s="117" t="s">
        <v>349</v>
      </c>
      <c r="AE17" s="117" t="s">
        <v>1180</v>
      </c>
      <c r="AF17" s="90" t="s">
        <v>1103</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1243</v>
      </c>
      <c r="AU17" s="94">
        <v>9830288</v>
      </c>
      <c r="AV17" s="90" t="s">
        <v>734</v>
      </c>
      <c r="AW17" s="108" t="s">
        <v>943</v>
      </c>
      <c r="AX17" s="91">
        <v>44509</v>
      </c>
      <c r="AY17" s="108" t="s">
        <v>1132</v>
      </c>
      <c r="AZ17" s="90" t="s">
        <v>13</v>
      </c>
      <c r="BA17" s="90" t="s">
        <v>83</v>
      </c>
      <c r="BB17" s="90" t="s">
        <v>38</v>
      </c>
      <c r="BC17" s="90"/>
      <c r="BD17" s="90" t="s">
        <v>28</v>
      </c>
      <c r="BE17" s="90"/>
      <c r="BF17" s="90"/>
      <c r="BG17" s="91"/>
      <c r="BH17" s="93" t="b">
        <v>0</v>
      </c>
      <c r="BI17" s="90"/>
      <c r="BJ17" s="90"/>
      <c r="BK17" s="90" t="s">
        <v>1120</v>
      </c>
      <c r="BL17" s="90" t="s">
        <v>1207</v>
      </c>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c r="A18" s="117" t="s">
        <v>1245</v>
      </c>
      <c r="B18" s="118">
        <v>44305</v>
      </c>
      <c r="C18" s="117" t="s">
        <v>1244</v>
      </c>
      <c r="D18" s="117" t="s">
        <v>352</v>
      </c>
      <c r="E18" s="119" t="s">
        <v>1107</v>
      </c>
      <c r="F18" s="117" t="s">
        <v>1108</v>
      </c>
      <c r="G18" s="117" t="s">
        <v>374</v>
      </c>
      <c r="H18" s="117" t="s">
        <v>1199</v>
      </c>
      <c r="I18" s="117" t="s">
        <v>354</v>
      </c>
      <c r="J18" s="117" t="s">
        <v>1109</v>
      </c>
      <c r="K18" s="117" t="s">
        <v>418</v>
      </c>
      <c r="L18" s="117" t="s">
        <v>1219</v>
      </c>
      <c r="M18" s="119" t="s">
        <v>346</v>
      </c>
      <c r="N18" s="117" t="s">
        <v>1246</v>
      </c>
      <c r="O18" s="117" t="s">
        <v>1247</v>
      </c>
      <c r="P18" s="117" t="s">
        <v>1248</v>
      </c>
      <c r="Q18" s="118">
        <v>44305</v>
      </c>
      <c r="R18" s="118">
        <v>44316</v>
      </c>
      <c r="S18" s="117" t="s">
        <v>1249</v>
      </c>
      <c r="T18" s="118">
        <v>44305</v>
      </c>
      <c r="U18" s="120" t="s">
        <v>295</v>
      </c>
      <c r="V18" s="120" t="s">
        <v>295</v>
      </c>
      <c r="W18" s="121" t="s">
        <v>262</v>
      </c>
      <c r="X18" s="117" t="s">
        <v>1250</v>
      </c>
      <c r="Y18" s="117"/>
      <c r="Z18" s="117"/>
      <c r="AA18" s="117" t="s">
        <v>804</v>
      </c>
      <c r="AB18" s="117" t="s">
        <v>1251</v>
      </c>
      <c r="AC18" s="118">
        <v>44305</v>
      </c>
      <c r="AD18" s="117" t="s">
        <v>349</v>
      </c>
      <c r="AE18" s="117" t="s">
        <v>1252</v>
      </c>
      <c r="AF18" s="90" t="s">
        <v>1103</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1253</v>
      </c>
      <c r="AU18" s="94">
        <v>9830288</v>
      </c>
      <c r="AV18" s="90" t="s">
        <v>734</v>
      </c>
      <c r="AW18" s="108" t="s">
        <v>943</v>
      </c>
      <c r="AX18" s="91">
        <v>44509</v>
      </c>
      <c r="AY18" s="108" t="s">
        <v>1132</v>
      </c>
      <c r="AZ18" s="90" t="s">
        <v>13</v>
      </c>
      <c r="BA18" s="90" t="s">
        <v>83</v>
      </c>
      <c r="BB18" s="90" t="s">
        <v>44</v>
      </c>
      <c r="BC18" s="90"/>
      <c r="BD18" s="90" t="s">
        <v>755</v>
      </c>
      <c r="BE18" s="90"/>
      <c r="BF18" s="90"/>
      <c r="BG18" s="91"/>
      <c r="BH18" s="93" t="b">
        <v>0</v>
      </c>
      <c r="BI18" s="90"/>
      <c r="BJ18" s="90"/>
      <c r="BK18" s="90" t="s">
        <v>1120</v>
      </c>
      <c r="BL18" s="90" t="s">
        <v>1207</v>
      </c>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c r="A19" s="117" t="s">
        <v>1255</v>
      </c>
      <c r="B19" s="118">
        <v>44305</v>
      </c>
      <c r="C19" s="117" t="s">
        <v>1254</v>
      </c>
      <c r="D19" s="117" t="s">
        <v>352</v>
      </c>
      <c r="E19" s="119" t="s">
        <v>1107</v>
      </c>
      <c r="F19" s="117" t="s">
        <v>1108</v>
      </c>
      <c r="G19" s="117" t="s">
        <v>374</v>
      </c>
      <c r="H19" s="117" t="s">
        <v>1199</v>
      </c>
      <c r="I19" s="117" t="s">
        <v>354</v>
      </c>
      <c r="J19" s="117" t="s">
        <v>1109</v>
      </c>
      <c r="K19" s="117" t="s">
        <v>417</v>
      </c>
      <c r="L19" s="117" t="s">
        <v>1256</v>
      </c>
      <c r="M19" s="119" t="s">
        <v>346</v>
      </c>
      <c r="N19" s="117" t="s">
        <v>1257</v>
      </c>
      <c r="O19" s="117" t="s">
        <v>1258</v>
      </c>
      <c r="P19" s="117" t="s">
        <v>1259</v>
      </c>
      <c r="Q19" s="118">
        <v>44319</v>
      </c>
      <c r="R19" s="118">
        <v>44316</v>
      </c>
      <c r="S19" s="117" t="s">
        <v>1260</v>
      </c>
      <c r="T19" s="118">
        <v>44319</v>
      </c>
      <c r="U19" s="120" t="s">
        <v>295</v>
      </c>
      <c r="V19" s="120" t="s">
        <v>295</v>
      </c>
      <c r="W19" s="121" t="s">
        <v>262</v>
      </c>
      <c r="X19" s="117" t="s">
        <v>1215</v>
      </c>
      <c r="Y19" s="117"/>
      <c r="Z19" s="117"/>
      <c r="AA19" s="117" t="s">
        <v>1</v>
      </c>
      <c r="AB19" s="117" t="s">
        <v>1261</v>
      </c>
      <c r="AC19" s="118">
        <v>44319</v>
      </c>
      <c r="AD19" s="117" t="s">
        <v>349</v>
      </c>
      <c r="AE19" s="117" t="s">
        <v>1262</v>
      </c>
      <c r="AF19" s="90" t="s">
        <v>1103</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1263</v>
      </c>
      <c r="AU19" s="94">
        <v>9830288</v>
      </c>
      <c r="AV19" s="90" t="s">
        <v>734</v>
      </c>
      <c r="AW19" s="108" t="s">
        <v>943</v>
      </c>
      <c r="AX19" s="91">
        <v>44509</v>
      </c>
      <c r="AY19" s="108" t="s">
        <v>1132</v>
      </c>
      <c r="AZ19" s="90" t="s">
        <v>16</v>
      </c>
      <c r="BA19" s="90"/>
      <c r="BB19" s="90" t="s">
        <v>43</v>
      </c>
      <c r="BC19" s="90"/>
      <c r="BD19" s="90" t="s">
        <v>756</v>
      </c>
      <c r="BE19" s="90"/>
      <c r="BF19" s="90"/>
      <c r="BG19" s="91"/>
      <c r="BH19" s="93" t="b">
        <v>0</v>
      </c>
      <c r="BI19" s="90"/>
      <c r="BJ19" s="90"/>
      <c r="BK19" s="90" t="s">
        <v>1120</v>
      </c>
      <c r="BL19" s="90" t="s">
        <v>1207</v>
      </c>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c r="A20" s="117" t="s">
        <v>1265</v>
      </c>
      <c r="B20" s="118">
        <v>44305</v>
      </c>
      <c r="C20" s="117" t="s">
        <v>1264</v>
      </c>
      <c r="D20" s="117" t="s">
        <v>352</v>
      </c>
      <c r="E20" s="119" t="s">
        <v>1107</v>
      </c>
      <c r="F20" s="117" t="s">
        <v>1108</v>
      </c>
      <c r="G20" s="117" t="s">
        <v>374</v>
      </c>
      <c r="H20" s="117" t="s">
        <v>1199</v>
      </c>
      <c r="I20" s="117" t="s">
        <v>354</v>
      </c>
      <c r="J20" s="117" t="s">
        <v>1109</v>
      </c>
      <c r="K20" s="117" t="s">
        <v>417</v>
      </c>
      <c r="L20" s="117" t="s">
        <v>1256</v>
      </c>
      <c r="M20" s="119" t="s">
        <v>346</v>
      </c>
      <c r="N20" s="117" t="s">
        <v>1266</v>
      </c>
      <c r="O20" s="117" t="s">
        <v>1267</v>
      </c>
      <c r="P20" s="117" t="s">
        <v>1268</v>
      </c>
      <c r="Q20" s="118">
        <v>44306</v>
      </c>
      <c r="R20" s="118">
        <v>44316</v>
      </c>
      <c r="S20" s="117" t="s">
        <v>1269</v>
      </c>
      <c r="T20" s="118">
        <v>44306</v>
      </c>
      <c r="U20" s="120" t="s">
        <v>295</v>
      </c>
      <c r="V20" s="120" t="s">
        <v>295</v>
      </c>
      <c r="W20" s="121" t="s">
        <v>262</v>
      </c>
      <c r="X20" s="117" t="s">
        <v>1270</v>
      </c>
      <c r="Y20" s="117"/>
      <c r="Z20" s="117"/>
      <c r="AA20" s="117" t="s">
        <v>1</v>
      </c>
      <c r="AB20" s="117" t="s">
        <v>1271</v>
      </c>
      <c r="AC20" s="118">
        <v>44306</v>
      </c>
      <c r="AD20" s="117" t="s">
        <v>349</v>
      </c>
      <c r="AE20" s="117" t="s">
        <v>1180</v>
      </c>
      <c r="AF20" s="90" t="s">
        <v>1103</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1272</v>
      </c>
      <c r="AU20" s="94">
        <v>9830288</v>
      </c>
      <c r="AV20" s="90" t="s">
        <v>734</v>
      </c>
      <c r="AW20" s="108" t="s">
        <v>943</v>
      </c>
      <c r="AX20" s="91">
        <v>44509</v>
      </c>
      <c r="AY20" s="108" t="s">
        <v>1132</v>
      </c>
      <c r="AZ20" s="90" t="s">
        <v>583</v>
      </c>
      <c r="BA20" s="90" t="s">
        <v>143</v>
      </c>
      <c r="BB20" s="90" t="s">
        <v>43</v>
      </c>
      <c r="BC20" s="90"/>
      <c r="BD20" s="90" t="s">
        <v>756</v>
      </c>
      <c r="BE20" s="90"/>
      <c r="BF20" s="90"/>
      <c r="BG20" s="91"/>
      <c r="BH20" s="93" t="b">
        <v>0</v>
      </c>
      <c r="BI20" s="90"/>
      <c r="BJ20" s="90"/>
      <c r="BK20" s="90" t="s">
        <v>1120</v>
      </c>
      <c r="BL20" s="90" t="s">
        <v>1207</v>
      </c>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c r="A21" s="117" t="s">
        <v>1274</v>
      </c>
      <c r="B21" s="118">
        <v>44305</v>
      </c>
      <c r="C21" s="117" t="s">
        <v>1273</v>
      </c>
      <c r="D21" s="117" t="s">
        <v>352</v>
      </c>
      <c r="E21" s="119" t="s">
        <v>1107</v>
      </c>
      <c r="F21" s="117" t="s">
        <v>1108</v>
      </c>
      <c r="G21" s="117" t="s">
        <v>374</v>
      </c>
      <c r="H21" s="117" t="s">
        <v>1199</v>
      </c>
      <c r="I21" s="117" t="s">
        <v>354</v>
      </c>
      <c r="J21" s="117" t="s">
        <v>1109</v>
      </c>
      <c r="K21" s="117" t="s">
        <v>417</v>
      </c>
      <c r="L21" s="117" t="s">
        <v>1256</v>
      </c>
      <c r="M21" s="119" t="s">
        <v>346</v>
      </c>
      <c r="N21" s="117" t="s">
        <v>1275</v>
      </c>
      <c r="O21" s="117" t="s">
        <v>1276</v>
      </c>
      <c r="P21" s="117" t="s">
        <v>1277</v>
      </c>
      <c r="Q21" s="118">
        <v>44317</v>
      </c>
      <c r="R21" s="118">
        <v>44331</v>
      </c>
      <c r="S21" s="117" t="s">
        <v>1278</v>
      </c>
      <c r="T21" s="118">
        <v>44317</v>
      </c>
      <c r="U21" s="120" t="s">
        <v>295</v>
      </c>
      <c r="V21" s="120" t="s">
        <v>295</v>
      </c>
      <c r="W21" s="121" t="s">
        <v>262</v>
      </c>
      <c r="X21" s="117" t="s">
        <v>1279</v>
      </c>
      <c r="Y21" s="117"/>
      <c r="Z21" s="117"/>
      <c r="AA21" s="117" t="s">
        <v>2</v>
      </c>
      <c r="AB21" s="117" t="s">
        <v>1280</v>
      </c>
      <c r="AC21" s="118">
        <v>44317</v>
      </c>
      <c r="AD21" s="117" t="s">
        <v>349</v>
      </c>
      <c r="AE21" s="117" t="s">
        <v>1252</v>
      </c>
      <c r="AF21" s="90" t="s">
        <v>1103</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1281</v>
      </c>
      <c r="AU21" s="94">
        <v>9830288</v>
      </c>
      <c r="AV21" s="90" t="s">
        <v>734</v>
      </c>
      <c r="AW21" s="108" t="s">
        <v>943</v>
      </c>
      <c r="AX21" s="91">
        <v>44509</v>
      </c>
      <c r="AY21" s="108" t="s">
        <v>1132</v>
      </c>
      <c r="AZ21" s="90" t="s">
        <v>15</v>
      </c>
      <c r="BA21" s="90" t="s">
        <v>110</v>
      </c>
      <c r="BB21" s="90" t="s">
        <v>43</v>
      </c>
      <c r="BC21" s="90"/>
      <c r="BD21" s="90" t="s">
        <v>756</v>
      </c>
      <c r="BE21" s="90"/>
      <c r="BF21" s="90"/>
      <c r="BG21" s="91"/>
      <c r="BH21" s="93" t="b">
        <v>0</v>
      </c>
      <c r="BI21" s="90"/>
      <c r="BJ21" s="90"/>
      <c r="BK21" s="90" t="s">
        <v>1120</v>
      </c>
      <c r="BL21" s="90" t="s">
        <v>1207</v>
      </c>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c r="A22" s="117" t="s">
        <v>1283</v>
      </c>
      <c r="B22" s="118">
        <v>44305</v>
      </c>
      <c r="C22" s="117" t="s">
        <v>1282</v>
      </c>
      <c r="D22" s="117" t="s">
        <v>352</v>
      </c>
      <c r="E22" s="119" t="s">
        <v>1107</v>
      </c>
      <c r="F22" s="117" t="s">
        <v>1108</v>
      </c>
      <c r="G22" s="117" t="s">
        <v>374</v>
      </c>
      <c r="H22" s="117" t="s">
        <v>1199</v>
      </c>
      <c r="I22" s="117" t="s">
        <v>354</v>
      </c>
      <c r="J22" s="117" t="s">
        <v>1109</v>
      </c>
      <c r="K22" s="117" t="s">
        <v>417</v>
      </c>
      <c r="L22" s="117" t="s">
        <v>1256</v>
      </c>
      <c r="M22" s="119" t="s">
        <v>346</v>
      </c>
      <c r="N22" s="117" t="s">
        <v>1284</v>
      </c>
      <c r="O22" s="117" t="s">
        <v>1285</v>
      </c>
      <c r="P22" s="117" t="s">
        <v>1286</v>
      </c>
      <c r="Q22" s="118">
        <v>44315</v>
      </c>
      <c r="R22" s="118">
        <v>44331</v>
      </c>
      <c r="S22" s="117" t="s">
        <v>1286</v>
      </c>
      <c r="T22" s="118">
        <v>44315</v>
      </c>
      <c r="U22" s="120" t="s">
        <v>295</v>
      </c>
      <c r="V22" s="120" t="s">
        <v>295</v>
      </c>
      <c r="W22" s="121" t="s">
        <v>262</v>
      </c>
      <c r="X22" s="117" t="s">
        <v>1287</v>
      </c>
      <c r="Y22" s="117"/>
      <c r="Z22" s="117"/>
      <c r="AA22" s="117" t="s">
        <v>5</v>
      </c>
      <c r="AB22" s="117" t="s">
        <v>1288</v>
      </c>
      <c r="AC22" s="118">
        <v>44315</v>
      </c>
      <c r="AD22" s="117" t="s">
        <v>349</v>
      </c>
      <c r="AE22" s="117" t="s">
        <v>1180</v>
      </c>
      <c r="AF22" s="90" t="s">
        <v>1103</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1289</v>
      </c>
      <c r="AU22" s="94">
        <v>9830288</v>
      </c>
      <c r="AV22" s="90" t="s">
        <v>734</v>
      </c>
      <c r="AW22" s="108" t="s">
        <v>943</v>
      </c>
      <c r="AX22" s="91">
        <v>44509</v>
      </c>
      <c r="AY22" s="108" t="s">
        <v>1132</v>
      </c>
      <c r="AZ22" s="90" t="s">
        <v>583</v>
      </c>
      <c r="BA22" s="90" t="s">
        <v>143</v>
      </c>
      <c r="BB22" s="90" t="s">
        <v>43</v>
      </c>
      <c r="BC22" s="90"/>
      <c r="BD22" s="90" t="s">
        <v>756</v>
      </c>
      <c r="BE22" s="90"/>
      <c r="BF22" s="90"/>
      <c r="BG22" s="91"/>
      <c r="BH22" s="93" t="b">
        <v>0</v>
      </c>
      <c r="BI22" s="90"/>
      <c r="BJ22" s="90"/>
      <c r="BK22" s="90" t="s">
        <v>1120</v>
      </c>
      <c r="BL22" s="90" t="s">
        <v>1207</v>
      </c>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c r="A23" s="117" t="s">
        <v>1291</v>
      </c>
      <c r="B23" s="118">
        <v>44305</v>
      </c>
      <c r="C23" s="117" t="s">
        <v>1290</v>
      </c>
      <c r="D23" s="117" t="s">
        <v>352</v>
      </c>
      <c r="E23" s="119" t="s">
        <v>1107</v>
      </c>
      <c r="F23" s="117" t="s">
        <v>1108</v>
      </c>
      <c r="G23" s="117" t="s">
        <v>374</v>
      </c>
      <c r="H23" s="117" t="s">
        <v>1199</v>
      </c>
      <c r="I23" s="117" t="s">
        <v>354</v>
      </c>
      <c r="J23" s="117" t="s">
        <v>1109</v>
      </c>
      <c r="K23" s="117" t="s">
        <v>417</v>
      </c>
      <c r="L23" s="117" t="s">
        <v>1256</v>
      </c>
      <c r="M23" s="119" t="s">
        <v>346</v>
      </c>
      <c r="N23" s="117" t="s">
        <v>1292</v>
      </c>
      <c r="O23" s="117" t="s">
        <v>1293</v>
      </c>
      <c r="P23" s="117" t="s">
        <v>1294</v>
      </c>
      <c r="Q23" s="118">
        <v>44310</v>
      </c>
      <c r="R23" s="118">
        <v>44316</v>
      </c>
      <c r="S23" s="117" t="s">
        <v>1294</v>
      </c>
      <c r="T23" s="118">
        <v>44310</v>
      </c>
      <c r="U23" s="120" t="s">
        <v>295</v>
      </c>
      <c r="V23" s="120" t="s">
        <v>295</v>
      </c>
      <c r="W23" s="121" t="s">
        <v>262</v>
      </c>
      <c r="X23" s="117" t="s">
        <v>1295</v>
      </c>
      <c r="Y23" s="117"/>
      <c r="Z23" s="117"/>
      <c r="AA23" s="117" t="s">
        <v>4</v>
      </c>
      <c r="AB23" s="117" t="s">
        <v>1296</v>
      </c>
      <c r="AC23" s="118">
        <v>44310</v>
      </c>
      <c r="AD23" s="117" t="s">
        <v>349</v>
      </c>
      <c r="AE23" s="117" t="s">
        <v>1252</v>
      </c>
      <c r="AF23" s="90" t="s">
        <v>1103</v>
      </c>
      <c r="AG23" s="90" t="s">
        <v>0</v>
      </c>
      <c r="AH23" s="93" t="s">
        <v>972</v>
      </c>
      <c r="AI23" s="93" t="b">
        <v>0</v>
      </c>
      <c r="AJ23" s="93"/>
      <c r="AK23" s="93" t="b">
        <v>0</v>
      </c>
      <c r="AL23" s="93"/>
      <c r="AM23" s="93" t="b">
        <v>0</v>
      </c>
      <c r="AN23" s="93" t="b">
        <v>0</v>
      </c>
      <c r="AO23" s="93" t="b">
        <v>0</v>
      </c>
      <c r="AP23" s="93" t="b">
        <v>0</v>
      </c>
      <c r="AQ23" s="93" t="b">
        <v>0</v>
      </c>
      <c r="AR23" s="93" t="b">
        <v>0</v>
      </c>
      <c r="AS23" s="93" t="b">
        <v>0</v>
      </c>
      <c r="AT23" s="107" t="s">
        <v>1297</v>
      </c>
      <c r="AU23" s="94">
        <v>9830288</v>
      </c>
      <c r="AV23" s="90" t="s">
        <v>734</v>
      </c>
      <c r="AW23" s="108" t="s">
        <v>943</v>
      </c>
      <c r="AX23" s="91">
        <v>44509</v>
      </c>
      <c r="AY23" s="108" t="s">
        <v>1132</v>
      </c>
      <c r="AZ23" s="90" t="s">
        <v>583</v>
      </c>
      <c r="BA23" s="90" t="s">
        <v>143</v>
      </c>
      <c r="BB23" s="90" t="s">
        <v>43</v>
      </c>
      <c r="BC23" s="90"/>
      <c r="BD23" s="90" t="s">
        <v>756</v>
      </c>
      <c r="BE23" s="90"/>
      <c r="BF23" s="90"/>
      <c r="BG23" s="91"/>
      <c r="BH23" s="93" t="b">
        <v>0</v>
      </c>
      <c r="BI23" s="90"/>
      <c r="BJ23" s="90"/>
      <c r="BK23" s="90" t="s">
        <v>1120</v>
      </c>
      <c r="BL23" s="90" t="s">
        <v>1207</v>
      </c>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c r="A24" s="117" t="s">
        <v>1299</v>
      </c>
      <c r="B24" s="118">
        <v>44312</v>
      </c>
      <c r="C24" s="117" t="s">
        <v>1298</v>
      </c>
      <c r="D24" s="117" t="s">
        <v>364</v>
      </c>
      <c r="E24" s="119" t="s">
        <v>1101</v>
      </c>
      <c r="F24" s="117" t="s">
        <v>1102</v>
      </c>
      <c r="G24" s="117" t="s">
        <v>389</v>
      </c>
      <c r="H24" s="117" t="s">
        <v>1300</v>
      </c>
      <c r="I24" s="117" t="s">
        <v>13</v>
      </c>
      <c r="J24" s="117" t="s">
        <v>1105</v>
      </c>
      <c r="K24" s="117" t="s">
        <v>83</v>
      </c>
      <c r="L24" s="117" t="s">
        <v>1106</v>
      </c>
      <c r="M24" s="119" t="s">
        <v>346</v>
      </c>
      <c r="N24" s="117" t="s">
        <v>1301</v>
      </c>
      <c r="O24" s="117" t="s">
        <v>1302</v>
      </c>
      <c r="P24" s="117" t="s">
        <v>1303</v>
      </c>
      <c r="Q24" s="118">
        <v>44312</v>
      </c>
      <c r="R24" s="118">
        <v>44346</v>
      </c>
      <c r="S24" s="117" t="s">
        <v>1304</v>
      </c>
      <c r="T24" s="118">
        <v>44323</v>
      </c>
      <c r="U24" s="120" t="s">
        <v>295</v>
      </c>
      <c r="V24" s="120" t="s">
        <v>295</v>
      </c>
      <c r="W24" s="121" t="s">
        <v>262</v>
      </c>
      <c r="X24" s="117" t="s">
        <v>1305</v>
      </c>
      <c r="Y24" s="117"/>
      <c r="Z24" s="117"/>
      <c r="AA24" s="117" t="s">
        <v>1</v>
      </c>
      <c r="AB24" s="117" t="s">
        <v>1306</v>
      </c>
      <c r="AC24" s="118">
        <v>44323</v>
      </c>
      <c r="AD24" s="117" t="s">
        <v>349</v>
      </c>
      <c r="AE24" s="117" t="s">
        <v>1180</v>
      </c>
      <c r="AF24" s="90" t="s">
        <v>1103</v>
      </c>
      <c r="AG24" s="90" t="s">
        <v>0</v>
      </c>
      <c r="AH24" s="93" t="s">
        <v>972</v>
      </c>
      <c r="AI24" s="93" t="b">
        <v>0</v>
      </c>
      <c r="AJ24" s="93"/>
      <c r="AK24" s="93" t="b">
        <v>0</v>
      </c>
      <c r="AL24" s="93"/>
      <c r="AM24" s="93" t="b">
        <v>0</v>
      </c>
      <c r="AN24" s="93" t="b">
        <v>0</v>
      </c>
      <c r="AO24" s="93" t="b">
        <v>0</v>
      </c>
      <c r="AP24" s="93" t="b">
        <v>0</v>
      </c>
      <c r="AQ24" s="93" t="b">
        <v>0</v>
      </c>
      <c r="AR24" s="93" t="b">
        <v>0</v>
      </c>
      <c r="AS24" s="93" t="b">
        <v>0</v>
      </c>
      <c r="AT24" s="107" t="s">
        <v>1307</v>
      </c>
      <c r="AU24" s="94">
        <v>9830288</v>
      </c>
      <c r="AV24" s="90" t="s">
        <v>734</v>
      </c>
      <c r="AW24" s="108" t="s">
        <v>943</v>
      </c>
      <c r="AX24" s="91">
        <v>44509</v>
      </c>
      <c r="AY24" s="108" t="s">
        <v>1132</v>
      </c>
      <c r="AZ24" s="90" t="s">
        <v>13</v>
      </c>
      <c r="BA24" s="90" t="s">
        <v>83</v>
      </c>
      <c r="BB24" s="90" t="s">
        <v>40</v>
      </c>
      <c r="BC24" s="90"/>
      <c r="BD24" s="90" t="s">
        <v>30</v>
      </c>
      <c r="BE24" s="90"/>
      <c r="BF24" s="90"/>
      <c r="BG24" s="91"/>
      <c r="BH24" s="93" t="b">
        <v>0</v>
      </c>
      <c r="BI24" s="90"/>
      <c r="BJ24" s="90"/>
      <c r="BK24" s="90" t="s">
        <v>1120</v>
      </c>
      <c r="BL24" s="90"/>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c r="A25" s="117" t="s">
        <v>1309</v>
      </c>
      <c r="B25" s="118">
        <v>44320</v>
      </c>
      <c r="C25" s="117" t="s">
        <v>1308</v>
      </c>
      <c r="D25" s="117" t="s">
        <v>364</v>
      </c>
      <c r="E25" s="119" t="s">
        <v>1101</v>
      </c>
      <c r="F25" s="117" t="s">
        <v>1102</v>
      </c>
      <c r="G25" s="117" t="s">
        <v>389</v>
      </c>
      <c r="H25" s="117" t="s">
        <v>1300</v>
      </c>
      <c r="I25" s="117" t="s">
        <v>13</v>
      </c>
      <c r="J25" s="117" t="s">
        <v>1105</v>
      </c>
      <c r="K25" s="117" t="s">
        <v>83</v>
      </c>
      <c r="L25" s="117" t="s">
        <v>1106</v>
      </c>
      <c r="M25" s="119" t="s">
        <v>346</v>
      </c>
      <c r="N25" s="117" t="s">
        <v>1310</v>
      </c>
      <c r="O25" s="117" t="s">
        <v>1311</v>
      </c>
      <c r="P25" s="117" t="s">
        <v>1312</v>
      </c>
      <c r="Q25" s="118">
        <v>44320</v>
      </c>
      <c r="R25" s="118">
        <v>44410</v>
      </c>
      <c r="S25" s="117" t="s">
        <v>1313</v>
      </c>
      <c r="T25" s="118">
        <v>44321</v>
      </c>
      <c r="U25" s="120" t="s">
        <v>295</v>
      </c>
      <c r="V25" s="120" t="s">
        <v>295</v>
      </c>
      <c r="W25" s="121" t="s">
        <v>262</v>
      </c>
      <c r="X25" s="117" t="s">
        <v>1314</v>
      </c>
      <c r="Y25" s="117"/>
      <c r="Z25" s="117"/>
      <c r="AA25" s="117" t="s">
        <v>1</v>
      </c>
      <c r="AB25" s="117" t="s">
        <v>1315</v>
      </c>
      <c r="AC25" s="118">
        <v>44321</v>
      </c>
      <c r="AD25" s="117" t="s">
        <v>349</v>
      </c>
      <c r="AE25" s="117" t="s">
        <v>1252</v>
      </c>
      <c r="AF25" s="90" t="s">
        <v>1103</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1316</v>
      </c>
      <c r="AU25" s="94">
        <v>9830288</v>
      </c>
      <c r="AV25" s="90" t="s">
        <v>734</v>
      </c>
      <c r="AW25" s="108" t="s">
        <v>943</v>
      </c>
      <c r="AX25" s="91">
        <v>44509</v>
      </c>
      <c r="AY25" s="108" t="s">
        <v>1132</v>
      </c>
      <c r="AZ25" s="90" t="s">
        <v>13</v>
      </c>
      <c r="BA25" s="90" t="s">
        <v>83</v>
      </c>
      <c r="BB25" s="90" t="s">
        <v>42</v>
      </c>
      <c r="BC25" s="90"/>
      <c r="BD25" s="90" t="s">
        <v>31</v>
      </c>
      <c r="BE25" s="90"/>
      <c r="BF25" s="90"/>
      <c r="BG25" s="91"/>
      <c r="BH25" s="93" t="b">
        <v>0</v>
      </c>
      <c r="BI25" s="90"/>
      <c r="BJ25" s="90"/>
      <c r="BK25" s="90" t="s">
        <v>1120</v>
      </c>
      <c r="BL25" s="90"/>
      <c r="BM25" s="90"/>
      <c r="BN25" s="90"/>
      <c r="BO25" s="90"/>
      <c r="BP25" s="90"/>
      <c r="BQ25" s="90"/>
      <c r="BR25" s="95"/>
      <c r="BS25" s="90"/>
      <c r="BT25" s="90"/>
      <c r="BU25" s="90"/>
      <c r="BV25" s="90"/>
      <c r="BW25" s="90"/>
      <c r="BX25" s="90"/>
      <c r="BY25" s="90"/>
      <c r="BZ25" s="90"/>
      <c r="CA25" s="90"/>
      <c r="CB25" s="90"/>
      <c r="CC25" s="91"/>
      <c r="CD25" s="90"/>
      <c r="CE25" s="91"/>
      <c r="CF25" s="90"/>
      <c r="CG25" s="91"/>
      <c r="CH25" s="90"/>
      <c r="CI25" s="91"/>
      <c r="CJ25" s="90"/>
      <c r="CK25" s="91"/>
      <c r="CL25" s="90"/>
      <c r="CM25" s="91"/>
      <c r="CN25" s="96"/>
      <c r="CO25" s="91"/>
      <c r="CP25" s="90"/>
      <c r="CQ25" s="90"/>
      <c r="CR25" s="90"/>
      <c r="CS25" s="90"/>
      <c r="CT25" s="91"/>
      <c r="CU25" s="90"/>
      <c r="CV25" s="97"/>
    </row>
    <row r="26" spans="1:100" ht="15" customHeight="1">
      <c r="A26" s="117" t="s">
        <v>1318</v>
      </c>
      <c r="B26" s="118">
        <v>44326</v>
      </c>
      <c r="C26" s="117" t="s">
        <v>1317</v>
      </c>
      <c r="D26" s="117" t="s">
        <v>364</v>
      </c>
      <c r="E26" s="119" t="s">
        <v>1101</v>
      </c>
      <c r="F26" s="117" t="s">
        <v>1102</v>
      </c>
      <c r="G26" s="117" t="s">
        <v>389</v>
      </c>
      <c r="H26" s="117" t="s">
        <v>1300</v>
      </c>
      <c r="I26" s="117" t="s">
        <v>13</v>
      </c>
      <c r="J26" s="117" t="s">
        <v>1105</v>
      </c>
      <c r="K26" s="117" t="s">
        <v>83</v>
      </c>
      <c r="L26" s="117" t="s">
        <v>568</v>
      </c>
      <c r="M26" s="119" t="s">
        <v>346</v>
      </c>
      <c r="N26" s="117" t="s">
        <v>1319</v>
      </c>
      <c r="O26" s="117" t="s">
        <v>1320</v>
      </c>
      <c r="P26" s="117" t="s">
        <v>1321</v>
      </c>
      <c r="Q26" s="118">
        <v>44326</v>
      </c>
      <c r="R26" s="118">
        <v>44416</v>
      </c>
      <c r="S26" s="117" t="s">
        <v>1322</v>
      </c>
      <c r="T26" s="118">
        <v>44330</v>
      </c>
      <c r="U26" s="120" t="s">
        <v>295</v>
      </c>
      <c r="V26" s="120" t="s">
        <v>295</v>
      </c>
      <c r="W26" s="121" t="s">
        <v>262</v>
      </c>
      <c r="X26" s="117" t="s">
        <v>1323</v>
      </c>
      <c r="Y26" s="117"/>
      <c r="Z26" s="117"/>
      <c r="AA26" s="117" t="s">
        <v>5</v>
      </c>
      <c r="AB26" s="117" t="s">
        <v>1215</v>
      </c>
      <c r="AC26" s="118">
        <v>44330</v>
      </c>
      <c r="AD26" s="117" t="s">
        <v>349</v>
      </c>
      <c r="AE26" s="117" t="s">
        <v>1252</v>
      </c>
      <c r="AF26" s="90" t="s">
        <v>1103</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1324</v>
      </c>
      <c r="AU26" s="94">
        <v>9830288</v>
      </c>
      <c r="AV26" s="90" t="s">
        <v>734</v>
      </c>
      <c r="AW26" s="108" t="s">
        <v>943</v>
      </c>
      <c r="AX26" s="91">
        <v>44509</v>
      </c>
      <c r="AY26" s="108" t="s">
        <v>1132</v>
      </c>
      <c r="AZ26" s="90" t="s">
        <v>13</v>
      </c>
      <c r="BA26" s="90" t="s">
        <v>83</v>
      </c>
      <c r="BB26" s="90" t="s">
        <v>42</v>
      </c>
      <c r="BC26" s="90"/>
      <c r="BD26" s="90" t="s">
        <v>31</v>
      </c>
      <c r="BE26" s="90"/>
      <c r="BF26" s="90"/>
      <c r="BG26" s="91"/>
      <c r="BH26" s="93" t="b">
        <v>0</v>
      </c>
      <c r="BI26" s="90"/>
      <c r="BJ26" s="90"/>
      <c r="BK26" s="90" t="s">
        <v>1120</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c r="A27" s="117" t="s">
        <v>1326</v>
      </c>
      <c r="B27" s="118">
        <v>44331</v>
      </c>
      <c r="C27" s="117" t="s">
        <v>1325</v>
      </c>
      <c r="D27" s="117" t="s">
        <v>364</v>
      </c>
      <c r="E27" s="119" t="s">
        <v>1101</v>
      </c>
      <c r="F27" s="117" t="s">
        <v>1102</v>
      </c>
      <c r="G27" s="117" t="s">
        <v>389</v>
      </c>
      <c r="H27" s="117" t="s">
        <v>1300</v>
      </c>
      <c r="I27" s="117" t="s">
        <v>11</v>
      </c>
      <c r="J27" s="117" t="s">
        <v>1114</v>
      </c>
      <c r="K27" s="117" t="s">
        <v>81</v>
      </c>
      <c r="L27" s="117" t="s">
        <v>1115</v>
      </c>
      <c r="M27" s="119" t="s">
        <v>346</v>
      </c>
      <c r="N27" s="117" t="s">
        <v>1327</v>
      </c>
      <c r="O27" s="117" t="s">
        <v>1328</v>
      </c>
      <c r="P27" s="117" t="s">
        <v>1329</v>
      </c>
      <c r="Q27" s="118">
        <v>44331</v>
      </c>
      <c r="R27" s="118">
        <v>44377</v>
      </c>
      <c r="S27" s="117" t="s">
        <v>1330</v>
      </c>
      <c r="T27" s="118">
        <v>44333</v>
      </c>
      <c r="U27" s="120" t="s">
        <v>295</v>
      </c>
      <c r="V27" s="120" t="s">
        <v>295</v>
      </c>
      <c r="W27" s="121" t="s">
        <v>262</v>
      </c>
      <c r="X27" s="117" t="s">
        <v>1331</v>
      </c>
      <c r="Y27" s="117"/>
      <c r="Z27" s="117"/>
      <c r="AA27" s="117" t="s">
        <v>804</v>
      </c>
      <c r="AB27" s="117" t="s">
        <v>1332</v>
      </c>
      <c r="AC27" s="118">
        <v>44333</v>
      </c>
      <c r="AD27" s="117" t="s">
        <v>349</v>
      </c>
      <c r="AE27" s="117" t="s">
        <v>1169</v>
      </c>
      <c r="AF27" s="90" t="s">
        <v>1103</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1333</v>
      </c>
      <c r="AU27" s="94">
        <v>9830288</v>
      </c>
      <c r="AV27" s="90" t="s">
        <v>734</v>
      </c>
      <c r="AW27" s="108" t="s">
        <v>943</v>
      </c>
      <c r="AX27" s="91">
        <v>44509</v>
      </c>
      <c r="AY27" s="108" t="s">
        <v>1132</v>
      </c>
      <c r="AZ27" s="90" t="s">
        <v>11</v>
      </c>
      <c r="BA27" s="90" t="s">
        <v>81</v>
      </c>
      <c r="BB27" s="90" t="s">
        <v>42</v>
      </c>
      <c r="BC27" s="90"/>
      <c r="BD27" s="90" t="s">
        <v>31</v>
      </c>
      <c r="BE27" s="90"/>
      <c r="BF27" s="90"/>
      <c r="BG27" s="91"/>
      <c r="BH27" s="93" t="b">
        <v>0</v>
      </c>
      <c r="BI27" s="90"/>
      <c r="BJ27" s="90"/>
      <c r="BK27" s="90" t="s">
        <v>1120</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c r="A28" s="117" t="s">
        <v>1334</v>
      </c>
      <c r="B28" s="118">
        <v>44357</v>
      </c>
      <c r="C28" s="117" t="s">
        <v>1335</v>
      </c>
      <c r="D28" s="117" t="s">
        <v>364</v>
      </c>
      <c r="E28" s="119" t="s">
        <v>1101</v>
      </c>
      <c r="F28" s="117" t="s">
        <v>1102</v>
      </c>
      <c r="G28" s="117" t="s">
        <v>389</v>
      </c>
      <c r="H28" s="117" t="s">
        <v>1336</v>
      </c>
      <c r="I28" s="117" t="s">
        <v>14</v>
      </c>
      <c r="J28" s="117" t="s">
        <v>1116</v>
      </c>
      <c r="K28" s="117" t="s">
        <v>98</v>
      </c>
      <c r="L28" s="117" t="s">
        <v>1337</v>
      </c>
      <c r="M28" s="119" t="s">
        <v>346</v>
      </c>
      <c r="N28" s="117" t="s">
        <v>1338</v>
      </c>
      <c r="O28" s="117" t="s">
        <v>1339</v>
      </c>
      <c r="P28" s="117" t="s">
        <v>1340</v>
      </c>
      <c r="Q28" s="118">
        <v>44357</v>
      </c>
      <c r="R28" s="118">
        <v>44447</v>
      </c>
      <c r="S28" s="117" t="s">
        <v>1341</v>
      </c>
      <c r="T28" s="118">
        <v>44357</v>
      </c>
      <c r="U28" s="120" t="s">
        <v>295</v>
      </c>
      <c r="V28" s="120" t="s">
        <v>295</v>
      </c>
      <c r="W28" s="121" t="s">
        <v>262</v>
      </c>
      <c r="X28" s="117" t="s">
        <v>1342</v>
      </c>
      <c r="Y28" s="117"/>
      <c r="Z28" s="117"/>
      <c r="AA28" s="117" t="s">
        <v>5</v>
      </c>
      <c r="AB28" s="117" t="s">
        <v>1343</v>
      </c>
      <c r="AC28" s="118">
        <v>44361</v>
      </c>
      <c r="AD28" s="117" t="s">
        <v>349</v>
      </c>
      <c r="AE28" s="117" t="s">
        <v>1252</v>
      </c>
      <c r="AF28" s="90" t="s">
        <v>1103</v>
      </c>
      <c r="AG28" s="90" t="s">
        <v>0</v>
      </c>
      <c r="AH28" s="93" t="s">
        <v>972</v>
      </c>
      <c r="AI28" s="93" t="b">
        <v>0</v>
      </c>
      <c r="AJ28" s="93"/>
      <c r="AK28" s="93" t="b">
        <v>1</v>
      </c>
      <c r="AL28" s="93" t="s">
        <v>1344</v>
      </c>
      <c r="AM28" s="93" t="b">
        <v>0</v>
      </c>
      <c r="AN28" s="93" t="b">
        <v>0</v>
      </c>
      <c r="AO28" s="93" t="b">
        <v>0</v>
      </c>
      <c r="AP28" s="93" t="b">
        <v>0</v>
      </c>
      <c r="AQ28" s="93" t="b">
        <v>0</v>
      </c>
      <c r="AR28" s="93" t="b">
        <v>0</v>
      </c>
      <c r="AS28" s="93" t="b">
        <v>0</v>
      </c>
      <c r="AT28" s="107" t="s">
        <v>1345</v>
      </c>
      <c r="AU28" s="94">
        <v>9830288</v>
      </c>
      <c r="AV28" s="90" t="s">
        <v>734</v>
      </c>
      <c r="AW28" s="108" t="s">
        <v>943</v>
      </c>
      <c r="AX28" s="91">
        <v>44509</v>
      </c>
      <c r="AY28" s="108" t="s">
        <v>1132</v>
      </c>
      <c r="AZ28" s="90" t="s">
        <v>14</v>
      </c>
      <c r="BA28" s="90" t="s">
        <v>98</v>
      </c>
      <c r="BB28" s="90" t="s">
        <v>402</v>
      </c>
      <c r="BC28" s="90"/>
      <c r="BD28" s="90" t="s">
        <v>756</v>
      </c>
      <c r="BE28" s="90"/>
      <c r="BF28" s="90"/>
      <c r="BG28" s="91"/>
      <c r="BH28" s="93" t="b">
        <v>0</v>
      </c>
      <c r="BI28" s="90"/>
      <c r="BJ28" s="90"/>
      <c r="BK28" s="90" t="s">
        <v>1120</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c r="A29" s="117" t="s">
        <v>1347</v>
      </c>
      <c r="B29" s="118">
        <v>44210</v>
      </c>
      <c r="C29" s="117" t="s">
        <v>1346</v>
      </c>
      <c r="D29" s="117" t="s">
        <v>358</v>
      </c>
      <c r="E29" s="119" t="s">
        <v>1125</v>
      </c>
      <c r="F29" s="117" t="s">
        <v>1126</v>
      </c>
      <c r="G29" s="117" t="s">
        <v>377</v>
      </c>
      <c r="H29" s="117"/>
      <c r="I29" s="117" t="s">
        <v>360</v>
      </c>
      <c r="J29" s="117" t="s">
        <v>1127</v>
      </c>
      <c r="K29" s="117" t="s">
        <v>402</v>
      </c>
      <c r="L29" s="117" t="s">
        <v>1348</v>
      </c>
      <c r="M29" s="119" t="s">
        <v>346</v>
      </c>
      <c r="N29" s="117" t="s">
        <v>1349</v>
      </c>
      <c r="O29" s="117" t="s">
        <v>262</v>
      </c>
      <c r="P29" s="117" t="s">
        <v>262</v>
      </c>
      <c r="Q29" s="118"/>
      <c r="R29" s="118">
        <v>44210</v>
      </c>
      <c r="S29" s="117"/>
      <c r="T29" s="118"/>
      <c r="U29" s="120" t="s">
        <v>295</v>
      </c>
      <c r="V29" s="120" t="s">
        <v>295</v>
      </c>
      <c r="W29" s="121" t="s">
        <v>262</v>
      </c>
      <c r="X29" s="117" t="s">
        <v>1350</v>
      </c>
      <c r="Y29" s="117"/>
      <c r="Z29" s="117"/>
      <c r="AA29" s="117" t="s">
        <v>568</v>
      </c>
      <c r="AB29" s="117" t="s">
        <v>262</v>
      </c>
      <c r="AC29" s="118">
        <v>44210</v>
      </c>
      <c r="AD29" s="117" t="s">
        <v>349</v>
      </c>
      <c r="AE29" s="117" t="s">
        <v>1351</v>
      </c>
      <c r="AF29" s="90" t="s">
        <v>1103</v>
      </c>
      <c r="AG29" s="90" t="s">
        <v>0</v>
      </c>
      <c r="AH29" s="93" t="s">
        <v>972</v>
      </c>
      <c r="AI29" s="93" t="b">
        <v>0</v>
      </c>
      <c r="AJ29" s="93"/>
      <c r="AK29" s="93" t="b">
        <v>0</v>
      </c>
      <c r="AL29" s="93"/>
      <c r="AM29" s="93" t="b">
        <v>0</v>
      </c>
      <c r="AN29" s="93" t="b">
        <v>0</v>
      </c>
      <c r="AO29" s="93" t="b">
        <v>0</v>
      </c>
      <c r="AP29" s="93" t="b">
        <v>0</v>
      </c>
      <c r="AQ29" s="93" t="b">
        <v>0</v>
      </c>
      <c r="AR29" s="93" t="b">
        <v>0</v>
      </c>
      <c r="AS29" s="93" t="b">
        <v>0</v>
      </c>
      <c r="AT29" s="107" t="s">
        <v>1362</v>
      </c>
      <c r="AU29" s="94">
        <v>9830288</v>
      </c>
      <c r="AV29" s="90" t="s">
        <v>734</v>
      </c>
      <c r="AW29" s="108" t="s">
        <v>943</v>
      </c>
      <c r="AX29" s="91">
        <v>44509</v>
      </c>
      <c r="AY29" s="108" t="s">
        <v>1132</v>
      </c>
      <c r="AZ29" s="90" t="s">
        <v>568</v>
      </c>
      <c r="BA29" s="90" t="s">
        <v>568</v>
      </c>
      <c r="BB29" s="90" t="s">
        <v>402</v>
      </c>
      <c r="BC29" s="90" t="s">
        <v>262</v>
      </c>
      <c r="BD29" s="90" t="s">
        <v>801</v>
      </c>
      <c r="BE29" s="90"/>
      <c r="BF29" s="90"/>
      <c r="BG29" s="91"/>
      <c r="BH29" s="93" t="b">
        <v>0</v>
      </c>
      <c r="BI29" s="90"/>
      <c r="BJ29" s="90"/>
      <c r="BK29" s="90" t="s">
        <v>1120</v>
      </c>
      <c r="BL29" s="90" t="s">
        <v>1352</v>
      </c>
      <c r="BM29" s="90" t="s">
        <v>842</v>
      </c>
      <c r="BN29" s="90" t="s">
        <v>1353</v>
      </c>
      <c r="BO29" s="90" t="s">
        <v>1354</v>
      </c>
      <c r="BP29" s="90" t="s">
        <v>1128</v>
      </c>
      <c r="BQ29" s="90" t="s">
        <v>1129</v>
      </c>
      <c r="BR29" s="95">
        <v>933.52812500000005</v>
      </c>
      <c r="BS29" s="90" t="s">
        <v>1355</v>
      </c>
      <c r="BT29" s="90" t="s">
        <v>1356</v>
      </c>
      <c r="BU29" s="90" t="s">
        <v>1357</v>
      </c>
      <c r="BV29" s="90" t="s">
        <v>1358</v>
      </c>
      <c r="BW29" s="90" t="s">
        <v>1359</v>
      </c>
      <c r="BX29" s="90" t="s">
        <v>1360</v>
      </c>
      <c r="BY29" s="90" t="s">
        <v>1361</v>
      </c>
      <c r="BZ29" s="90" t="s">
        <v>346</v>
      </c>
      <c r="CA29" s="90" t="s">
        <v>262</v>
      </c>
      <c r="CB29" s="90" t="s">
        <v>1351</v>
      </c>
      <c r="CC29" s="91">
        <v>44210</v>
      </c>
      <c r="CD29" s="90" t="s">
        <v>341</v>
      </c>
      <c r="CE29" s="91">
        <v>44210</v>
      </c>
      <c r="CF29" s="90" t="s">
        <v>341</v>
      </c>
      <c r="CG29" s="91">
        <v>44210</v>
      </c>
      <c r="CH29" s="90" t="s">
        <v>346</v>
      </c>
      <c r="CI29" s="91"/>
      <c r="CJ29" s="90" t="s">
        <v>346</v>
      </c>
      <c r="CK29" s="91"/>
      <c r="CL29" s="90" t="s">
        <v>341</v>
      </c>
      <c r="CM29" s="91">
        <v>44210</v>
      </c>
      <c r="CN29" s="96" t="s">
        <v>341</v>
      </c>
      <c r="CO29" s="91">
        <v>44210</v>
      </c>
      <c r="CP29" s="90"/>
      <c r="CQ29" s="90"/>
      <c r="CR29" s="90"/>
      <c r="CS29" s="90"/>
      <c r="CT29" s="91"/>
      <c r="CU29" s="90"/>
      <c r="CV29" s="97"/>
    </row>
    <row r="30" spans="1:100" ht="15" customHeight="1">
      <c r="A30" s="117" t="s">
        <v>1363</v>
      </c>
      <c r="B30" s="118">
        <v>44308</v>
      </c>
      <c r="C30" s="117" t="s">
        <v>1335</v>
      </c>
      <c r="D30" s="117" t="s">
        <v>358</v>
      </c>
      <c r="E30" s="119" t="s">
        <v>1125</v>
      </c>
      <c r="F30" s="117" t="s">
        <v>1126</v>
      </c>
      <c r="G30" s="117" t="s">
        <v>375</v>
      </c>
      <c r="H30" s="117"/>
      <c r="I30" s="117" t="s">
        <v>360</v>
      </c>
      <c r="J30" s="117" t="s">
        <v>1127</v>
      </c>
      <c r="K30" s="117" t="s">
        <v>402</v>
      </c>
      <c r="L30" s="117" t="s">
        <v>1348</v>
      </c>
      <c r="M30" s="119" t="s">
        <v>346</v>
      </c>
      <c r="N30" s="117" t="s">
        <v>1349</v>
      </c>
      <c r="O30" s="117" t="s">
        <v>262</v>
      </c>
      <c r="P30" s="117" t="s">
        <v>262</v>
      </c>
      <c r="Q30" s="118"/>
      <c r="R30" s="118">
        <v>44308</v>
      </c>
      <c r="S30" s="117"/>
      <c r="T30" s="118"/>
      <c r="U30" s="120" t="s">
        <v>295</v>
      </c>
      <c r="V30" s="120" t="s">
        <v>295</v>
      </c>
      <c r="W30" s="121" t="s">
        <v>262</v>
      </c>
      <c r="X30" s="117" t="s">
        <v>1350</v>
      </c>
      <c r="Y30" s="117"/>
      <c r="Z30" s="117"/>
      <c r="AA30" s="117" t="s">
        <v>568</v>
      </c>
      <c r="AB30" s="117" t="s">
        <v>262</v>
      </c>
      <c r="AC30" s="118">
        <v>44308</v>
      </c>
      <c r="AD30" s="117" t="s">
        <v>349</v>
      </c>
      <c r="AE30" s="117" t="s">
        <v>1364</v>
      </c>
      <c r="AF30" s="90" t="s">
        <v>1103</v>
      </c>
      <c r="AG30" s="90" t="s">
        <v>0</v>
      </c>
      <c r="AH30" s="93" t="s">
        <v>972</v>
      </c>
      <c r="AI30" s="93" t="b">
        <v>0</v>
      </c>
      <c r="AJ30" s="93"/>
      <c r="AK30" s="93" t="b">
        <v>0</v>
      </c>
      <c r="AL30" s="93"/>
      <c r="AM30" s="93" t="b">
        <v>0</v>
      </c>
      <c r="AN30" s="93" t="b">
        <v>0</v>
      </c>
      <c r="AO30" s="93" t="b">
        <v>0</v>
      </c>
      <c r="AP30" s="93" t="b">
        <v>0</v>
      </c>
      <c r="AQ30" s="93" t="b">
        <v>0</v>
      </c>
      <c r="AR30" s="93" t="b">
        <v>0</v>
      </c>
      <c r="AS30" s="93" t="b">
        <v>0</v>
      </c>
      <c r="AT30" s="107" t="s">
        <v>1371</v>
      </c>
      <c r="AU30" s="94">
        <v>9830288</v>
      </c>
      <c r="AV30" s="90" t="s">
        <v>734</v>
      </c>
      <c r="AW30" s="108" t="s">
        <v>943</v>
      </c>
      <c r="AX30" s="91">
        <v>44509</v>
      </c>
      <c r="AY30" s="108" t="s">
        <v>1132</v>
      </c>
      <c r="AZ30" s="90" t="s">
        <v>568</v>
      </c>
      <c r="BA30" s="90" t="s">
        <v>568</v>
      </c>
      <c r="BB30" s="90" t="s">
        <v>402</v>
      </c>
      <c r="BC30" s="90" t="s">
        <v>262</v>
      </c>
      <c r="BD30" s="90" t="s">
        <v>801</v>
      </c>
      <c r="BE30" s="90"/>
      <c r="BF30" s="90"/>
      <c r="BG30" s="91"/>
      <c r="BH30" s="93" t="b">
        <v>0</v>
      </c>
      <c r="BI30" s="90"/>
      <c r="BJ30" s="90"/>
      <c r="BK30" s="90" t="s">
        <v>1120</v>
      </c>
      <c r="BL30" s="90" t="s">
        <v>1365</v>
      </c>
      <c r="BM30" s="90" t="s">
        <v>852</v>
      </c>
      <c r="BN30" s="90" t="s">
        <v>1366</v>
      </c>
      <c r="BO30" s="90" t="s">
        <v>1367</v>
      </c>
      <c r="BP30" s="90" t="s">
        <v>1128</v>
      </c>
      <c r="BQ30" s="90" t="s">
        <v>1129</v>
      </c>
      <c r="BR30" s="95">
        <v>933.52826388888889</v>
      </c>
      <c r="BS30" s="90" t="s">
        <v>1368</v>
      </c>
      <c r="BT30" s="90" t="s">
        <v>1369</v>
      </c>
      <c r="BU30" s="90" t="s">
        <v>1370</v>
      </c>
      <c r="BV30" s="90" t="s">
        <v>1358</v>
      </c>
      <c r="BW30" s="90" t="s">
        <v>1359</v>
      </c>
      <c r="BX30" s="90" t="s">
        <v>1360</v>
      </c>
      <c r="BY30" s="90" t="s">
        <v>1361</v>
      </c>
      <c r="BZ30" s="90" t="s">
        <v>346</v>
      </c>
      <c r="CA30" s="90" t="s">
        <v>262</v>
      </c>
      <c r="CB30" s="90" t="s">
        <v>1364</v>
      </c>
      <c r="CC30" s="91">
        <v>44382</v>
      </c>
      <c r="CD30" s="90" t="s">
        <v>341</v>
      </c>
      <c r="CE30" s="91">
        <v>44382</v>
      </c>
      <c r="CF30" s="90" t="s">
        <v>341</v>
      </c>
      <c r="CG30" s="91">
        <v>44382</v>
      </c>
      <c r="CH30" s="90" t="s">
        <v>262</v>
      </c>
      <c r="CI30" s="91">
        <v>44382</v>
      </c>
      <c r="CJ30" s="90" t="s">
        <v>341</v>
      </c>
      <c r="CK30" s="91">
        <v>44382</v>
      </c>
      <c r="CL30" s="90" t="s">
        <v>341</v>
      </c>
      <c r="CM30" s="91">
        <v>44382</v>
      </c>
      <c r="CN30" s="96" t="s">
        <v>346</v>
      </c>
      <c r="CO30" s="91">
        <v>44382</v>
      </c>
      <c r="CP30" s="90"/>
      <c r="CQ30" s="90"/>
      <c r="CR30" s="90"/>
      <c r="CS30" s="90"/>
      <c r="CT30" s="91"/>
      <c r="CU30" s="90"/>
      <c r="CV30" s="97"/>
    </row>
    <row r="31" spans="1:100" ht="15" customHeight="1">
      <c r="A31" s="117" t="s">
        <v>1373</v>
      </c>
      <c r="B31" s="118">
        <v>44385</v>
      </c>
      <c r="C31" s="117" t="s">
        <v>1372</v>
      </c>
      <c r="D31" s="117" t="s">
        <v>358</v>
      </c>
      <c r="E31" s="119" t="s">
        <v>1125</v>
      </c>
      <c r="F31" s="117" t="s">
        <v>1126</v>
      </c>
      <c r="G31" s="117" t="s">
        <v>379</v>
      </c>
      <c r="H31" s="117"/>
      <c r="I31" s="117" t="s">
        <v>360</v>
      </c>
      <c r="J31" s="117" t="s">
        <v>1127</v>
      </c>
      <c r="K31" s="117" t="s">
        <v>336</v>
      </c>
      <c r="L31" s="117" t="s">
        <v>1374</v>
      </c>
      <c r="M31" s="119" t="s">
        <v>346</v>
      </c>
      <c r="N31" s="117" t="s">
        <v>1375</v>
      </c>
      <c r="O31" s="117" t="s">
        <v>1376</v>
      </c>
      <c r="P31" s="117" t="s">
        <v>1377</v>
      </c>
      <c r="Q31" s="118"/>
      <c r="R31" s="118"/>
      <c r="S31" s="117"/>
      <c r="T31" s="118"/>
      <c r="U31" s="120" t="s">
        <v>295</v>
      </c>
      <c r="V31" s="120" t="s">
        <v>295</v>
      </c>
      <c r="W31" s="121" t="s">
        <v>262</v>
      </c>
      <c r="X31" s="117"/>
      <c r="Y31" s="117"/>
      <c r="Z31" s="117"/>
      <c r="AA31" s="117" t="s">
        <v>3</v>
      </c>
      <c r="AB31" s="117" t="s">
        <v>1378</v>
      </c>
      <c r="AC31" s="118">
        <v>44386</v>
      </c>
      <c r="AD31" s="117" t="s">
        <v>349</v>
      </c>
      <c r="AE31" s="117" t="s">
        <v>1379</v>
      </c>
      <c r="AF31" s="90" t="s">
        <v>1103</v>
      </c>
      <c r="AG31" s="90" t="s">
        <v>0</v>
      </c>
      <c r="AH31" s="93" t="s">
        <v>972</v>
      </c>
      <c r="AI31" s="93" t="b">
        <v>0</v>
      </c>
      <c r="AJ31" s="93"/>
      <c r="AK31" s="93" t="b">
        <v>0</v>
      </c>
      <c r="AL31" s="93"/>
      <c r="AM31" s="93" t="b">
        <v>0</v>
      </c>
      <c r="AN31" s="93" t="b">
        <v>0</v>
      </c>
      <c r="AO31" s="93" t="b">
        <v>0</v>
      </c>
      <c r="AP31" s="93" t="b">
        <v>0</v>
      </c>
      <c r="AQ31" s="93" t="b">
        <v>0</v>
      </c>
      <c r="AR31" s="93" t="b">
        <v>0</v>
      </c>
      <c r="AS31" s="93" t="b">
        <v>0</v>
      </c>
      <c r="AT31" s="107" t="s">
        <v>1386</v>
      </c>
      <c r="AU31" s="94">
        <v>9830288</v>
      </c>
      <c r="AV31" s="90" t="s">
        <v>734</v>
      </c>
      <c r="AW31" s="108" t="s">
        <v>943</v>
      </c>
      <c r="AX31" s="91">
        <v>44509</v>
      </c>
      <c r="AY31" s="108" t="s">
        <v>1132</v>
      </c>
      <c r="AZ31" s="90" t="s">
        <v>24</v>
      </c>
      <c r="BA31" s="90" t="s">
        <v>191</v>
      </c>
      <c r="BB31" s="90" t="s">
        <v>336</v>
      </c>
      <c r="BC31" s="90" t="s">
        <v>1380</v>
      </c>
      <c r="BD31" s="90" t="s">
        <v>26</v>
      </c>
      <c r="BE31" s="90"/>
      <c r="BF31" s="90"/>
      <c r="BG31" s="91"/>
      <c r="BH31" s="93" t="b">
        <v>0</v>
      </c>
      <c r="BI31" s="90"/>
      <c r="BJ31" s="90"/>
      <c r="BK31" s="90" t="s">
        <v>1120</v>
      </c>
      <c r="BL31" s="90" t="s">
        <v>1381</v>
      </c>
      <c r="BM31" s="90" t="s">
        <v>849</v>
      </c>
      <c r="BN31" s="90" t="s">
        <v>1382</v>
      </c>
      <c r="BO31" s="90" t="s">
        <v>1383</v>
      </c>
      <c r="BP31" s="90" t="s">
        <v>1128</v>
      </c>
      <c r="BQ31" s="90" t="s">
        <v>1129</v>
      </c>
      <c r="BR31" s="95">
        <v>933.52840277777773</v>
      </c>
      <c r="BS31" s="90" t="s">
        <v>1384</v>
      </c>
      <c r="BT31" s="90" t="s">
        <v>1385</v>
      </c>
      <c r="BU31" s="90" t="s">
        <v>1370</v>
      </c>
      <c r="BV31" s="90" t="s">
        <v>1358</v>
      </c>
      <c r="BW31" s="90" t="s">
        <v>1359</v>
      </c>
      <c r="BX31" s="90" t="s">
        <v>1360</v>
      </c>
      <c r="BY31" s="90" t="s">
        <v>1361</v>
      </c>
      <c r="BZ31" s="90" t="s">
        <v>346</v>
      </c>
      <c r="CA31" s="90" t="s">
        <v>262</v>
      </c>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c r="A32" s="117" t="s">
        <v>1388</v>
      </c>
      <c r="B32" s="118">
        <v>44385</v>
      </c>
      <c r="C32" s="117" t="s">
        <v>1387</v>
      </c>
      <c r="D32" s="117" t="s">
        <v>358</v>
      </c>
      <c r="E32" s="119" t="s">
        <v>1125</v>
      </c>
      <c r="F32" s="117" t="s">
        <v>1126</v>
      </c>
      <c r="G32" s="117" t="s">
        <v>379</v>
      </c>
      <c r="H32" s="117"/>
      <c r="I32" s="117" t="s">
        <v>360</v>
      </c>
      <c r="J32" s="117" t="s">
        <v>1127</v>
      </c>
      <c r="K32" s="117" t="s">
        <v>402</v>
      </c>
      <c r="L32" s="117" t="s">
        <v>1348</v>
      </c>
      <c r="M32" s="119" t="s">
        <v>346</v>
      </c>
      <c r="N32" s="117" t="s">
        <v>1389</v>
      </c>
      <c r="O32" s="117" t="s">
        <v>1390</v>
      </c>
      <c r="P32" s="117" t="s">
        <v>1391</v>
      </c>
      <c r="Q32" s="118"/>
      <c r="R32" s="118"/>
      <c r="S32" s="117"/>
      <c r="T32" s="118"/>
      <c r="U32" s="120" t="s">
        <v>295</v>
      </c>
      <c r="V32" s="120" t="s">
        <v>295</v>
      </c>
      <c r="W32" s="121" t="s">
        <v>262</v>
      </c>
      <c r="X32" s="117"/>
      <c r="Y32" s="117"/>
      <c r="Z32" s="117"/>
      <c r="AA32" s="117" t="s">
        <v>1</v>
      </c>
      <c r="AB32" s="117" t="s">
        <v>1392</v>
      </c>
      <c r="AC32" s="118">
        <v>44386</v>
      </c>
      <c r="AD32" s="117" t="s">
        <v>349</v>
      </c>
      <c r="AE32" s="117" t="s">
        <v>1393</v>
      </c>
      <c r="AF32" s="90" t="s">
        <v>1103</v>
      </c>
      <c r="AG32" s="90" t="s">
        <v>0</v>
      </c>
      <c r="AH32" s="93" t="s">
        <v>972</v>
      </c>
      <c r="AI32" s="93" t="b">
        <v>0</v>
      </c>
      <c r="AJ32" s="93"/>
      <c r="AK32" s="93" t="b">
        <v>0</v>
      </c>
      <c r="AL32" s="93"/>
      <c r="AM32" s="93" t="b">
        <v>0</v>
      </c>
      <c r="AN32" s="93" t="b">
        <v>0</v>
      </c>
      <c r="AO32" s="93" t="b">
        <v>0</v>
      </c>
      <c r="AP32" s="93" t="b">
        <v>0</v>
      </c>
      <c r="AQ32" s="93" t="b">
        <v>0</v>
      </c>
      <c r="AR32" s="93" t="b">
        <v>0</v>
      </c>
      <c r="AS32" s="93" t="b">
        <v>0</v>
      </c>
      <c r="AT32" s="107" t="s">
        <v>1394</v>
      </c>
      <c r="AU32" s="94">
        <v>9830288</v>
      </c>
      <c r="AV32" s="90" t="s">
        <v>734</v>
      </c>
      <c r="AW32" s="108" t="s">
        <v>943</v>
      </c>
      <c r="AX32" s="91">
        <v>44509</v>
      </c>
      <c r="AY32" s="108" t="s">
        <v>1132</v>
      </c>
      <c r="AZ32" s="90"/>
      <c r="BA32" s="90"/>
      <c r="BB32" s="90" t="s">
        <v>402</v>
      </c>
      <c r="BC32" s="90"/>
      <c r="BD32" s="90" t="s">
        <v>756</v>
      </c>
      <c r="BE32" s="90"/>
      <c r="BF32" s="90"/>
      <c r="BG32" s="91"/>
      <c r="BH32" s="93" t="b">
        <v>0</v>
      </c>
      <c r="BI32" s="90"/>
      <c r="BJ32" s="90"/>
      <c r="BK32" s="90" t="s">
        <v>1120</v>
      </c>
      <c r="BL32" s="90" t="s">
        <v>1381</v>
      </c>
      <c r="BM32" s="90" t="s">
        <v>849</v>
      </c>
      <c r="BN32" s="90" t="s">
        <v>1382</v>
      </c>
      <c r="BO32" s="90" t="s">
        <v>1383</v>
      </c>
      <c r="BP32" s="90" t="s">
        <v>1128</v>
      </c>
      <c r="BQ32" s="90" t="s">
        <v>1129</v>
      </c>
      <c r="BR32" s="95">
        <v>933.52841435185189</v>
      </c>
      <c r="BS32" s="90" t="s">
        <v>1384</v>
      </c>
      <c r="BT32" s="90" t="s">
        <v>1385</v>
      </c>
      <c r="BU32" s="90" t="s">
        <v>1370</v>
      </c>
      <c r="BV32" s="90" t="s">
        <v>1358</v>
      </c>
      <c r="BW32" s="90" t="s">
        <v>1359</v>
      </c>
      <c r="BX32" s="90" t="s">
        <v>1360</v>
      </c>
      <c r="BY32" s="90" t="s">
        <v>1361</v>
      </c>
      <c r="BZ32" s="90" t="s">
        <v>346</v>
      </c>
      <c r="CA32" s="90" t="s">
        <v>262</v>
      </c>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c r="A33" s="117" t="s">
        <v>1396</v>
      </c>
      <c r="B33" s="118">
        <v>44346</v>
      </c>
      <c r="C33" s="117" t="s">
        <v>1395</v>
      </c>
      <c r="D33" s="117" t="s">
        <v>364</v>
      </c>
      <c r="E33" s="119" t="s">
        <v>1101</v>
      </c>
      <c r="F33" s="117" t="s">
        <v>1102</v>
      </c>
      <c r="G33" s="117" t="s">
        <v>389</v>
      </c>
      <c r="H33" s="117" t="s">
        <v>1336</v>
      </c>
      <c r="I33" s="117" t="s">
        <v>14</v>
      </c>
      <c r="J33" s="117" t="s">
        <v>1116</v>
      </c>
      <c r="K33" s="117" t="s">
        <v>98</v>
      </c>
      <c r="L33" s="117" t="s">
        <v>1337</v>
      </c>
      <c r="M33" s="119" t="s">
        <v>346</v>
      </c>
      <c r="N33" s="117" t="s">
        <v>1397</v>
      </c>
      <c r="O33" s="117" t="s">
        <v>1398</v>
      </c>
      <c r="P33" s="117" t="s">
        <v>1399</v>
      </c>
      <c r="Q33" s="118"/>
      <c r="R33" s="118">
        <v>44436</v>
      </c>
      <c r="S33" s="117" t="s">
        <v>1400</v>
      </c>
      <c r="T33" s="118"/>
      <c r="U33" s="120" t="s">
        <v>295</v>
      </c>
      <c r="V33" s="120" t="s">
        <v>295</v>
      </c>
      <c r="W33" s="121" t="s">
        <v>262</v>
      </c>
      <c r="X33" s="117" t="s">
        <v>1401</v>
      </c>
      <c r="Y33" s="117"/>
      <c r="Z33" s="117"/>
      <c r="AA33" s="117" t="s">
        <v>5</v>
      </c>
      <c r="AB33" s="117" t="s">
        <v>1402</v>
      </c>
      <c r="AC33" s="118">
        <v>44347</v>
      </c>
      <c r="AD33" s="117" t="s">
        <v>349</v>
      </c>
      <c r="AE33" s="117" t="s">
        <v>1180</v>
      </c>
      <c r="AF33" s="90" t="s">
        <v>1103</v>
      </c>
      <c r="AG33" s="90" t="s">
        <v>0</v>
      </c>
      <c r="AH33" s="93" t="s">
        <v>972</v>
      </c>
      <c r="AI33" s="93" t="b">
        <v>0</v>
      </c>
      <c r="AJ33" s="93"/>
      <c r="AK33" s="93" t="b">
        <v>0</v>
      </c>
      <c r="AL33" s="93"/>
      <c r="AM33" s="93" t="b">
        <v>0</v>
      </c>
      <c r="AN33" s="93" t="b">
        <v>0</v>
      </c>
      <c r="AO33" s="93" t="b">
        <v>0</v>
      </c>
      <c r="AP33" s="93" t="b">
        <v>0</v>
      </c>
      <c r="AQ33" s="93" t="b">
        <v>0</v>
      </c>
      <c r="AR33" s="93" t="b">
        <v>0</v>
      </c>
      <c r="AS33" s="93" t="b">
        <v>0</v>
      </c>
      <c r="AT33" s="107" t="s">
        <v>1403</v>
      </c>
      <c r="AU33" s="94">
        <v>9830288</v>
      </c>
      <c r="AV33" s="90" t="s">
        <v>734</v>
      </c>
      <c r="AW33" s="108" t="s">
        <v>943</v>
      </c>
      <c r="AX33" s="91">
        <v>44509</v>
      </c>
      <c r="AY33" s="108" t="s">
        <v>1132</v>
      </c>
      <c r="AZ33" s="90" t="s">
        <v>14</v>
      </c>
      <c r="BA33" s="90" t="s">
        <v>98</v>
      </c>
      <c r="BB33" s="90" t="s">
        <v>402</v>
      </c>
      <c r="BC33" s="90"/>
      <c r="BD33" s="90" t="s">
        <v>756</v>
      </c>
      <c r="BE33" s="90"/>
      <c r="BF33" s="90"/>
      <c r="BG33" s="91"/>
      <c r="BH33" s="93" t="b">
        <v>0</v>
      </c>
      <c r="BI33" s="90"/>
      <c r="BJ33" s="90"/>
      <c r="BK33" s="90" t="s">
        <v>1120</v>
      </c>
      <c r="BL33" s="90"/>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c r="A34" s="117" t="s">
        <v>1405</v>
      </c>
      <c r="B34" s="118">
        <v>44386</v>
      </c>
      <c r="C34" s="117" t="s">
        <v>1404</v>
      </c>
      <c r="D34" s="117" t="s">
        <v>364</v>
      </c>
      <c r="E34" s="119" t="s">
        <v>1101</v>
      </c>
      <c r="F34" s="117" t="s">
        <v>1102</v>
      </c>
      <c r="G34" s="117" t="s">
        <v>390</v>
      </c>
      <c r="H34" s="117" t="s">
        <v>1406</v>
      </c>
      <c r="I34" s="117" t="s">
        <v>12</v>
      </c>
      <c r="J34" s="117" t="s">
        <v>1118</v>
      </c>
      <c r="K34" s="117" t="s">
        <v>177</v>
      </c>
      <c r="L34" s="117" t="s">
        <v>1119</v>
      </c>
      <c r="M34" s="119" t="s">
        <v>346</v>
      </c>
      <c r="N34" s="117" t="s">
        <v>1407</v>
      </c>
      <c r="O34" s="117" t="s">
        <v>1408</v>
      </c>
      <c r="P34" s="117" t="s">
        <v>1409</v>
      </c>
      <c r="Q34" s="118">
        <v>44387</v>
      </c>
      <c r="R34" s="118">
        <v>44476</v>
      </c>
      <c r="S34" s="117" t="s">
        <v>1410</v>
      </c>
      <c r="T34" s="118">
        <v>44452</v>
      </c>
      <c r="U34" s="120" t="s">
        <v>295</v>
      </c>
      <c r="V34" s="120" t="s">
        <v>295</v>
      </c>
      <c r="W34" s="121" t="s">
        <v>262</v>
      </c>
      <c r="X34" s="117" t="s">
        <v>1411</v>
      </c>
      <c r="Y34" s="117"/>
      <c r="Z34" s="117"/>
      <c r="AA34" s="117" t="s">
        <v>167</v>
      </c>
      <c r="AB34" s="117" t="s">
        <v>1412</v>
      </c>
      <c r="AC34" s="118">
        <v>44452</v>
      </c>
      <c r="AD34" s="117" t="s">
        <v>349</v>
      </c>
      <c r="AE34" s="117" t="s">
        <v>1180</v>
      </c>
      <c r="AF34" s="90" t="s">
        <v>1103</v>
      </c>
      <c r="AG34" s="90" t="s">
        <v>0</v>
      </c>
      <c r="AH34" s="93" t="s">
        <v>972</v>
      </c>
      <c r="AI34" s="93" t="b">
        <v>0</v>
      </c>
      <c r="AJ34" s="93"/>
      <c r="AK34" s="93" t="b">
        <v>0</v>
      </c>
      <c r="AL34" s="93"/>
      <c r="AM34" s="93" t="b">
        <v>0</v>
      </c>
      <c r="AN34" s="93" t="b">
        <v>1</v>
      </c>
      <c r="AO34" s="93" t="b">
        <v>0</v>
      </c>
      <c r="AP34" s="93" t="b">
        <v>0</v>
      </c>
      <c r="AQ34" s="93" t="b">
        <v>0</v>
      </c>
      <c r="AR34" s="93" t="b">
        <v>0</v>
      </c>
      <c r="AS34" s="93" t="b">
        <v>0</v>
      </c>
      <c r="AT34" s="107" t="s">
        <v>1414</v>
      </c>
      <c r="AU34" s="94">
        <v>9830288</v>
      </c>
      <c r="AV34" s="90" t="s">
        <v>734</v>
      </c>
      <c r="AW34" s="108" t="s">
        <v>943</v>
      </c>
      <c r="AX34" s="91">
        <v>44509</v>
      </c>
      <c r="AY34" s="108" t="s">
        <v>1132</v>
      </c>
      <c r="AZ34" s="90" t="s">
        <v>12</v>
      </c>
      <c r="BA34" s="90" t="s">
        <v>177</v>
      </c>
      <c r="BB34" s="90" t="s">
        <v>43</v>
      </c>
      <c r="BC34" s="90"/>
      <c r="BD34" s="90" t="s">
        <v>756</v>
      </c>
      <c r="BE34" s="90"/>
      <c r="BF34" s="90"/>
      <c r="BG34" s="91"/>
      <c r="BH34" s="93" t="b">
        <v>0</v>
      </c>
      <c r="BI34" s="90" t="s">
        <v>1413</v>
      </c>
      <c r="BJ34" s="90"/>
      <c r="BK34" s="90" t="s">
        <v>1120</v>
      </c>
      <c r="BL34" s="90"/>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c r="A35" s="117" t="s">
        <v>1416</v>
      </c>
      <c r="B35" s="118">
        <v>44392</v>
      </c>
      <c r="C35" s="117" t="s">
        <v>1415</v>
      </c>
      <c r="D35" s="117" t="s">
        <v>364</v>
      </c>
      <c r="E35" s="119" t="s">
        <v>1101</v>
      </c>
      <c r="F35" s="117" t="s">
        <v>1102</v>
      </c>
      <c r="G35" s="117" t="s">
        <v>390</v>
      </c>
      <c r="H35" s="117" t="s">
        <v>1406</v>
      </c>
      <c r="I35" s="117" t="s">
        <v>14</v>
      </c>
      <c r="J35" s="117" t="s">
        <v>1116</v>
      </c>
      <c r="K35" s="117" t="s">
        <v>98</v>
      </c>
      <c r="L35" s="117" t="s">
        <v>1337</v>
      </c>
      <c r="M35" s="119" t="s">
        <v>341</v>
      </c>
      <c r="N35" s="117" t="s">
        <v>1417</v>
      </c>
      <c r="O35" s="117" t="s">
        <v>1418</v>
      </c>
      <c r="P35" s="117" t="s">
        <v>1419</v>
      </c>
      <c r="Q35" s="118">
        <v>44393</v>
      </c>
      <c r="R35" s="118">
        <v>44482</v>
      </c>
      <c r="S35" s="117" t="s">
        <v>499</v>
      </c>
      <c r="T35" s="118">
        <v>44393</v>
      </c>
      <c r="U35" s="120" t="s">
        <v>295</v>
      </c>
      <c r="V35" s="120" t="s">
        <v>1420</v>
      </c>
      <c r="W35" s="121" t="s">
        <v>262</v>
      </c>
      <c r="X35" s="117" t="s">
        <v>1421</v>
      </c>
      <c r="Y35" s="117"/>
      <c r="Z35" s="117"/>
      <c r="AA35" s="117" t="s">
        <v>5</v>
      </c>
      <c r="AB35" s="117" t="s">
        <v>1422</v>
      </c>
      <c r="AC35" s="118">
        <v>44392</v>
      </c>
      <c r="AD35" s="117" t="s">
        <v>349</v>
      </c>
      <c r="AE35" s="117" t="s">
        <v>1180</v>
      </c>
      <c r="AF35" s="90" t="s">
        <v>1103</v>
      </c>
      <c r="AG35" s="90" t="s">
        <v>0</v>
      </c>
      <c r="AH35" s="93" t="s">
        <v>972</v>
      </c>
      <c r="AI35" s="93" t="b">
        <v>1</v>
      </c>
      <c r="AJ35" s="93" t="s">
        <v>1420</v>
      </c>
      <c r="AK35" s="93" t="b">
        <v>0</v>
      </c>
      <c r="AL35" s="93"/>
      <c r="AM35" s="93" t="b">
        <v>0</v>
      </c>
      <c r="AN35" s="93" t="b">
        <v>0</v>
      </c>
      <c r="AO35" s="93" t="b">
        <v>0</v>
      </c>
      <c r="AP35" s="93" t="b">
        <v>0</v>
      </c>
      <c r="AQ35" s="93" t="b">
        <v>0</v>
      </c>
      <c r="AR35" s="93" t="b">
        <v>0</v>
      </c>
      <c r="AS35" s="93" t="b">
        <v>0</v>
      </c>
      <c r="AT35" s="107" t="s">
        <v>1423</v>
      </c>
      <c r="AU35" s="94">
        <v>9830288</v>
      </c>
      <c r="AV35" s="90" t="s">
        <v>734</v>
      </c>
      <c r="AW35" s="108" t="s">
        <v>943</v>
      </c>
      <c r="AX35" s="91">
        <v>44509</v>
      </c>
      <c r="AY35" s="108" t="s">
        <v>1132</v>
      </c>
      <c r="AZ35" s="90" t="s">
        <v>14</v>
      </c>
      <c r="BA35" s="90" t="s">
        <v>98</v>
      </c>
      <c r="BB35" s="90" t="s">
        <v>43</v>
      </c>
      <c r="BC35" s="90"/>
      <c r="BD35" s="90" t="s">
        <v>756</v>
      </c>
      <c r="BE35" s="90"/>
      <c r="BF35" s="90"/>
      <c r="BG35" s="91"/>
      <c r="BH35" s="93" t="b">
        <v>0</v>
      </c>
      <c r="BI35" s="90" t="s">
        <v>499</v>
      </c>
      <c r="BJ35" s="90"/>
      <c r="BK35" s="90" t="s">
        <v>1120</v>
      </c>
      <c r="BL35" s="90"/>
      <c r="BM35" s="90"/>
      <c r="BN35" s="90"/>
      <c r="BO35" s="90"/>
      <c r="BP35" s="90"/>
      <c r="BQ35" s="90"/>
      <c r="BR35" s="95"/>
      <c r="BS35" s="90"/>
      <c r="BT35" s="90"/>
      <c r="BU35" s="90"/>
      <c r="BV35" s="90"/>
      <c r="BW35" s="90"/>
      <c r="BX35" s="90"/>
      <c r="BY35" s="90"/>
      <c r="BZ35" s="90"/>
      <c r="CA35" s="90"/>
      <c r="CB35" s="90"/>
      <c r="CC35" s="91"/>
      <c r="CD35" s="90"/>
      <c r="CE35" s="91"/>
      <c r="CF35" s="90"/>
      <c r="CG35" s="91"/>
      <c r="CH35" s="90"/>
      <c r="CI35" s="91"/>
      <c r="CJ35" s="90"/>
      <c r="CK35" s="91"/>
      <c r="CL35" s="90"/>
      <c r="CM35" s="91"/>
      <c r="CN35" s="96"/>
      <c r="CO35" s="91"/>
      <c r="CP35" s="90"/>
      <c r="CQ35" s="90"/>
      <c r="CR35" s="90"/>
      <c r="CS35" s="90"/>
      <c r="CT35" s="91"/>
      <c r="CU35" s="90"/>
      <c r="CV35" s="97"/>
    </row>
    <row r="36" spans="1:100" ht="15" customHeight="1">
      <c r="A36" s="117" t="s">
        <v>1425</v>
      </c>
      <c r="B36" s="118">
        <v>44396</v>
      </c>
      <c r="C36" s="117" t="s">
        <v>1424</v>
      </c>
      <c r="D36" s="117" t="s">
        <v>364</v>
      </c>
      <c r="E36" s="119" t="s">
        <v>1101</v>
      </c>
      <c r="F36" s="117" t="s">
        <v>1102</v>
      </c>
      <c r="G36" s="117" t="s">
        <v>390</v>
      </c>
      <c r="H36" s="117" t="s">
        <v>1426</v>
      </c>
      <c r="I36" s="117" t="s">
        <v>17</v>
      </c>
      <c r="J36" s="117" t="s">
        <v>1117</v>
      </c>
      <c r="K36" s="117" t="s">
        <v>126</v>
      </c>
      <c r="L36" s="117" t="s">
        <v>1131</v>
      </c>
      <c r="M36" s="119" t="s">
        <v>346</v>
      </c>
      <c r="N36" s="117" t="s">
        <v>1427</v>
      </c>
      <c r="O36" s="117" t="s">
        <v>1428</v>
      </c>
      <c r="P36" s="117" t="s">
        <v>1429</v>
      </c>
      <c r="Q36" s="118">
        <v>44396</v>
      </c>
      <c r="R36" s="118">
        <v>44486</v>
      </c>
      <c r="S36" s="117" t="s">
        <v>1430</v>
      </c>
      <c r="T36" s="118">
        <v>44502</v>
      </c>
      <c r="U36" s="120" t="s">
        <v>295</v>
      </c>
      <c r="V36" s="120" t="s">
        <v>295</v>
      </c>
      <c r="W36" s="121" t="s">
        <v>262</v>
      </c>
      <c r="X36" s="117" t="s">
        <v>1431</v>
      </c>
      <c r="Y36" s="117"/>
      <c r="Z36" s="117"/>
      <c r="AA36" s="117" t="s">
        <v>1</v>
      </c>
      <c r="AB36" s="117" t="s">
        <v>1549</v>
      </c>
      <c r="AC36" s="118">
        <v>44502</v>
      </c>
      <c r="AD36" s="117" t="s">
        <v>349</v>
      </c>
      <c r="AE36" s="117" t="s">
        <v>1180</v>
      </c>
      <c r="AF36" s="90" t="s">
        <v>1103</v>
      </c>
      <c r="AG36" s="90" t="s">
        <v>0</v>
      </c>
      <c r="AH36" s="93" t="s">
        <v>972</v>
      </c>
      <c r="AI36" s="93" t="b">
        <v>0</v>
      </c>
      <c r="AJ36" s="93"/>
      <c r="AK36" s="93" t="b">
        <v>0</v>
      </c>
      <c r="AL36" s="93"/>
      <c r="AM36" s="93" t="b">
        <v>0</v>
      </c>
      <c r="AN36" s="93" t="b">
        <v>0</v>
      </c>
      <c r="AO36" s="93" t="b">
        <v>0</v>
      </c>
      <c r="AP36" s="93" t="b">
        <v>0</v>
      </c>
      <c r="AQ36" s="93" t="b">
        <v>0</v>
      </c>
      <c r="AR36" s="93" t="b">
        <v>0</v>
      </c>
      <c r="AS36" s="93" t="b">
        <v>0</v>
      </c>
      <c r="AT36" s="107" t="s">
        <v>1551</v>
      </c>
      <c r="AU36" s="94">
        <v>9830288</v>
      </c>
      <c r="AV36" s="90" t="s">
        <v>734</v>
      </c>
      <c r="AW36" s="108" t="s">
        <v>943</v>
      </c>
      <c r="AX36" s="91">
        <v>44509</v>
      </c>
      <c r="AY36" s="108" t="s">
        <v>1132</v>
      </c>
      <c r="AZ36" s="90" t="s">
        <v>17</v>
      </c>
      <c r="BA36" s="90" t="s">
        <v>126</v>
      </c>
      <c r="BB36" s="90" t="s">
        <v>43</v>
      </c>
      <c r="BC36" s="90"/>
      <c r="BD36" s="90" t="s">
        <v>756</v>
      </c>
      <c r="BE36" s="90"/>
      <c r="BF36" s="90" t="s">
        <v>574</v>
      </c>
      <c r="BG36" s="91">
        <v>44479</v>
      </c>
      <c r="BH36" s="93" t="b">
        <v>0</v>
      </c>
      <c r="BI36" s="90" t="s">
        <v>1432</v>
      </c>
      <c r="BJ36" s="90" t="s">
        <v>1550</v>
      </c>
      <c r="BK36" s="90" t="s">
        <v>1104</v>
      </c>
      <c r="BL36" s="90"/>
      <c r="BM36" s="90"/>
      <c r="BN36" s="90"/>
      <c r="BO36" s="90"/>
      <c r="BP36" s="90"/>
      <c r="BQ36" s="90"/>
      <c r="BR36" s="95"/>
      <c r="BS36" s="90"/>
      <c r="BT36" s="90"/>
      <c r="BU36" s="90"/>
      <c r="BV36" s="90"/>
      <c r="BW36" s="90"/>
      <c r="BX36" s="90"/>
      <c r="BY36" s="90"/>
      <c r="BZ36" s="90"/>
      <c r="CA36" s="90"/>
      <c r="CB36" s="90"/>
      <c r="CC36" s="91"/>
      <c r="CD36" s="90"/>
      <c r="CE36" s="91"/>
      <c r="CF36" s="90"/>
      <c r="CG36" s="91"/>
      <c r="CH36" s="90"/>
      <c r="CI36" s="91"/>
      <c r="CJ36" s="90"/>
      <c r="CK36" s="91"/>
      <c r="CL36" s="90"/>
      <c r="CM36" s="91"/>
      <c r="CN36" s="96"/>
      <c r="CO36" s="91"/>
      <c r="CP36" s="90"/>
      <c r="CQ36" s="90"/>
      <c r="CR36" s="90"/>
      <c r="CS36" s="90"/>
      <c r="CT36" s="91"/>
      <c r="CU36" s="90"/>
      <c r="CV36" s="97"/>
    </row>
    <row r="37" spans="1:100" ht="15" customHeight="1">
      <c r="A37" s="117" t="s">
        <v>1434</v>
      </c>
      <c r="B37" s="118">
        <v>44431</v>
      </c>
      <c r="C37" s="117" t="s">
        <v>1433</v>
      </c>
      <c r="D37" s="117" t="s">
        <v>364</v>
      </c>
      <c r="E37" s="119" t="s">
        <v>1101</v>
      </c>
      <c r="F37" s="117" t="s">
        <v>1102</v>
      </c>
      <c r="G37" s="117" t="s">
        <v>390</v>
      </c>
      <c r="H37" s="117" t="s">
        <v>1406</v>
      </c>
      <c r="I37" s="117" t="s">
        <v>17</v>
      </c>
      <c r="J37" s="117" t="s">
        <v>1117</v>
      </c>
      <c r="K37" s="117" t="s">
        <v>129</v>
      </c>
      <c r="L37" s="117" t="s">
        <v>1435</v>
      </c>
      <c r="M37" s="119" t="s">
        <v>346</v>
      </c>
      <c r="N37" s="117" t="s">
        <v>1436</v>
      </c>
      <c r="O37" s="117" t="s">
        <v>1437</v>
      </c>
      <c r="P37" s="117" t="s">
        <v>1438</v>
      </c>
      <c r="Q37" s="118">
        <v>44431</v>
      </c>
      <c r="R37" s="118">
        <v>44521</v>
      </c>
      <c r="S37" s="117" t="s">
        <v>1439</v>
      </c>
      <c r="T37" s="118">
        <v>44463</v>
      </c>
      <c r="U37" s="120" t="s">
        <v>295</v>
      </c>
      <c r="V37" s="120" t="s">
        <v>295</v>
      </c>
      <c r="W37" s="121" t="s">
        <v>262</v>
      </c>
      <c r="X37" s="117" t="s">
        <v>1440</v>
      </c>
      <c r="Y37" s="117"/>
      <c r="Z37" s="117"/>
      <c r="AA37" s="117" t="s">
        <v>1</v>
      </c>
      <c r="AB37" s="117" t="s">
        <v>1441</v>
      </c>
      <c r="AC37" s="118">
        <v>44468</v>
      </c>
      <c r="AD37" s="117" t="s">
        <v>349</v>
      </c>
      <c r="AE37" s="117" t="s">
        <v>1442</v>
      </c>
      <c r="AF37" s="90" t="s">
        <v>1103</v>
      </c>
      <c r="AG37" s="90" t="s">
        <v>0</v>
      </c>
      <c r="AH37" s="93" t="s">
        <v>972</v>
      </c>
      <c r="AI37" s="93" t="b">
        <v>0</v>
      </c>
      <c r="AJ37" s="93"/>
      <c r="AK37" s="93" t="b">
        <v>0</v>
      </c>
      <c r="AL37" s="93"/>
      <c r="AM37" s="93" t="b">
        <v>0</v>
      </c>
      <c r="AN37" s="93" t="b">
        <v>0</v>
      </c>
      <c r="AO37" s="93" t="b">
        <v>0</v>
      </c>
      <c r="AP37" s="93" t="b">
        <v>0</v>
      </c>
      <c r="AQ37" s="93" t="b">
        <v>0</v>
      </c>
      <c r="AR37" s="93" t="b">
        <v>0</v>
      </c>
      <c r="AS37" s="93" t="b">
        <v>0</v>
      </c>
      <c r="AT37" s="107" t="s">
        <v>1444</v>
      </c>
      <c r="AU37" s="94">
        <v>9830288</v>
      </c>
      <c r="AV37" s="90" t="s">
        <v>734</v>
      </c>
      <c r="AW37" s="108" t="s">
        <v>943</v>
      </c>
      <c r="AX37" s="91">
        <v>44509</v>
      </c>
      <c r="AY37" s="108" t="s">
        <v>1132</v>
      </c>
      <c r="AZ37" s="90" t="s">
        <v>17</v>
      </c>
      <c r="BA37" s="90" t="s">
        <v>129</v>
      </c>
      <c r="BB37" s="90" t="s">
        <v>43</v>
      </c>
      <c r="BC37" s="90"/>
      <c r="BD37" s="90" t="s">
        <v>756</v>
      </c>
      <c r="BE37" s="90"/>
      <c r="BF37" s="90"/>
      <c r="BG37" s="91"/>
      <c r="BH37" s="93" t="b">
        <v>0</v>
      </c>
      <c r="BI37" s="90" t="s">
        <v>1443</v>
      </c>
      <c r="BJ37" s="90"/>
      <c r="BK37" s="90" t="s">
        <v>1120</v>
      </c>
      <c r="BL37" s="90"/>
      <c r="BM37" s="90"/>
      <c r="BN37" s="90"/>
      <c r="BO37" s="90"/>
      <c r="BP37" s="90"/>
      <c r="BQ37" s="90"/>
      <c r="BR37" s="95"/>
      <c r="BS37" s="90"/>
      <c r="BT37" s="90"/>
      <c r="BU37" s="90"/>
      <c r="BV37" s="90"/>
      <c r="BW37" s="90"/>
      <c r="BX37" s="90"/>
      <c r="BY37" s="90"/>
      <c r="BZ37" s="90"/>
      <c r="CA37" s="90"/>
      <c r="CB37" s="90"/>
      <c r="CC37" s="91"/>
      <c r="CD37" s="90"/>
      <c r="CE37" s="91"/>
      <c r="CF37" s="90"/>
      <c r="CG37" s="91"/>
      <c r="CH37" s="90"/>
      <c r="CI37" s="91"/>
      <c r="CJ37" s="90"/>
      <c r="CK37" s="91"/>
      <c r="CL37" s="90"/>
      <c r="CM37" s="91"/>
      <c r="CN37" s="96"/>
      <c r="CO37" s="91"/>
      <c r="CP37" s="90"/>
      <c r="CQ37" s="90"/>
      <c r="CR37" s="90"/>
      <c r="CS37" s="90"/>
      <c r="CT37" s="91"/>
      <c r="CU37" s="90"/>
      <c r="CV37" s="97"/>
    </row>
    <row r="38" spans="1:100" ht="15" customHeight="1">
      <c r="A38" s="117" t="s">
        <v>1446</v>
      </c>
      <c r="B38" s="118">
        <v>44398</v>
      </c>
      <c r="C38" s="117" t="s">
        <v>1445</v>
      </c>
      <c r="D38" s="117" t="s">
        <v>364</v>
      </c>
      <c r="E38" s="119" t="s">
        <v>1101</v>
      </c>
      <c r="F38" s="117" t="s">
        <v>1102</v>
      </c>
      <c r="G38" s="117" t="s">
        <v>389</v>
      </c>
      <c r="H38" s="117" t="s">
        <v>1447</v>
      </c>
      <c r="I38" s="117" t="s">
        <v>13</v>
      </c>
      <c r="J38" s="117" t="s">
        <v>1105</v>
      </c>
      <c r="K38" s="117" t="s">
        <v>83</v>
      </c>
      <c r="L38" s="117" t="s">
        <v>1106</v>
      </c>
      <c r="M38" s="119" t="s">
        <v>346</v>
      </c>
      <c r="N38" s="117" t="s">
        <v>1448</v>
      </c>
      <c r="O38" s="117" t="s">
        <v>1449</v>
      </c>
      <c r="P38" s="117" t="s">
        <v>1450</v>
      </c>
      <c r="Q38" s="118">
        <v>44399</v>
      </c>
      <c r="R38" s="118">
        <v>44488</v>
      </c>
      <c r="S38" s="117" t="s">
        <v>1451</v>
      </c>
      <c r="T38" s="118">
        <v>44503</v>
      </c>
      <c r="U38" s="120" t="s">
        <v>295</v>
      </c>
      <c r="V38" s="120" t="s">
        <v>295</v>
      </c>
      <c r="W38" s="121" t="s">
        <v>262</v>
      </c>
      <c r="X38" s="117" t="s">
        <v>1452</v>
      </c>
      <c r="Y38" s="117"/>
      <c r="Z38" s="117"/>
      <c r="AA38" s="117" t="s">
        <v>2</v>
      </c>
      <c r="AB38" s="117" t="s">
        <v>1552</v>
      </c>
      <c r="AC38" s="118">
        <v>44503</v>
      </c>
      <c r="AD38" s="117" t="s">
        <v>349</v>
      </c>
      <c r="AE38" s="117" t="s">
        <v>1180</v>
      </c>
      <c r="AF38" s="90" t="s">
        <v>1103</v>
      </c>
      <c r="AG38" s="90" t="s">
        <v>0</v>
      </c>
      <c r="AH38" s="93" t="s">
        <v>972</v>
      </c>
      <c r="AI38" s="93" t="b">
        <v>0</v>
      </c>
      <c r="AJ38" s="93"/>
      <c r="AK38" s="93" t="b">
        <v>0</v>
      </c>
      <c r="AL38" s="93"/>
      <c r="AM38" s="93" t="b">
        <v>0</v>
      </c>
      <c r="AN38" s="93" t="b">
        <v>0</v>
      </c>
      <c r="AO38" s="93" t="b">
        <v>0</v>
      </c>
      <c r="AP38" s="93" t="b">
        <v>0</v>
      </c>
      <c r="AQ38" s="93" t="b">
        <v>0</v>
      </c>
      <c r="AR38" s="93" t="b">
        <v>0</v>
      </c>
      <c r="AS38" s="93" t="b">
        <v>0</v>
      </c>
      <c r="AT38" s="107" t="s">
        <v>1554</v>
      </c>
      <c r="AU38" s="94">
        <v>9830288</v>
      </c>
      <c r="AV38" s="90" t="s">
        <v>734</v>
      </c>
      <c r="AW38" s="108" t="s">
        <v>943</v>
      </c>
      <c r="AX38" s="91">
        <v>44509</v>
      </c>
      <c r="AY38" s="108" t="s">
        <v>1132</v>
      </c>
      <c r="AZ38" s="90" t="s">
        <v>13</v>
      </c>
      <c r="BA38" s="90" t="s">
        <v>83</v>
      </c>
      <c r="BB38" s="90" t="s">
        <v>43</v>
      </c>
      <c r="BC38" s="90"/>
      <c r="BD38" s="90" t="s">
        <v>756</v>
      </c>
      <c r="BE38" s="90"/>
      <c r="BF38" s="90" t="s">
        <v>574</v>
      </c>
      <c r="BG38" s="91">
        <v>44484</v>
      </c>
      <c r="BH38" s="93" t="b">
        <v>0</v>
      </c>
      <c r="BI38" s="90" t="s">
        <v>1443</v>
      </c>
      <c r="BJ38" s="90" t="s">
        <v>1553</v>
      </c>
      <c r="BK38" s="90" t="s">
        <v>1104</v>
      </c>
      <c r="BL38" s="90"/>
      <c r="BM38" s="90"/>
      <c r="BN38" s="90"/>
      <c r="BO38" s="90"/>
      <c r="BP38" s="90"/>
      <c r="BQ38" s="90"/>
      <c r="BR38" s="95"/>
      <c r="BS38" s="90"/>
      <c r="BT38" s="90"/>
      <c r="BU38" s="90"/>
      <c r="BV38" s="90"/>
      <c r="BW38" s="90"/>
      <c r="BX38" s="90"/>
      <c r="BY38" s="90"/>
      <c r="BZ38" s="90"/>
      <c r="CA38" s="90"/>
      <c r="CB38" s="90"/>
      <c r="CC38" s="91"/>
      <c r="CD38" s="90"/>
      <c r="CE38" s="91"/>
      <c r="CF38" s="90"/>
      <c r="CG38" s="91"/>
      <c r="CH38" s="90"/>
      <c r="CI38" s="91"/>
      <c r="CJ38" s="90"/>
      <c r="CK38" s="91"/>
      <c r="CL38" s="90"/>
      <c r="CM38" s="91"/>
      <c r="CN38" s="96"/>
      <c r="CO38" s="91"/>
      <c r="CP38" s="90"/>
      <c r="CQ38" s="90"/>
      <c r="CR38" s="90"/>
      <c r="CS38" s="90"/>
      <c r="CT38" s="91"/>
      <c r="CU38" s="90"/>
      <c r="CV38" s="97"/>
    </row>
    <row r="39" spans="1:100" ht="15" customHeight="1">
      <c r="A39" s="117" t="s">
        <v>1454</v>
      </c>
      <c r="B39" s="118">
        <v>44431</v>
      </c>
      <c r="C39" s="117" t="s">
        <v>1453</v>
      </c>
      <c r="D39" s="117" t="s">
        <v>364</v>
      </c>
      <c r="E39" s="119" t="s">
        <v>1101</v>
      </c>
      <c r="F39" s="117" t="s">
        <v>1102</v>
      </c>
      <c r="G39" s="117" t="s">
        <v>389</v>
      </c>
      <c r="H39" s="117" t="s">
        <v>1447</v>
      </c>
      <c r="I39" s="117" t="s">
        <v>10</v>
      </c>
      <c r="J39" s="117" t="s">
        <v>1112</v>
      </c>
      <c r="K39" s="117" t="s">
        <v>80</v>
      </c>
      <c r="L39" s="117" t="s">
        <v>1113</v>
      </c>
      <c r="M39" s="119" t="s">
        <v>346</v>
      </c>
      <c r="N39" s="117" t="s">
        <v>1455</v>
      </c>
      <c r="O39" s="117" t="s">
        <v>1456</v>
      </c>
      <c r="P39" s="117" t="s">
        <v>1457</v>
      </c>
      <c r="Q39" s="118">
        <v>44431</v>
      </c>
      <c r="R39" s="118">
        <v>44521</v>
      </c>
      <c r="S39" s="117" t="s">
        <v>1603</v>
      </c>
      <c r="T39" s="118">
        <v>44532</v>
      </c>
      <c r="U39" s="120" t="s">
        <v>295</v>
      </c>
      <c r="V39" s="120" t="s">
        <v>295</v>
      </c>
      <c r="W39" s="121" t="s">
        <v>262</v>
      </c>
      <c r="X39" s="117" t="s">
        <v>1555</v>
      </c>
      <c r="Y39" s="117"/>
      <c r="Z39" s="117"/>
      <c r="AA39" s="117" t="s">
        <v>1</v>
      </c>
      <c r="AB39" s="117" t="s">
        <v>1814</v>
      </c>
      <c r="AC39" s="118">
        <v>44532</v>
      </c>
      <c r="AD39" s="117" t="s">
        <v>349</v>
      </c>
      <c r="AE39" s="117" t="s">
        <v>1815</v>
      </c>
      <c r="AF39" s="90" t="s">
        <v>1103</v>
      </c>
      <c r="AG39" s="90" t="s">
        <v>0</v>
      </c>
      <c r="AH39" s="93" t="s">
        <v>972</v>
      </c>
      <c r="AI39" s="93" t="b">
        <v>0</v>
      </c>
      <c r="AJ39" s="93"/>
      <c r="AK39" s="93" t="b">
        <v>0</v>
      </c>
      <c r="AL39" s="93"/>
      <c r="AM39" s="93" t="b">
        <v>0</v>
      </c>
      <c r="AN39" s="93" t="b">
        <v>0</v>
      </c>
      <c r="AO39" s="93" t="b">
        <v>0</v>
      </c>
      <c r="AP39" s="93" t="b">
        <v>0</v>
      </c>
      <c r="AQ39" s="93" t="b">
        <v>0</v>
      </c>
      <c r="AR39" s="93" t="b">
        <v>0</v>
      </c>
      <c r="AS39" s="93" t="b">
        <v>0</v>
      </c>
      <c r="AT39" s="107" t="s">
        <v>1825</v>
      </c>
      <c r="AU39" s="94">
        <v>9830288</v>
      </c>
      <c r="AV39" s="90" t="s">
        <v>734</v>
      </c>
      <c r="AW39" s="108" t="s">
        <v>943</v>
      </c>
      <c r="AX39" s="91">
        <v>44618</v>
      </c>
      <c r="AY39" s="108" t="s">
        <v>1586</v>
      </c>
      <c r="AZ39" s="90" t="s">
        <v>10</v>
      </c>
      <c r="BA39" s="90" t="s">
        <v>80</v>
      </c>
      <c r="BB39" s="90" t="s">
        <v>41</v>
      </c>
      <c r="BC39" s="90"/>
      <c r="BD39" s="90" t="s">
        <v>757</v>
      </c>
      <c r="BE39" s="90"/>
      <c r="BF39" s="90" t="s">
        <v>575</v>
      </c>
      <c r="BG39" s="91">
        <v>44550</v>
      </c>
      <c r="BH39" s="93" t="b">
        <v>0</v>
      </c>
      <c r="BI39" s="90"/>
      <c r="BJ39" s="90" t="s">
        <v>1824</v>
      </c>
      <c r="BK39" s="90" t="s">
        <v>1104</v>
      </c>
      <c r="BL39" s="90"/>
      <c r="BM39" s="90"/>
      <c r="BN39" s="90"/>
      <c r="BO39" s="90"/>
      <c r="BP39" s="90"/>
      <c r="BQ39" s="90"/>
      <c r="BR39" s="95"/>
      <c r="BS39" s="90"/>
      <c r="BT39" s="90"/>
      <c r="BU39" s="90"/>
      <c r="BV39" s="90"/>
      <c r="BW39" s="90"/>
      <c r="BX39" s="90"/>
      <c r="BY39" s="90"/>
      <c r="BZ39" s="90"/>
      <c r="CA39" s="90"/>
      <c r="CB39" s="90"/>
      <c r="CC39" s="91"/>
      <c r="CD39" s="90"/>
      <c r="CE39" s="91"/>
      <c r="CF39" s="90"/>
      <c r="CG39" s="91"/>
      <c r="CH39" s="90"/>
      <c r="CI39" s="91"/>
      <c r="CJ39" s="90"/>
      <c r="CK39" s="91"/>
      <c r="CL39" s="90"/>
      <c r="CM39" s="91"/>
      <c r="CN39" s="96"/>
      <c r="CO39" s="91"/>
      <c r="CP39" s="90"/>
      <c r="CQ39" s="90"/>
      <c r="CR39" s="90"/>
      <c r="CS39" s="90"/>
      <c r="CT39" s="91"/>
      <c r="CU39" s="90"/>
      <c r="CV39" s="97"/>
    </row>
    <row r="40" spans="1:100" ht="15" customHeight="1">
      <c r="A40" s="117" t="s">
        <v>1459</v>
      </c>
      <c r="B40" s="118">
        <v>44434</v>
      </c>
      <c r="C40" s="117" t="s">
        <v>1458</v>
      </c>
      <c r="D40" s="117" t="s">
        <v>364</v>
      </c>
      <c r="E40" s="119" t="s">
        <v>1101</v>
      </c>
      <c r="F40" s="117" t="s">
        <v>1102</v>
      </c>
      <c r="G40" s="117" t="s">
        <v>389</v>
      </c>
      <c r="H40" s="117" t="s">
        <v>1447</v>
      </c>
      <c r="I40" s="117" t="s">
        <v>10</v>
      </c>
      <c r="J40" s="117" t="s">
        <v>1112</v>
      </c>
      <c r="K40" s="117" t="s">
        <v>80</v>
      </c>
      <c r="L40" s="117" t="s">
        <v>1113</v>
      </c>
      <c r="M40" s="119" t="s">
        <v>346</v>
      </c>
      <c r="N40" s="117" t="s">
        <v>1460</v>
      </c>
      <c r="O40" s="117" t="s">
        <v>1456</v>
      </c>
      <c r="P40" s="117" t="s">
        <v>1457</v>
      </c>
      <c r="Q40" s="118">
        <v>44431</v>
      </c>
      <c r="R40" s="118">
        <v>44524</v>
      </c>
      <c r="S40" s="117" t="s">
        <v>1602</v>
      </c>
      <c r="T40" s="118">
        <v>44519</v>
      </c>
      <c r="U40" s="120" t="s">
        <v>295</v>
      </c>
      <c r="V40" s="120" t="s">
        <v>295</v>
      </c>
      <c r="W40" s="121" t="s">
        <v>262</v>
      </c>
      <c r="X40" s="117" t="s">
        <v>1556</v>
      </c>
      <c r="Y40" s="117"/>
      <c r="Z40" s="117"/>
      <c r="AA40" s="117" t="s">
        <v>1</v>
      </c>
      <c r="AB40" s="117" t="s">
        <v>1812</v>
      </c>
      <c r="AC40" s="118">
        <v>44519</v>
      </c>
      <c r="AD40" s="117" t="s">
        <v>349</v>
      </c>
      <c r="AE40" s="117" t="s">
        <v>1252</v>
      </c>
      <c r="AF40" s="90" t="s">
        <v>1103</v>
      </c>
      <c r="AG40" s="90" t="s">
        <v>0</v>
      </c>
      <c r="AH40" s="93" t="s">
        <v>972</v>
      </c>
      <c r="AI40" s="93" t="b">
        <v>0</v>
      </c>
      <c r="AJ40" s="93"/>
      <c r="AK40" s="93" t="b">
        <v>0</v>
      </c>
      <c r="AL40" s="93"/>
      <c r="AM40" s="93" t="b">
        <v>0</v>
      </c>
      <c r="AN40" s="93" t="b">
        <v>0</v>
      </c>
      <c r="AO40" s="93" t="b">
        <v>0</v>
      </c>
      <c r="AP40" s="93" t="b">
        <v>0</v>
      </c>
      <c r="AQ40" s="93" t="b">
        <v>0</v>
      </c>
      <c r="AR40" s="93" t="b">
        <v>0</v>
      </c>
      <c r="AS40" s="93" t="b">
        <v>0</v>
      </c>
      <c r="AT40" s="107" t="s">
        <v>1813</v>
      </c>
      <c r="AU40" s="94">
        <v>9830288</v>
      </c>
      <c r="AV40" s="90" t="s">
        <v>734</v>
      </c>
      <c r="AW40" s="108" t="s">
        <v>943</v>
      </c>
      <c r="AX40" s="91">
        <v>44612</v>
      </c>
      <c r="AY40" s="108" t="s">
        <v>1586</v>
      </c>
      <c r="AZ40" s="90" t="s">
        <v>10</v>
      </c>
      <c r="BA40" s="90" t="s">
        <v>80</v>
      </c>
      <c r="BB40" s="90" t="s">
        <v>41</v>
      </c>
      <c r="BC40" s="90"/>
      <c r="BD40" s="90" t="s">
        <v>757</v>
      </c>
      <c r="BE40" s="90"/>
      <c r="BF40" s="90"/>
      <c r="BG40" s="91"/>
      <c r="BH40" s="93" t="b">
        <v>0</v>
      </c>
      <c r="BI40" s="90"/>
      <c r="BJ40" s="90"/>
      <c r="BK40" s="90" t="s">
        <v>1120</v>
      </c>
      <c r="BL40" s="90"/>
      <c r="BM40" s="90"/>
      <c r="BN40" s="90"/>
      <c r="BO40" s="90"/>
      <c r="BP40" s="90"/>
      <c r="BQ40" s="90"/>
      <c r="BR40" s="95"/>
      <c r="BS40" s="90"/>
      <c r="BT40" s="90"/>
      <c r="BU40" s="90"/>
      <c r="BV40" s="90"/>
      <c r="BW40" s="90"/>
      <c r="BX40" s="90"/>
      <c r="BY40" s="90"/>
      <c r="BZ40" s="90"/>
      <c r="CA40" s="90"/>
      <c r="CB40" s="90"/>
      <c r="CC40" s="91"/>
      <c r="CD40" s="90"/>
      <c r="CE40" s="91"/>
      <c r="CF40" s="90"/>
      <c r="CG40" s="91"/>
      <c r="CH40" s="90"/>
      <c r="CI40" s="91"/>
      <c r="CJ40" s="90"/>
      <c r="CK40" s="91"/>
      <c r="CL40" s="90"/>
      <c r="CM40" s="91"/>
      <c r="CN40" s="96"/>
      <c r="CO40" s="91"/>
      <c r="CP40" s="90"/>
      <c r="CQ40" s="90"/>
      <c r="CR40" s="90"/>
      <c r="CS40" s="90"/>
      <c r="CT40" s="91"/>
      <c r="CU40" s="90"/>
      <c r="CV40" s="97"/>
    </row>
    <row r="41" spans="1:100" ht="15" customHeight="1">
      <c r="A41" s="117" t="s">
        <v>1462</v>
      </c>
      <c r="B41" s="118">
        <v>44434</v>
      </c>
      <c r="C41" s="117" t="s">
        <v>1461</v>
      </c>
      <c r="D41" s="117" t="s">
        <v>364</v>
      </c>
      <c r="E41" s="119" t="s">
        <v>1101</v>
      </c>
      <c r="F41" s="117" t="s">
        <v>1102</v>
      </c>
      <c r="G41" s="117" t="s">
        <v>389</v>
      </c>
      <c r="H41" s="117" t="s">
        <v>1447</v>
      </c>
      <c r="I41" s="117" t="s">
        <v>13</v>
      </c>
      <c r="J41" s="117" t="s">
        <v>1105</v>
      </c>
      <c r="K41" s="117" t="s">
        <v>83</v>
      </c>
      <c r="L41" s="117" t="s">
        <v>1106</v>
      </c>
      <c r="M41" s="119" t="s">
        <v>346</v>
      </c>
      <c r="N41" s="117" t="s">
        <v>1463</v>
      </c>
      <c r="O41" s="117" t="s">
        <v>1464</v>
      </c>
      <c r="P41" s="117" t="s">
        <v>1465</v>
      </c>
      <c r="Q41" s="118">
        <v>44431</v>
      </c>
      <c r="R41" s="118">
        <v>44524</v>
      </c>
      <c r="S41" s="117" t="s">
        <v>1601</v>
      </c>
      <c r="T41" s="118">
        <v>44522</v>
      </c>
      <c r="U41" s="120" t="s">
        <v>295</v>
      </c>
      <c r="V41" s="120" t="s">
        <v>295</v>
      </c>
      <c r="W41" s="121" t="s">
        <v>262</v>
      </c>
      <c r="X41" s="117" t="s">
        <v>1556</v>
      </c>
      <c r="Y41" s="117"/>
      <c r="Z41" s="117"/>
      <c r="AA41" s="117" t="s">
        <v>1</v>
      </c>
      <c r="AB41" s="117" t="s">
        <v>1810</v>
      </c>
      <c r="AC41" s="118">
        <v>44522</v>
      </c>
      <c r="AD41" s="117" t="s">
        <v>349</v>
      </c>
      <c r="AE41" s="117" t="s">
        <v>1252</v>
      </c>
      <c r="AF41" s="90" t="s">
        <v>1103</v>
      </c>
      <c r="AG41" s="90" t="s">
        <v>0</v>
      </c>
      <c r="AH41" s="93" t="s">
        <v>972</v>
      </c>
      <c r="AI41" s="93" t="b">
        <v>0</v>
      </c>
      <c r="AJ41" s="93"/>
      <c r="AK41" s="93" t="b">
        <v>0</v>
      </c>
      <c r="AL41" s="93"/>
      <c r="AM41" s="93" t="b">
        <v>0</v>
      </c>
      <c r="AN41" s="93" t="b">
        <v>0</v>
      </c>
      <c r="AO41" s="93" t="b">
        <v>0</v>
      </c>
      <c r="AP41" s="93" t="b">
        <v>0</v>
      </c>
      <c r="AQ41" s="93" t="b">
        <v>0</v>
      </c>
      <c r="AR41" s="93" t="b">
        <v>0</v>
      </c>
      <c r="AS41" s="93" t="b">
        <v>0</v>
      </c>
      <c r="AT41" s="107" t="s">
        <v>1811</v>
      </c>
      <c r="AU41" s="94">
        <v>9830288</v>
      </c>
      <c r="AV41" s="90" t="s">
        <v>734</v>
      </c>
      <c r="AW41" s="108" t="s">
        <v>943</v>
      </c>
      <c r="AX41" s="91">
        <v>44612</v>
      </c>
      <c r="AY41" s="108" t="s">
        <v>1586</v>
      </c>
      <c r="AZ41" s="90" t="s">
        <v>13</v>
      </c>
      <c r="BA41" s="90" t="s">
        <v>83</v>
      </c>
      <c r="BB41" s="90" t="s">
        <v>52</v>
      </c>
      <c r="BC41" s="90"/>
      <c r="BD41" s="90" t="s">
        <v>757</v>
      </c>
      <c r="BE41" s="90"/>
      <c r="BF41" s="90"/>
      <c r="BG41" s="91"/>
      <c r="BH41" s="93" t="b">
        <v>0</v>
      </c>
      <c r="BI41" s="90"/>
      <c r="BJ41" s="90"/>
      <c r="BK41" s="90" t="s">
        <v>1120</v>
      </c>
      <c r="BL41" s="90"/>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c r="A42" s="117" t="s">
        <v>1467</v>
      </c>
      <c r="B42" s="118">
        <v>44434</v>
      </c>
      <c r="C42" s="117" t="s">
        <v>1466</v>
      </c>
      <c r="D42" s="117" t="s">
        <v>364</v>
      </c>
      <c r="E42" s="119" t="s">
        <v>1101</v>
      </c>
      <c r="F42" s="117" t="s">
        <v>1102</v>
      </c>
      <c r="G42" s="117" t="s">
        <v>389</v>
      </c>
      <c r="H42" s="117" t="s">
        <v>1447</v>
      </c>
      <c r="I42" s="117" t="s">
        <v>13</v>
      </c>
      <c r="J42" s="117" t="s">
        <v>1105</v>
      </c>
      <c r="K42" s="117" t="s">
        <v>83</v>
      </c>
      <c r="L42" s="117" t="s">
        <v>1106</v>
      </c>
      <c r="M42" s="119" t="s">
        <v>346</v>
      </c>
      <c r="N42" s="117" t="s">
        <v>1468</v>
      </c>
      <c r="O42" s="117" t="s">
        <v>1464</v>
      </c>
      <c r="P42" s="117" t="s">
        <v>1465</v>
      </c>
      <c r="Q42" s="118">
        <v>44431</v>
      </c>
      <c r="R42" s="118">
        <v>44524</v>
      </c>
      <c r="S42" s="117" t="s">
        <v>1601</v>
      </c>
      <c r="T42" s="118">
        <v>44522</v>
      </c>
      <c r="U42" s="120" t="s">
        <v>295</v>
      </c>
      <c r="V42" s="120" t="s">
        <v>295</v>
      </c>
      <c r="W42" s="121" t="s">
        <v>262</v>
      </c>
      <c r="X42" s="117" t="s">
        <v>1557</v>
      </c>
      <c r="Y42" s="117"/>
      <c r="Z42" s="117"/>
      <c r="AA42" s="117" t="s">
        <v>1</v>
      </c>
      <c r="AB42" s="117" t="s">
        <v>1242</v>
      </c>
      <c r="AC42" s="118">
        <v>44522</v>
      </c>
      <c r="AD42" s="117" t="s">
        <v>349</v>
      </c>
      <c r="AE42" s="117" t="s">
        <v>1252</v>
      </c>
      <c r="AF42" s="90" t="s">
        <v>1103</v>
      </c>
      <c r="AG42" s="90" t="s">
        <v>0</v>
      </c>
      <c r="AH42" s="93" t="s">
        <v>972</v>
      </c>
      <c r="AI42" s="93" t="b">
        <v>0</v>
      </c>
      <c r="AJ42" s="93"/>
      <c r="AK42" s="93" t="b">
        <v>0</v>
      </c>
      <c r="AL42" s="93"/>
      <c r="AM42" s="93" t="b">
        <v>0</v>
      </c>
      <c r="AN42" s="93" t="b">
        <v>0</v>
      </c>
      <c r="AO42" s="93" t="b">
        <v>0</v>
      </c>
      <c r="AP42" s="93" t="b">
        <v>0</v>
      </c>
      <c r="AQ42" s="93" t="b">
        <v>0</v>
      </c>
      <c r="AR42" s="93" t="b">
        <v>0</v>
      </c>
      <c r="AS42" s="93" t="b">
        <v>0</v>
      </c>
      <c r="AT42" s="107" t="s">
        <v>1809</v>
      </c>
      <c r="AU42" s="94">
        <v>9830288</v>
      </c>
      <c r="AV42" s="90" t="s">
        <v>734</v>
      </c>
      <c r="AW42" s="108" t="s">
        <v>943</v>
      </c>
      <c r="AX42" s="91">
        <v>44612</v>
      </c>
      <c r="AY42" s="108" t="s">
        <v>1586</v>
      </c>
      <c r="AZ42" s="90" t="s">
        <v>13</v>
      </c>
      <c r="BA42" s="90" t="s">
        <v>83</v>
      </c>
      <c r="BB42" s="90" t="s">
        <v>52</v>
      </c>
      <c r="BC42" s="90"/>
      <c r="BD42" s="90" t="s">
        <v>757</v>
      </c>
      <c r="BE42" s="90"/>
      <c r="BF42" s="90"/>
      <c r="BG42" s="91"/>
      <c r="BH42" s="93" t="b">
        <v>0</v>
      </c>
      <c r="BI42" s="90"/>
      <c r="BJ42" s="90"/>
      <c r="BK42" s="90" t="s">
        <v>1120</v>
      </c>
      <c r="BL42" s="90"/>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c r="A43" s="117" t="s">
        <v>1470</v>
      </c>
      <c r="B43" s="118">
        <v>44454</v>
      </c>
      <c r="C43" s="117" t="s">
        <v>1469</v>
      </c>
      <c r="D43" s="117" t="s">
        <v>364</v>
      </c>
      <c r="E43" s="119" t="s">
        <v>1101</v>
      </c>
      <c r="F43" s="117" t="s">
        <v>1102</v>
      </c>
      <c r="G43" s="117" t="s">
        <v>389</v>
      </c>
      <c r="H43" s="117" t="s">
        <v>1447</v>
      </c>
      <c r="I43" s="117" t="s">
        <v>11</v>
      </c>
      <c r="J43" s="117" t="s">
        <v>1114</v>
      </c>
      <c r="K43" s="117" t="s">
        <v>81</v>
      </c>
      <c r="L43" s="117" t="s">
        <v>1115</v>
      </c>
      <c r="M43" s="119" t="s">
        <v>346</v>
      </c>
      <c r="N43" s="117" t="s">
        <v>1471</v>
      </c>
      <c r="O43" s="117" t="s">
        <v>1472</v>
      </c>
      <c r="P43" s="117" t="s">
        <v>1473</v>
      </c>
      <c r="Q43" s="118">
        <v>44314</v>
      </c>
      <c r="R43" s="118">
        <v>44544</v>
      </c>
      <c r="S43" s="117" t="s">
        <v>1604</v>
      </c>
      <c r="T43" s="118">
        <v>44538</v>
      </c>
      <c r="U43" s="120" t="s">
        <v>295</v>
      </c>
      <c r="V43" s="120" t="s">
        <v>295</v>
      </c>
      <c r="W43" s="121" t="s">
        <v>262</v>
      </c>
      <c r="X43" s="117" t="s">
        <v>1572</v>
      </c>
      <c r="Y43" s="117"/>
      <c r="Z43" s="117"/>
      <c r="AA43" s="117" t="s">
        <v>4</v>
      </c>
      <c r="AB43" s="117" t="s">
        <v>1242</v>
      </c>
      <c r="AC43" s="118">
        <v>44538</v>
      </c>
      <c r="AD43" s="117" t="s">
        <v>349</v>
      </c>
      <c r="AE43" s="117"/>
      <c r="AF43" s="90" t="s">
        <v>1103</v>
      </c>
      <c r="AG43" s="90" t="s">
        <v>0</v>
      </c>
      <c r="AH43" s="93" t="s">
        <v>972</v>
      </c>
      <c r="AI43" s="93" t="b">
        <v>0</v>
      </c>
      <c r="AJ43" s="93"/>
      <c r="AK43" s="93" t="b">
        <v>0</v>
      </c>
      <c r="AL43" s="93"/>
      <c r="AM43" s="93" t="b">
        <v>0</v>
      </c>
      <c r="AN43" s="93" t="b">
        <v>0</v>
      </c>
      <c r="AO43" s="93" t="b">
        <v>0</v>
      </c>
      <c r="AP43" s="93" t="b">
        <v>0</v>
      </c>
      <c r="AQ43" s="93" t="b">
        <v>0</v>
      </c>
      <c r="AR43" s="93" t="b">
        <v>0</v>
      </c>
      <c r="AS43" s="93" t="b">
        <v>0</v>
      </c>
      <c r="AT43" s="107" t="s">
        <v>1808</v>
      </c>
      <c r="AU43" s="94">
        <v>9830288</v>
      </c>
      <c r="AV43" s="90" t="s">
        <v>734</v>
      </c>
      <c r="AW43" s="108" t="s">
        <v>943</v>
      </c>
      <c r="AX43" s="91">
        <v>44612</v>
      </c>
      <c r="AY43" s="108" t="s">
        <v>1586</v>
      </c>
      <c r="AZ43" s="90" t="s">
        <v>11</v>
      </c>
      <c r="BA43" s="90" t="s">
        <v>81</v>
      </c>
      <c r="BB43" s="90" t="s">
        <v>35</v>
      </c>
      <c r="BC43" s="90"/>
      <c r="BD43" s="90" t="s">
        <v>28</v>
      </c>
      <c r="BE43" s="90"/>
      <c r="BF43" s="90"/>
      <c r="BG43" s="91"/>
      <c r="BH43" s="93" t="b">
        <v>0</v>
      </c>
      <c r="BI43" s="90" t="s">
        <v>1600</v>
      </c>
      <c r="BJ43" s="90"/>
      <c r="BK43" s="90" t="s">
        <v>1120</v>
      </c>
      <c r="BL43" s="90"/>
      <c r="BM43" s="90"/>
      <c r="BN43" s="90"/>
      <c r="BO43" s="90"/>
      <c r="BP43" s="90"/>
      <c r="BQ43" s="90"/>
      <c r="BR43" s="95"/>
      <c r="BS43" s="90"/>
      <c r="BT43" s="90"/>
      <c r="BU43" s="90"/>
      <c r="BV43" s="90"/>
      <c r="BW43" s="90"/>
      <c r="BX43" s="90"/>
      <c r="BY43" s="90"/>
      <c r="BZ43" s="90"/>
      <c r="CA43" s="90"/>
      <c r="CB43" s="90"/>
      <c r="CC43" s="91"/>
      <c r="CD43" s="90"/>
      <c r="CE43" s="91"/>
      <c r="CF43" s="90"/>
      <c r="CG43" s="91"/>
      <c r="CH43" s="90"/>
      <c r="CI43" s="91"/>
      <c r="CJ43" s="90"/>
      <c r="CK43" s="91"/>
      <c r="CL43" s="90"/>
      <c r="CM43" s="91"/>
      <c r="CN43" s="96"/>
      <c r="CO43" s="91"/>
      <c r="CP43" s="90"/>
      <c r="CQ43" s="90"/>
      <c r="CR43" s="90"/>
      <c r="CS43" s="90"/>
      <c r="CT43" s="91"/>
      <c r="CU43" s="90"/>
      <c r="CV43" s="97"/>
    </row>
    <row r="44" spans="1:100" ht="15" customHeight="1">
      <c r="A44" s="117" t="s">
        <v>1475</v>
      </c>
      <c r="B44" s="118">
        <v>44456</v>
      </c>
      <c r="C44" s="117" t="s">
        <v>1474</v>
      </c>
      <c r="D44" s="117" t="s">
        <v>364</v>
      </c>
      <c r="E44" s="119" t="s">
        <v>1101</v>
      </c>
      <c r="F44" s="117" t="s">
        <v>1102</v>
      </c>
      <c r="G44" s="117" t="s">
        <v>390</v>
      </c>
      <c r="H44" s="117" t="s">
        <v>1406</v>
      </c>
      <c r="I44" s="117" t="s">
        <v>582</v>
      </c>
      <c r="J44" s="117" t="s">
        <v>1110</v>
      </c>
      <c r="K44" s="117" t="s">
        <v>65</v>
      </c>
      <c r="L44" s="117" t="s">
        <v>1124</v>
      </c>
      <c r="M44" s="119" t="s">
        <v>346</v>
      </c>
      <c r="N44" s="117" t="s">
        <v>1476</v>
      </c>
      <c r="O44" s="117" t="s">
        <v>1477</v>
      </c>
      <c r="P44" s="117" t="s">
        <v>1478</v>
      </c>
      <c r="Q44" s="118">
        <v>44459</v>
      </c>
      <c r="R44" s="118">
        <v>44546</v>
      </c>
      <c r="S44" s="117" t="s">
        <v>1479</v>
      </c>
      <c r="T44" s="118">
        <v>44462</v>
      </c>
      <c r="U44" s="120" t="s">
        <v>295</v>
      </c>
      <c r="V44" s="120" t="s">
        <v>295</v>
      </c>
      <c r="W44" s="121" t="s">
        <v>262</v>
      </c>
      <c r="X44" s="117" t="s">
        <v>1480</v>
      </c>
      <c r="Y44" s="117"/>
      <c r="Z44" s="117"/>
      <c r="AA44" s="117" t="s">
        <v>167</v>
      </c>
      <c r="AB44" s="117" t="s">
        <v>1481</v>
      </c>
      <c r="AC44" s="118">
        <v>44468</v>
      </c>
      <c r="AD44" s="117" t="s">
        <v>349</v>
      </c>
      <c r="AE44" s="117" t="s">
        <v>1180</v>
      </c>
      <c r="AF44" s="90" t="s">
        <v>1103</v>
      </c>
      <c r="AG44" s="90" t="s">
        <v>0</v>
      </c>
      <c r="AH44" s="93" t="s">
        <v>972</v>
      </c>
      <c r="AI44" s="93" t="b">
        <v>0</v>
      </c>
      <c r="AJ44" s="93"/>
      <c r="AK44" s="93" t="b">
        <v>0</v>
      </c>
      <c r="AL44" s="93"/>
      <c r="AM44" s="93" t="b">
        <v>0</v>
      </c>
      <c r="AN44" s="93" t="b">
        <v>0</v>
      </c>
      <c r="AO44" s="93" t="b">
        <v>0</v>
      </c>
      <c r="AP44" s="93" t="b">
        <v>0</v>
      </c>
      <c r="AQ44" s="93" t="b">
        <v>0</v>
      </c>
      <c r="AR44" s="93" t="b">
        <v>0</v>
      </c>
      <c r="AS44" s="93" t="b">
        <v>0</v>
      </c>
      <c r="AT44" s="107" t="s">
        <v>1482</v>
      </c>
      <c r="AU44" s="94">
        <v>9830288</v>
      </c>
      <c r="AV44" s="90" t="s">
        <v>734</v>
      </c>
      <c r="AW44" s="108" t="s">
        <v>943</v>
      </c>
      <c r="AX44" s="91">
        <v>44509</v>
      </c>
      <c r="AY44" s="108" t="s">
        <v>1132</v>
      </c>
      <c r="AZ44" s="90" t="s">
        <v>582</v>
      </c>
      <c r="BA44" s="90" t="s">
        <v>65</v>
      </c>
      <c r="BB44" s="90" t="s">
        <v>40</v>
      </c>
      <c r="BC44" s="90"/>
      <c r="BD44" s="90" t="s">
        <v>30</v>
      </c>
      <c r="BE44" s="90"/>
      <c r="BF44" s="90"/>
      <c r="BG44" s="91"/>
      <c r="BH44" s="93" t="b">
        <v>0</v>
      </c>
      <c r="BI44" s="90" t="s">
        <v>499</v>
      </c>
      <c r="BJ44" s="90"/>
      <c r="BK44" s="90" t="s">
        <v>1120</v>
      </c>
      <c r="BL44" s="90"/>
      <c r="BM44" s="90"/>
      <c r="BN44" s="90"/>
      <c r="BO44" s="90"/>
      <c r="BP44" s="90"/>
      <c r="BQ44" s="90"/>
      <c r="BR44" s="95"/>
      <c r="BS44" s="90"/>
      <c r="BT44" s="90"/>
      <c r="BU44" s="90"/>
      <c r="BV44" s="90"/>
      <c r="BW44" s="90"/>
      <c r="BX44" s="90"/>
      <c r="BY44" s="90"/>
      <c r="BZ44" s="90"/>
      <c r="CA44" s="90"/>
      <c r="CB44" s="90"/>
      <c r="CC44" s="91"/>
      <c r="CD44" s="90"/>
      <c r="CE44" s="91"/>
      <c r="CF44" s="90"/>
      <c r="CG44" s="91"/>
      <c r="CH44" s="90"/>
      <c r="CI44" s="91"/>
      <c r="CJ44" s="90"/>
      <c r="CK44" s="91"/>
      <c r="CL44" s="90"/>
      <c r="CM44" s="91"/>
      <c r="CN44" s="96"/>
      <c r="CO44" s="91"/>
      <c r="CP44" s="90"/>
      <c r="CQ44" s="90"/>
      <c r="CR44" s="90"/>
      <c r="CS44" s="90"/>
      <c r="CT44" s="91"/>
      <c r="CU44" s="90"/>
      <c r="CV44" s="97"/>
    </row>
    <row r="45" spans="1:100" ht="15" customHeight="1">
      <c r="A45" s="117" t="s">
        <v>1484</v>
      </c>
      <c r="B45" s="118">
        <v>44471</v>
      </c>
      <c r="C45" s="117" t="s">
        <v>1483</v>
      </c>
      <c r="D45" s="117" t="s">
        <v>364</v>
      </c>
      <c r="E45" s="119" t="s">
        <v>1101</v>
      </c>
      <c r="F45" s="117" t="s">
        <v>1102</v>
      </c>
      <c r="G45" s="117" t="s">
        <v>390</v>
      </c>
      <c r="H45" s="117" t="s">
        <v>1406</v>
      </c>
      <c r="I45" s="117" t="s">
        <v>19</v>
      </c>
      <c r="J45" s="117" t="s">
        <v>1123</v>
      </c>
      <c r="K45" s="117" t="s">
        <v>189</v>
      </c>
      <c r="L45" s="117" t="s">
        <v>1485</v>
      </c>
      <c r="M45" s="119" t="s">
        <v>346</v>
      </c>
      <c r="N45" s="117" t="s">
        <v>1486</v>
      </c>
      <c r="O45" s="117" t="s">
        <v>1487</v>
      </c>
      <c r="P45" s="117" t="s">
        <v>1488</v>
      </c>
      <c r="Q45" s="118">
        <v>44467</v>
      </c>
      <c r="R45" s="118">
        <v>44558</v>
      </c>
      <c r="S45" s="117" t="s">
        <v>1805</v>
      </c>
      <c r="T45" s="118">
        <v>44540</v>
      </c>
      <c r="U45" s="120" t="s">
        <v>295</v>
      </c>
      <c r="V45" s="120" t="s">
        <v>295</v>
      </c>
      <c r="W45" s="121" t="s">
        <v>262</v>
      </c>
      <c r="X45" s="117" t="s">
        <v>1558</v>
      </c>
      <c r="Y45" s="117"/>
      <c r="Z45" s="117"/>
      <c r="AA45" s="117" t="s">
        <v>4</v>
      </c>
      <c r="AB45" s="117" t="s">
        <v>1806</v>
      </c>
      <c r="AC45" s="118">
        <v>44542</v>
      </c>
      <c r="AD45" s="117" t="s">
        <v>349</v>
      </c>
      <c r="AE45" s="117" t="s">
        <v>1252</v>
      </c>
      <c r="AF45" s="90" t="s">
        <v>1103</v>
      </c>
      <c r="AG45" s="90" t="s">
        <v>0</v>
      </c>
      <c r="AH45" s="93" t="s">
        <v>972</v>
      </c>
      <c r="AI45" s="93" t="b">
        <v>0</v>
      </c>
      <c r="AJ45" s="93"/>
      <c r="AK45" s="93" t="b">
        <v>0</v>
      </c>
      <c r="AL45" s="93"/>
      <c r="AM45" s="93" t="b">
        <v>0</v>
      </c>
      <c r="AN45" s="93" t="b">
        <v>0</v>
      </c>
      <c r="AO45" s="93" t="b">
        <v>0</v>
      </c>
      <c r="AP45" s="93" t="b">
        <v>0</v>
      </c>
      <c r="AQ45" s="93" t="b">
        <v>0</v>
      </c>
      <c r="AR45" s="93" t="b">
        <v>0</v>
      </c>
      <c r="AS45" s="93" t="b">
        <v>0</v>
      </c>
      <c r="AT45" s="107" t="s">
        <v>1807</v>
      </c>
      <c r="AU45" s="94">
        <v>9830288</v>
      </c>
      <c r="AV45" s="90" t="s">
        <v>734</v>
      </c>
      <c r="AW45" s="108" t="s">
        <v>943</v>
      </c>
      <c r="AX45" s="91">
        <v>44612</v>
      </c>
      <c r="AY45" s="108" t="s">
        <v>1586</v>
      </c>
      <c r="AZ45" s="90" t="s">
        <v>19</v>
      </c>
      <c r="BA45" s="90" t="s">
        <v>189</v>
      </c>
      <c r="BB45" s="90" t="s">
        <v>43</v>
      </c>
      <c r="BC45" s="90"/>
      <c r="BD45" s="90" t="s">
        <v>756</v>
      </c>
      <c r="BE45" s="90"/>
      <c r="BF45" s="90"/>
      <c r="BG45" s="91"/>
      <c r="BH45" s="93" t="b">
        <v>0</v>
      </c>
      <c r="BI45" s="90" t="s">
        <v>1489</v>
      </c>
      <c r="BJ45" s="90"/>
      <c r="BK45" s="90" t="s">
        <v>1120</v>
      </c>
      <c r="BL45" s="90"/>
      <c r="BM45" s="90"/>
      <c r="BN45" s="90"/>
      <c r="BO45" s="90"/>
      <c r="BP45" s="90"/>
      <c r="BQ45" s="90"/>
      <c r="BR45" s="95"/>
      <c r="BS45" s="90"/>
      <c r="BT45" s="90"/>
      <c r="BU45" s="90"/>
      <c r="BV45" s="90"/>
      <c r="BW45" s="90"/>
      <c r="BX45" s="90"/>
      <c r="BY45" s="90"/>
      <c r="BZ45" s="90"/>
      <c r="CA45" s="90"/>
      <c r="CB45" s="90"/>
      <c r="CC45" s="91"/>
      <c r="CD45" s="90"/>
      <c r="CE45" s="91"/>
      <c r="CF45" s="90"/>
      <c r="CG45" s="91"/>
      <c r="CH45" s="90"/>
      <c r="CI45" s="91"/>
      <c r="CJ45" s="90"/>
      <c r="CK45" s="91"/>
      <c r="CL45" s="90"/>
      <c r="CM45" s="91"/>
      <c r="CN45" s="96"/>
      <c r="CO45" s="91"/>
      <c r="CP45" s="90"/>
      <c r="CQ45" s="90"/>
      <c r="CR45" s="90"/>
      <c r="CS45" s="90"/>
      <c r="CT45" s="91"/>
      <c r="CU45" s="90"/>
      <c r="CV45" s="97"/>
    </row>
    <row r="46" spans="1:100" ht="15" customHeight="1">
      <c r="A46" s="117" t="s">
        <v>1491</v>
      </c>
      <c r="B46" s="118">
        <v>44475</v>
      </c>
      <c r="C46" s="117" t="s">
        <v>1490</v>
      </c>
      <c r="D46" s="117" t="s">
        <v>364</v>
      </c>
      <c r="E46" s="119" t="s">
        <v>1101</v>
      </c>
      <c r="F46" s="117" t="s">
        <v>1102</v>
      </c>
      <c r="G46" s="117" t="s">
        <v>390</v>
      </c>
      <c r="H46" s="117" t="s">
        <v>1406</v>
      </c>
      <c r="I46" s="117" t="s">
        <v>14</v>
      </c>
      <c r="J46" s="117" t="s">
        <v>1116</v>
      </c>
      <c r="K46" s="117" t="s">
        <v>100</v>
      </c>
      <c r="L46" s="117" t="s">
        <v>1492</v>
      </c>
      <c r="M46" s="119" t="s">
        <v>346</v>
      </c>
      <c r="N46" s="117" t="s">
        <v>1493</v>
      </c>
      <c r="O46" s="117" t="s">
        <v>1494</v>
      </c>
      <c r="P46" s="117" t="s">
        <v>1495</v>
      </c>
      <c r="Q46" s="118">
        <v>44475</v>
      </c>
      <c r="R46" s="118">
        <v>44565</v>
      </c>
      <c r="S46" s="117" t="s">
        <v>1496</v>
      </c>
      <c r="T46" s="118">
        <v>44505</v>
      </c>
      <c r="U46" s="120" t="s">
        <v>295</v>
      </c>
      <c r="V46" s="120" t="s">
        <v>295</v>
      </c>
      <c r="W46" s="121" t="s">
        <v>262</v>
      </c>
      <c r="X46" s="117" t="s">
        <v>1559</v>
      </c>
      <c r="Y46" s="117"/>
      <c r="Z46" s="117"/>
      <c r="AA46" s="117" t="s">
        <v>4</v>
      </c>
      <c r="AB46" s="117" t="s">
        <v>1560</v>
      </c>
      <c r="AC46" s="118">
        <v>44505</v>
      </c>
      <c r="AD46" s="117" t="s">
        <v>349</v>
      </c>
      <c r="AE46" s="117" t="s">
        <v>1180</v>
      </c>
      <c r="AF46" s="90" t="s">
        <v>1103</v>
      </c>
      <c r="AG46" s="90" t="s">
        <v>0</v>
      </c>
      <c r="AH46" s="93" t="s">
        <v>972</v>
      </c>
      <c r="AI46" s="93" t="b">
        <v>0</v>
      </c>
      <c r="AJ46" s="93"/>
      <c r="AK46" s="93" t="b">
        <v>0</v>
      </c>
      <c r="AL46" s="93"/>
      <c r="AM46" s="93" t="b">
        <v>0</v>
      </c>
      <c r="AN46" s="93" t="b">
        <v>0</v>
      </c>
      <c r="AO46" s="93" t="b">
        <v>0</v>
      </c>
      <c r="AP46" s="93" t="b">
        <v>0</v>
      </c>
      <c r="AQ46" s="93" t="b">
        <v>0</v>
      </c>
      <c r="AR46" s="93" t="b">
        <v>0</v>
      </c>
      <c r="AS46" s="93" t="b">
        <v>0</v>
      </c>
      <c r="AT46" s="107" t="s">
        <v>1561</v>
      </c>
      <c r="AU46" s="94">
        <v>9830288</v>
      </c>
      <c r="AV46" s="90" t="s">
        <v>734</v>
      </c>
      <c r="AW46" s="108" t="s">
        <v>943</v>
      </c>
      <c r="AX46" s="91">
        <v>44509</v>
      </c>
      <c r="AY46" s="108" t="s">
        <v>1132</v>
      </c>
      <c r="AZ46" s="90" t="s">
        <v>14</v>
      </c>
      <c r="BA46" s="90" t="s">
        <v>100</v>
      </c>
      <c r="BB46" s="90" t="s">
        <v>43</v>
      </c>
      <c r="BC46" s="90"/>
      <c r="BD46" s="90" t="s">
        <v>756</v>
      </c>
      <c r="BE46" s="90"/>
      <c r="BF46" s="90"/>
      <c r="BG46" s="91"/>
      <c r="BH46" s="93" t="b">
        <v>0</v>
      </c>
      <c r="BI46" s="90" t="s">
        <v>1497</v>
      </c>
      <c r="BJ46" s="90"/>
      <c r="BK46" s="90" t="s">
        <v>1120</v>
      </c>
      <c r="BL46" s="90"/>
      <c r="BM46" s="90"/>
      <c r="BN46" s="90"/>
      <c r="BO46" s="90"/>
      <c r="BP46" s="90"/>
      <c r="BQ46" s="90"/>
      <c r="BR46" s="95"/>
      <c r="BS46" s="90"/>
      <c r="BT46" s="90"/>
      <c r="BU46" s="90"/>
      <c r="BV46" s="90"/>
      <c r="BW46" s="90"/>
      <c r="BX46" s="90"/>
      <c r="BY46" s="90"/>
      <c r="BZ46" s="90"/>
      <c r="CA46" s="90"/>
      <c r="CB46" s="90"/>
      <c r="CC46" s="91"/>
      <c r="CD46" s="90"/>
      <c r="CE46" s="91"/>
      <c r="CF46" s="90"/>
      <c r="CG46" s="91"/>
      <c r="CH46" s="90"/>
      <c r="CI46" s="91"/>
      <c r="CJ46" s="90"/>
      <c r="CK46" s="91"/>
      <c r="CL46" s="90"/>
      <c r="CM46" s="91"/>
      <c r="CN46" s="96"/>
      <c r="CO46" s="91"/>
      <c r="CP46" s="90"/>
      <c r="CQ46" s="90"/>
      <c r="CR46" s="90"/>
      <c r="CS46" s="90"/>
      <c r="CT46" s="91"/>
      <c r="CU46" s="90"/>
      <c r="CV46" s="97"/>
    </row>
    <row r="47" spans="1:100" ht="15" customHeight="1">
      <c r="A47" s="117" t="s">
        <v>1499</v>
      </c>
      <c r="B47" s="118">
        <v>44477</v>
      </c>
      <c r="C47" s="117" t="s">
        <v>1498</v>
      </c>
      <c r="D47" s="117" t="s">
        <v>364</v>
      </c>
      <c r="E47" s="119" t="s">
        <v>1101</v>
      </c>
      <c r="F47" s="117" t="s">
        <v>1102</v>
      </c>
      <c r="G47" s="117" t="s">
        <v>390</v>
      </c>
      <c r="H47" s="117" t="s">
        <v>1406</v>
      </c>
      <c r="I47" s="117" t="s">
        <v>582</v>
      </c>
      <c r="J47" s="117" t="s">
        <v>1110</v>
      </c>
      <c r="K47" s="117" t="s">
        <v>69</v>
      </c>
      <c r="L47" s="117" t="s">
        <v>1111</v>
      </c>
      <c r="M47" s="119" t="s">
        <v>346</v>
      </c>
      <c r="N47" s="117" t="s">
        <v>1500</v>
      </c>
      <c r="O47" s="117" t="s">
        <v>1501</v>
      </c>
      <c r="P47" s="117" t="s">
        <v>1502</v>
      </c>
      <c r="Q47" s="118">
        <v>44482</v>
      </c>
      <c r="R47" s="118">
        <v>44567</v>
      </c>
      <c r="S47" s="117" t="s">
        <v>1503</v>
      </c>
      <c r="T47" s="118">
        <v>44499</v>
      </c>
      <c r="U47" s="120" t="s">
        <v>295</v>
      </c>
      <c r="V47" s="120" t="s">
        <v>295</v>
      </c>
      <c r="W47" s="121" t="s">
        <v>262</v>
      </c>
      <c r="X47" s="117" t="s">
        <v>1562</v>
      </c>
      <c r="Y47" s="117"/>
      <c r="Z47" s="117"/>
      <c r="AA47" s="117" t="s">
        <v>4</v>
      </c>
      <c r="AB47" s="117" t="s">
        <v>1563</v>
      </c>
      <c r="AC47" s="118">
        <v>44499</v>
      </c>
      <c r="AD47" s="117" t="s">
        <v>349</v>
      </c>
      <c r="AE47" s="117" t="s">
        <v>1180</v>
      </c>
      <c r="AF47" s="90" t="s">
        <v>1103</v>
      </c>
      <c r="AG47" s="90" t="s">
        <v>0</v>
      </c>
      <c r="AH47" s="93" t="s">
        <v>972</v>
      </c>
      <c r="AI47" s="93" t="b">
        <v>0</v>
      </c>
      <c r="AJ47" s="93"/>
      <c r="AK47" s="93" t="b">
        <v>0</v>
      </c>
      <c r="AL47" s="93"/>
      <c r="AM47" s="93" t="b">
        <v>0</v>
      </c>
      <c r="AN47" s="93" t="b">
        <v>0</v>
      </c>
      <c r="AO47" s="93" t="b">
        <v>0</v>
      </c>
      <c r="AP47" s="93" t="b">
        <v>0</v>
      </c>
      <c r="AQ47" s="93" t="b">
        <v>0</v>
      </c>
      <c r="AR47" s="93" t="b">
        <v>0</v>
      </c>
      <c r="AS47" s="93" t="b">
        <v>0</v>
      </c>
      <c r="AT47" s="107" t="s">
        <v>1564</v>
      </c>
      <c r="AU47" s="94">
        <v>9830288</v>
      </c>
      <c r="AV47" s="90" t="s">
        <v>734</v>
      </c>
      <c r="AW47" s="108" t="s">
        <v>943</v>
      </c>
      <c r="AX47" s="91">
        <v>44509</v>
      </c>
      <c r="AY47" s="108" t="s">
        <v>1132</v>
      </c>
      <c r="AZ47" s="90" t="s">
        <v>582</v>
      </c>
      <c r="BA47" s="90" t="s">
        <v>69</v>
      </c>
      <c r="BB47" s="90" t="s">
        <v>40</v>
      </c>
      <c r="BC47" s="90"/>
      <c r="BD47" s="90" t="s">
        <v>30</v>
      </c>
      <c r="BE47" s="90"/>
      <c r="BF47" s="90"/>
      <c r="BG47" s="91"/>
      <c r="BH47" s="93" t="b">
        <v>0</v>
      </c>
      <c r="BI47" s="90" t="s">
        <v>1504</v>
      </c>
      <c r="BJ47" s="90"/>
      <c r="BK47" s="90" t="s">
        <v>1120</v>
      </c>
      <c r="BL47" s="90"/>
      <c r="BM47" s="90"/>
      <c r="BN47" s="90"/>
      <c r="BO47" s="90"/>
      <c r="BP47" s="90"/>
      <c r="BQ47" s="90"/>
      <c r="BR47" s="95"/>
      <c r="BS47" s="90"/>
      <c r="BT47" s="90"/>
      <c r="BU47" s="90"/>
      <c r="BV47" s="90"/>
      <c r="BW47" s="90"/>
      <c r="BX47" s="90"/>
      <c r="BY47" s="90"/>
      <c r="BZ47" s="90"/>
      <c r="CA47" s="90"/>
      <c r="CB47" s="90"/>
      <c r="CC47" s="91"/>
      <c r="CD47" s="90"/>
      <c r="CE47" s="91"/>
      <c r="CF47" s="90"/>
      <c r="CG47" s="91"/>
      <c r="CH47" s="90"/>
      <c r="CI47" s="91"/>
      <c r="CJ47" s="90"/>
      <c r="CK47" s="91"/>
      <c r="CL47" s="90"/>
      <c r="CM47" s="91"/>
      <c r="CN47" s="96"/>
      <c r="CO47" s="91"/>
      <c r="CP47" s="90"/>
      <c r="CQ47" s="90"/>
      <c r="CR47" s="90"/>
      <c r="CS47" s="90"/>
      <c r="CT47" s="91"/>
      <c r="CU47" s="90"/>
      <c r="CV47" s="97"/>
    </row>
    <row r="48" spans="1:100" ht="15" customHeight="1">
      <c r="A48" s="117" t="s">
        <v>1506</v>
      </c>
      <c r="B48" s="118">
        <v>44505</v>
      </c>
      <c r="C48" s="117" t="s">
        <v>1505</v>
      </c>
      <c r="D48" s="117" t="s">
        <v>364</v>
      </c>
      <c r="E48" s="119" t="s">
        <v>1101</v>
      </c>
      <c r="F48" s="117" t="s">
        <v>1102</v>
      </c>
      <c r="G48" s="117" t="s">
        <v>390</v>
      </c>
      <c r="H48" s="117" t="s">
        <v>1406</v>
      </c>
      <c r="I48" s="117" t="s">
        <v>8</v>
      </c>
      <c r="J48" s="117" t="s">
        <v>1121</v>
      </c>
      <c r="K48" s="117" t="s">
        <v>75</v>
      </c>
      <c r="L48" s="117" t="s">
        <v>1122</v>
      </c>
      <c r="M48" s="119" t="s">
        <v>346</v>
      </c>
      <c r="N48" s="117" t="s">
        <v>1507</v>
      </c>
      <c r="O48" s="117" t="s">
        <v>1508</v>
      </c>
      <c r="P48" s="117" t="s">
        <v>1585</v>
      </c>
      <c r="Q48" s="118">
        <v>44503</v>
      </c>
      <c r="R48" s="118">
        <v>44595</v>
      </c>
      <c r="S48" s="117" t="s">
        <v>1802</v>
      </c>
      <c r="T48" s="118">
        <v>44560</v>
      </c>
      <c r="U48" s="120" t="s">
        <v>295</v>
      </c>
      <c r="V48" s="120" t="s">
        <v>295</v>
      </c>
      <c r="W48" s="121" t="s">
        <v>262</v>
      </c>
      <c r="X48" s="117" t="s">
        <v>1565</v>
      </c>
      <c r="Y48" s="117"/>
      <c r="Z48" s="117"/>
      <c r="AA48" s="117" t="s">
        <v>167</v>
      </c>
      <c r="AB48" s="117" t="s">
        <v>1803</v>
      </c>
      <c r="AC48" s="118">
        <v>44560</v>
      </c>
      <c r="AD48" s="117" t="s">
        <v>349</v>
      </c>
      <c r="AE48" s="117" t="s">
        <v>1252</v>
      </c>
      <c r="AF48" s="90" t="s">
        <v>1103</v>
      </c>
      <c r="AG48" s="90" t="s">
        <v>0</v>
      </c>
      <c r="AH48" s="93" t="s">
        <v>972</v>
      </c>
      <c r="AI48" s="93" t="b">
        <v>0</v>
      </c>
      <c r="AJ48" s="93"/>
      <c r="AK48" s="93" t="b">
        <v>0</v>
      </c>
      <c r="AL48" s="93"/>
      <c r="AM48" s="93" t="b">
        <v>0</v>
      </c>
      <c r="AN48" s="93" t="b">
        <v>0</v>
      </c>
      <c r="AO48" s="93" t="b">
        <v>0</v>
      </c>
      <c r="AP48" s="93" t="b">
        <v>0</v>
      </c>
      <c r="AQ48" s="93" t="b">
        <v>0</v>
      </c>
      <c r="AR48" s="93" t="b">
        <v>0</v>
      </c>
      <c r="AS48" s="93" t="b">
        <v>0</v>
      </c>
      <c r="AT48" s="107" t="s">
        <v>1804</v>
      </c>
      <c r="AU48" s="94">
        <v>9830288</v>
      </c>
      <c r="AV48" s="90" t="s">
        <v>734</v>
      </c>
      <c r="AW48" s="108" t="s">
        <v>943</v>
      </c>
      <c r="AX48" s="91">
        <v>44612</v>
      </c>
      <c r="AY48" s="108" t="s">
        <v>1586</v>
      </c>
      <c r="AZ48" s="90" t="s">
        <v>8</v>
      </c>
      <c r="BA48" s="90" t="s">
        <v>75</v>
      </c>
      <c r="BB48" s="90" t="s">
        <v>44</v>
      </c>
      <c r="BC48" s="90"/>
      <c r="BD48" s="90" t="s">
        <v>755</v>
      </c>
      <c r="BE48" s="90"/>
      <c r="BF48" s="90"/>
      <c r="BG48" s="91"/>
      <c r="BH48" s="93" t="b">
        <v>0</v>
      </c>
      <c r="BI48" s="90" t="s">
        <v>1509</v>
      </c>
      <c r="BJ48" s="90"/>
      <c r="BK48" s="90" t="s">
        <v>1120</v>
      </c>
      <c r="BL48" s="90"/>
      <c r="BM48" s="90"/>
      <c r="BN48" s="90"/>
      <c r="BO48" s="90"/>
      <c r="BP48" s="90"/>
      <c r="BQ48" s="90"/>
      <c r="BR48" s="95"/>
      <c r="BS48" s="90"/>
      <c r="BT48" s="90"/>
      <c r="BU48" s="90"/>
      <c r="BV48" s="90"/>
      <c r="BW48" s="90"/>
      <c r="BX48" s="90"/>
      <c r="BY48" s="90"/>
      <c r="BZ48" s="90"/>
      <c r="CA48" s="90"/>
      <c r="CB48" s="90"/>
      <c r="CC48" s="91"/>
      <c r="CD48" s="90"/>
      <c r="CE48" s="91"/>
      <c r="CF48" s="90"/>
      <c r="CG48" s="91"/>
      <c r="CH48" s="90"/>
      <c r="CI48" s="91"/>
      <c r="CJ48" s="90"/>
      <c r="CK48" s="91"/>
      <c r="CL48" s="90"/>
      <c r="CM48" s="91"/>
      <c r="CN48" s="96"/>
      <c r="CO48" s="91"/>
      <c r="CP48" s="90"/>
      <c r="CQ48" s="90"/>
      <c r="CR48" s="90"/>
      <c r="CS48" s="90"/>
      <c r="CT48" s="91"/>
      <c r="CU48" s="90"/>
      <c r="CV48" s="97"/>
    </row>
    <row r="49" spans="1:100" ht="15" customHeight="1">
      <c r="A49" s="117" t="s">
        <v>1511</v>
      </c>
      <c r="B49" s="118">
        <v>44494</v>
      </c>
      <c r="C49" s="117" t="s">
        <v>1510</v>
      </c>
      <c r="D49" s="117" t="s">
        <v>364</v>
      </c>
      <c r="E49" s="119" t="s">
        <v>1101</v>
      </c>
      <c r="F49" s="117" t="s">
        <v>1102</v>
      </c>
      <c r="G49" s="117" t="s">
        <v>390</v>
      </c>
      <c r="H49" s="117" t="s">
        <v>1406</v>
      </c>
      <c r="I49" s="117" t="s">
        <v>582</v>
      </c>
      <c r="J49" s="117" t="s">
        <v>1110</v>
      </c>
      <c r="K49" s="117" t="s">
        <v>69</v>
      </c>
      <c r="L49" s="117" t="s">
        <v>1111</v>
      </c>
      <c r="M49" s="119" t="s">
        <v>346</v>
      </c>
      <c r="N49" s="117" t="s">
        <v>1512</v>
      </c>
      <c r="O49" s="117" t="s">
        <v>1513</v>
      </c>
      <c r="P49" s="117" t="s">
        <v>1514</v>
      </c>
      <c r="Q49" s="118">
        <v>44494</v>
      </c>
      <c r="R49" s="118">
        <v>44584</v>
      </c>
      <c r="S49" s="117"/>
      <c r="T49" s="118"/>
      <c r="U49" s="120" t="s">
        <v>295</v>
      </c>
      <c r="V49" s="120" t="s">
        <v>295</v>
      </c>
      <c r="W49" s="121" t="s">
        <v>262</v>
      </c>
      <c r="X49" s="117" t="s">
        <v>1566</v>
      </c>
      <c r="Y49" s="117"/>
      <c r="Z49" s="117"/>
      <c r="AA49" s="117" t="s">
        <v>4</v>
      </c>
      <c r="AB49" s="117" t="s">
        <v>1816</v>
      </c>
      <c r="AC49" s="118">
        <v>44516</v>
      </c>
      <c r="AD49" s="117" t="s">
        <v>349</v>
      </c>
      <c r="AE49" s="117"/>
      <c r="AF49" s="90" t="s">
        <v>1103</v>
      </c>
      <c r="AG49" s="90" t="s">
        <v>0</v>
      </c>
      <c r="AH49" s="93" t="s">
        <v>972</v>
      </c>
      <c r="AI49" s="93" t="b">
        <v>0</v>
      </c>
      <c r="AJ49" s="93"/>
      <c r="AK49" s="93" t="b">
        <v>0</v>
      </c>
      <c r="AL49" s="93"/>
      <c r="AM49" s="93" t="b">
        <v>0</v>
      </c>
      <c r="AN49" s="93" t="b">
        <v>0</v>
      </c>
      <c r="AO49" s="93" t="b">
        <v>0</v>
      </c>
      <c r="AP49" s="93" t="b">
        <v>0</v>
      </c>
      <c r="AQ49" s="93" t="b">
        <v>0</v>
      </c>
      <c r="AR49" s="93" t="b">
        <v>0</v>
      </c>
      <c r="AS49" s="93" t="b">
        <v>0</v>
      </c>
      <c r="AT49" s="107" t="s">
        <v>1817</v>
      </c>
      <c r="AU49" s="94">
        <v>9830288</v>
      </c>
      <c r="AV49" s="90" t="s">
        <v>734</v>
      </c>
      <c r="AW49" s="108" t="s">
        <v>943</v>
      </c>
      <c r="AX49" s="91">
        <v>44612</v>
      </c>
      <c r="AY49" s="108" t="s">
        <v>1586</v>
      </c>
      <c r="AZ49" s="90" t="s">
        <v>582</v>
      </c>
      <c r="BA49" s="90" t="s">
        <v>69</v>
      </c>
      <c r="BB49" s="90" t="s">
        <v>40</v>
      </c>
      <c r="BC49" s="90"/>
      <c r="BD49" s="90" t="s">
        <v>30</v>
      </c>
      <c r="BE49" s="90"/>
      <c r="BF49" s="90"/>
      <c r="BG49" s="91"/>
      <c r="BH49" s="93" t="b">
        <v>0</v>
      </c>
      <c r="BI49" s="90"/>
      <c r="BJ49" s="90"/>
      <c r="BK49" s="90" t="s">
        <v>1120</v>
      </c>
      <c r="BL49" s="90"/>
      <c r="BM49" s="90"/>
      <c r="BN49" s="90"/>
      <c r="BO49" s="90"/>
      <c r="BP49" s="90"/>
      <c r="BQ49" s="90"/>
      <c r="BR49" s="95"/>
      <c r="BS49" s="90"/>
      <c r="BT49" s="90"/>
      <c r="BU49" s="90"/>
      <c r="BV49" s="90"/>
      <c r="BW49" s="90"/>
      <c r="BX49" s="90"/>
      <c r="BY49" s="90"/>
      <c r="BZ49" s="90"/>
      <c r="CA49" s="90"/>
      <c r="CB49" s="90"/>
      <c r="CC49" s="91"/>
      <c r="CD49" s="90"/>
      <c r="CE49" s="91"/>
      <c r="CF49" s="90"/>
      <c r="CG49" s="91"/>
      <c r="CH49" s="90"/>
      <c r="CI49" s="91"/>
      <c r="CJ49" s="90"/>
      <c r="CK49" s="91"/>
      <c r="CL49" s="90"/>
      <c r="CM49" s="91"/>
      <c r="CN49" s="96"/>
      <c r="CO49" s="91"/>
      <c r="CP49" s="90"/>
      <c r="CQ49" s="90"/>
      <c r="CR49" s="90"/>
      <c r="CS49" s="90"/>
      <c r="CT49" s="91"/>
      <c r="CU49" s="90"/>
      <c r="CV49" s="97"/>
    </row>
    <row r="50" spans="1:100" ht="15" customHeight="1">
      <c r="A50" s="122" t="s">
        <v>1515</v>
      </c>
      <c r="B50" s="123">
        <v>44525</v>
      </c>
      <c r="C50" s="122" t="s">
        <v>1516</v>
      </c>
      <c r="D50" s="122" t="s">
        <v>352</v>
      </c>
      <c r="E50" s="124" t="str">
        <f t="shared" ref="E50:E60" si="0">LEFT(D50,1)&amp;"moge"</f>
        <v>Cmoge</v>
      </c>
      <c r="F50" s="122" t="str">
        <f t="shared" ref="F50:F60" si="1">LEFT(D50,1)&amp;"hoge"</f>
        <v>Choge</v>
      </c>
      <c r="G50" s="122" t="s">
        <v>374</v>
      </c>
      <c r="H50" s="122" t="s">
        <v>1518</v>
      </c>
      <c r="I50" s="122" t="s">
        <v>354</v>
      </c>
      <c r="J50" s="122" t="str">
        <f t="shared" ref="J50:J60" si="2">LEFT(I50,3)</f>
        <v>MMS</v>
      </c>
      <c r="K50" s="122" t="s">
        <v>414</v>
      </c>
      <c r="L50" s="122" t="str">
        <f t="shared" ref="L50:L60" si="3">LEFT(K50,5)</f>
        <v>MMS11</v>
      </c>
      <c r="M50" s="124" t="s">
        <v>346</v>
      </c>
      <c r="N50" s="122" t="s">
        <v>1519</v>
      </c>
      <c r="O50" s="122" t="s">
        <v>1513</v>
      </c>
      <c r="P50" s="122" t="s">
        <v>1514</v>
      </c>
      <c r="Q50" s="123">
        <v>44525</v>
      </c>
      <c r="R50" s="123">
        <v>44615</v>
      </c>
      <c r="S50" s="122"/>
      <c r="T50" s="123"/>
      <c r="U50" s="125" t="s">
        <v>295</v>
      </c>
      <c r="V50" s="125" t="s">
        <v>295</v>
      </c>
      <c r="W50" s="126" t="s">
        <v>262</v>
      </c>
      <c r="X50" s="122" t="s">
        <v>1801</v>
      </c>
      <c r="Y50" s="122"/>
      <c r="Z50" s="122"/>
      <c r="AA50" s="122" t="s">
        <v>4</v>
      </c>
      <c r="AB50" s="122"/>
      <c r="AC50" s="123"/>
      <c r="AD50" s="122" t="s">
        <v>261</v>
      </c>
      <c r="AE50" s="122"/>
      <c r="AF50" s="90" t="s">
        <v>1103</v>
      </c>
      <c r="AG50" s="90" t="s">
        <v>0</v>
      </c>
      <c r="AH50" s="93" t="s">
        <v>972</v>
      </c>
      <c r="AI50" s="93" t="b">
        <v>0</v>
      </c>
      <c r="AJ50" s="93"/>
      <c r="AK50" s="93" t="b">
        <v>0</v>
      </c>
      <c r="AL50" s="93"/>
      <c r="AM50" s="93" t="b">
        <v>0</v>
      </c>
      <c r="AN50" s="93" t="b">
        <v>0</v>
      </c>
      <c r="AO50" s="93" t="b">
        <v>0</v>
      </c>
      <c r="AP50" s="93" t="b">
        <v>0</v>
      </c>
      <c r="AQ50" s="93" t="b">
        <v>0</v>
      </c>
      <c r="AR50" s="93" t="b">
        <v>0</v>
      </c>
      <c r="AS50" s="93" t="b">
        <v>0</v>
      </c>
      <c r="AT50" s="107" t="s">
        <v>1827</v>
      </c>
      <c r="AU50" s="94">
        <v>9830288</v>
      </c>
      <c r="AV50" s="90" t="s">
        <v>734</v>
      </c>
      <c r="AW50" s="108" t="s">
        <v>943</v>
      </c>
      <c r="AX50" s="91">
        <v>44618</v>
      </c>
      <c r="AY50" s="108" t="s">
        <v>1586</v>
      </c>
      <c r="AZ50" s="90" t="s">
        <v>582</v>
      </c>
      <c r="BA50" s="90" t="s">
        <v>69</v>
      </c>
      <c r="BB50" s="90" t="s">
        <v>40</v>
      </c>
      <c r="BC50" s="90"/>
      <c r="BD50" s="90" t="s">
        <v>30</v>
      </c>
      <c r="BE50" s="90"/>
      <c r="BF50" s="90" t="s">
        <v>574</v>
      </c>
      <c r="BG50" s="91">
        <v>44635</v>
      </c>
      <c r="BH50" s="93" t="b">
        <v>0</v>
      </c>
      <c r="BI50" s="90"/>
      <c r="BJ50" s="90" t="s">
        <v>1826</v>
      </c>
      <c r="BK50" s="90" t="s">
        <v>1104</v>
      </c>
      <c r="BL50" s="90" t="s">
        <v>1517</v>
      </c>
      <c r="BM50" s="90"/>
      <c r="BN50" s="90"/>
      <c r="BO50" s="90"/>
      <c r="BP50" s="90"/>
      <c r="BQ50" s="90"/>
      <c r="BR50" s="95"/>
      <c r="BS50" s="90"/>
      <c r="BT50" s="90"/>
      <c r="BU50" s="90"/>
      <c r="BV50" s="90"/>
      <c r="BW50" s="90"/>
      <c r="BX50" s="90"/>
      <c r="BY50" s="90"/>
      <c r="BZ50" s="90"/>
      <c r="CA50" s="90"/>
      <c r="CB50" s="90"/>
      <c r="CC50" s="91"/>
      <c r="CD50" s="90"/>
      <c r="CE50" s="91"/>
      <c r="CF50" s="90"/>
      <c r="CG50" s="91"/>
      <c r="CH50" s="90"/>
      <c r="CI50" s="91"/>
      <c r="CJ50" s="90"/>
      <c r="CK50" s="91"/>
      <c r="CL50" s="90"/>
      <c r="CM50" s="91"/>
      <c r="CN50" s="96"/>
      <c r="CO50" s="91"/>
      <c r="CP50" s="90"/>
      <c r="CQ50" s="90"/>
      <c r="CR50" s="90"/>
      <c r="CS50" s="90"/>
      <c r="CT50" s="91"/>
      <c r="CU50" s="90"/>
      <c r="CV50" s="97"/>
    </row>
    <row r="51" spans="1:100" ht="15" customHeight="1">
      <c r="A51" s="117" t="s">
        <v>1520</v>
      </c>
      <c r="B51" s="118">
        <v>44505</v>
      </c>
      <c r="C51" s="117" t="s">
        <v>1521</v>
      </c>
      <c r="D51" s="117" t="s">
        <v>352</v>
      </c>
      <c r="E51" s="119" t="str">
        <f t="shared" si="0"/>
        <v>Cmoge</v>
      </c>
      <c r="F51" s="117" t="str">
        <f t="shared" si="1"/>
        <v>Choge</v>
      </c>
      <c r="G51" s="117" t="s">
        <v>374</v>
      </c>
      <c r="H51" s="117" t="s">
        <v>1518</v>
      </c>
      <c r="I51" s="117" t="s">
        <v>354</v>
      </c>
      <c r="J51" s="117" t="str">
        <f t="shared" si="2"/>
        <v>MMS</v>
      </c>
      <c r="K51" s="117" t="s">
        <v>412</v>
      </c>
      <c r="L51" s="117" t="str">
        <f t="shared" si="3"/>
        <v>MMS09</v>
      </c>
      <c r="M51" s="119" t="s">
        <v>346</v>
      </c>
      <c r="N51" s="117" t="s">
        <v>1522</v>
      </c>
      <c r="O51" s="117" t="s">
        <v>1587</v>
      </c>
      <c r="P51" s="117" t="s">
        <v>1588</v>
      </c>
      <c r="Q51" s="118">
        <v>44505</v>
      </c>
      <c r="R51" s="118">
        <v>44515</v>
      </c>
      <c r="S51" s="117" t="s">
        <v>1599</v>
      </c>
      <c r="T51" s="118">
        <v>44507</v>
      </c>
      <c r="U51" s="120" t="s">
        <v>295</v>
      </c>
      <c r="V51" s="120" t="s">
        <v>295</v>
      </c>
      <c r="W51" s="121" t="s">
        <v>262</v>
      </c>
      <c r="X51" s="117" t="s">
        <v>1215</v>
      </c>
      <c r="Y51" s="117"/>
      <c r="Z51" s="117"/>
      <c r="AA51" s="117" t="s">
        <v>4</v>
      </c>
      <c r="AB51" s="117" t="s">
        <v>1215</v>
      </c>
      <c r="AC51" s="118">
        <v>44507</v>
      </c>
      <c r="AD51" s="117" t="s">
        <v>349</v>
      </c>
      <c r="AE51" s="117" t="s">
        <v>1252</v>
      </c>
      <c r="AF51" s="90" t="s">
        <v>1103</v>
      </c>
      <c r="AG51" s="90" t="s">
        <v>0</v>
      </c>
      <c r="AH51" s="93" t="s">
        <v>972</v>
      </c>
      <c r="AI51" s="93" t="b">
        <v>0</v>
      </c>
      <c r="AJ51" s="93"/>
      <c r="AK51" s="93" t="b">
        <v>0</v>
      </c>
      <c r="AL51" s="93"/>
      <c r="AM51" s="93" t="b">
        <v>0</v>
      </c>
      <c r="AN51" s="93" t="b">
        <v>0</v>
      </c>
      <c r="AO51" s="93" t="b">
        <v>0</v>
      </c>
      <c r="AP51" s="93" t="b">
        <v>0</v>
      </c>
      <c r="AQ51" s="93" t="b">
        <v>0</v>
      </c>
      <c r="AR51" s="93" t="b">
        <v>0</v>
      </c>
      <c r="AS51" s="93" t="b">
        <v>0</v>
      </c>
      <c r="AT51" s="107" t="s">
        <v>1800</v>
      </c>
      <c r="AU51" s="94">
        <v>9830288</v>
      </c>
      <c r="AV51" s="90" t="s">
        <v>734</v>
      </c>
      <c r="AW51" s="108" t="s">
        <v>943</v>
      </c>
      <c r="AX51" s="91">
        <v>44612</v>
      </c>
      <c r="AY51" s="108" t="s">
        <v>1586</v>
      </c>
      <c r="AZ51" s="90" t="s">
        <v>13</v>
      </c>
      <c r="BA51" s="90" t="s">
        <v>83</v>
      </c>
      <c r="BB51" s="90" t="s">
        <v>38</v>
      </c>
      <c r="BC51" s="90"/>
      <c r="BD51" s="90" t="s">
        <v>28</v>
      </c>
      <c r="BE51" s="90"/>
      <c r="BF51" s="90"/>
      <c r="BG51" s="91"/>
      <c r="BH51" s="93" t="b">
        <v>0</v>
      </c>
      <c r="BI51" s="90"/>
      <c r="BJ51" s="90"/>
      <c r="BK51" s="90" t="s">
        <v>1120</v>
      </c>
      <c r="BL51" s="90" t="s">
        <v>1517</v>
      </c>
      <c r="BM51" s="90"/>
      <c r="BN51" s="90"/>
      <c r="BO51" s="90"/>
      <c r="BP51" s="90"/>
      <c r="BQ51" s="90"/>
      <c r="BR51" s="95"/>
      <c r="BS51" s="90"/>
      <c r="BT51" s="90"/>
      <c r="BU51" s="90"/>
      <c r="BV51" s="90"/>
      <c r="BW51" s="90"/>
      <c r="BX51" s="90"/>
      <c r="BY51" s="90"/>
      <c r="BZ51" s="90"/>
      <c r="CA51" s="90"/>
      <c r="CB51" s="90"/>
      <c r="CC51" s="91"/>
      <c r="CD51" s="90"/>
      <c r="CE51" s="91"/>
      <c r="CF51" s="90"/>
      <c r="CG51" s="91"/>
      <c r="CH51" s="90"/>
      <c r="CI51" s="91"/>
      <c r="CJ51" s="90"/>
      <c r="CK51" s="91"/>
      <c r="CL51" s="90"/>
      <c r="CM51" s="91"/>
      <c r="CN51" s="96"/>
      <c r="CO51" s="91"/>
      <c r="CP51" s="90"/>
      <c r="CQ51" s="90"/>
      <c r="CR51" s="90"/>
      <c r="CS51" s="90"/>
      <c r="CT51" s="91"/>
      <c r="CU51" s="90"/>
      <c r="CV51" s="97"/>
    </row>
    <row r="52" spans="1:100" ht="15" customHeight="1">
      <c r="A52" s="117" t="s">
        <v>1523</v>
      </c>
      <c r="B52" s="118">
        <v>44505</v>
      </c>
      <c r="C52" s="117" t="s">
        <v>1524</v>
      </c>
      <c r="D52" s="117" t="s">
        <v>352</v>
      </c>
      <c r="E52" s="119" t="str">
        <f t="shared" si="0"/>
        <v>Cmoge</v>
      </c>
      <c r="F52" s="117" t="str">
        <f t="shared" si="1"/>
        <v>Choge</v>
      </c>
      <c r="G52" s="117" t="s">
        <v>374</v>
      </c>
      <c r="H52" s="117" t="s">
        <v>1518</v>
      </c>
      <c r="I52" s="117" t="s">
        <v>354</v>
      </c>
      <c r="J52" s="117" t="str">
        <f t="shared" si="2"/>
        <v>MMS</v>
      </c>
      <c r="K52" s="117" t="s">
        <v>414</v>
      </c>
      <c r="L52" s="117" t="str">
        <f t="shared" si="3"/>
        <v>MMS11</v>
      </c>
      <c r="M52" s="119" t="s">
        <v>346</v>
      </c>
      <c r="N52" s="117" t="s">
        <v>1525</v>
      </c>
      <c r="O52" s="117" t="s">
        <v>1587</v>
      </c>
      <c r="P52" s="117" t="s">
        <v>1589</v>
      </c>
      <c r="Q52" s="118">
        <v>44505</v>
      </c>
      <c r="R52" s="118">
        <v>44515</v>
      </c>
      <c r="S52" s="117" t="s">
        <v>1598</v>
      </c>
      <c r="T52" s="118">
        <v>44505</v>
      </c>
      <c r="U52" s="120" t="s">
        <v>295</v>
      </c>
      <c r="V52" s="120" t="s">
        <v>295</v>
      </c>
      <c r="W52" s="121" t="s">
        <v>262</v>
      </c>
      <c r="X52" s="117" t="s">
        <v>1215</v>
      </c>
      <c r="Y52" s="117"/>
      <c r="Z52" s="117"/>
      <c r="AA52" s="117" t="s">
        <v>2</v>
      </c>
      <c r="AB52" s="117" t="s">
        <v>1215</v>
      </c>
      <c r="AC52" s="118">
        <v>44505</v>
      </c>
      <c r="AD52" s="117" t="s">
        <v>349</v>
      </c>
      <c r="AE52" s="117" t="s">
        <v>1252</v>
      </c>
      <c r="AF52" s="90" t="s">
        <v>1103</v>
      </c>
      <c r="AG52" s="90" t="s">
        <v>0</v>
      </c>
      <c r="AH52" s="93" t="s">
        <v>972</v>
      </c>
      <c r="AI52" s="93" t="b">
        <v>0</v>
      </c>
      <c r="AJ52" s="93"/>
      <c r="AK52" s="93" t="b">
        <v>0</v>
      </c>
      <c r="AL52" s="93"/>
      <c r="AM52" s="93" t="b">
        <v>0</v>
      </c>
      <c r="AN52" s="93" t="b">
        <v>0</v>
      </c>
      <c r="AO52" s="93" t="b">
        <v>0</v>
      </c>
      <c r="AP52" s="93" t="b">
        <v>0</v>
      </c>
      <c r="AQ52" s="93" t="b">
        <v>0</v>
      </c>
      <c r="AR52" s="93" t="b">
        <v>0</v>
      </c>
      <c r="AS52" s="93" t="b">
        <v>0</v>
      </c>
      <c r="AT52" s="107" t="s">
        <v>1799</v>
      </c>
      <c r="AU52" s="94">
        <v>9830288</v>
      </c>
      <c r="AV52" s="90" t="s">
        <v>734</v>
      </c>
      <c r="AW52" s="108" t="s">
        <v>943</v>
      </c>
      <c r="AX52" s="91">
        <v>44612</v>
      </c>
      <c r="AY52" s="108" t="s">
        <v>1586</v>
      </c>
      <c r="AZ52" s="90" t="s">
        <v>582</v>
      </c>
      <c r="BA52" s="90" t="s">
        <v>69</v>
      </c>
      <c r="BB52" s="90" t="s">
        <v>40</v>
      </c>
      <c r="BC52" s="90"/>
      <c r="BD52" s="90" t="s">
        <v>30</v>
      </c>
      <c r="BE52" s="90"/>
      <c r="BF52" s="90"/>
      <c r="BG52" s="91"/>
      <c r="BH52" s="93" t="b">
        <v>0</v>
      </c>
      <c r="BI52" s="90"/>
      <c r="BJ52" s="90"/>
      <c r="BK52" s="90" t="s">
        <v>1120</v>
      </c>
      <c r="BL52" s="90" t="s">
        <v>1517</v>
      </c>
      <c r="BM52" s="90"/>
      <c r="BN52" s="90"/>
      <c r="BO52" s="90"/>
      <c r="BP52" s="90"/>
      <c r="BQ52" s="90"/>
      <c r="BR52" s="95"/>
      <c r="BS52" s="90"/>
      <c r="BT52" s="90"/>
      <c r="BU52" s="90"/>
      <c r="BV52" s="90"/>
      <c r="BW52" s="90"/>
      <c r="BX52" s="90"/>
      <c r="BY52" s="90"/>
      <c r="BZ52" s="90"/>
      <c r="CA52" s="90"/>
      <c r="CB52" s="90"/>
      <c r="CC52" s="91"/>
      <c r="CD52" s="90"/>
      <c r="CE52" s="91"/>
      <c r="CF52" s="90"/>
      <c r="CG52" s="91"/>
      <c r="CH52" s="90"/>
      <c r="CI52" s="91"/>
      <c r="CJ52" s="90"/>
      <c r="CK52" s="91"/>
      <c r="CL52" s="90"/>
      <c r="CM52" s="91"/>
      <c r="CN52" s="96"/>
      <c r="CO52" s="91"/>
      <c r="CP52" s="90"/>
      <c r="CQ52" s="90"/>
      <c r="CR52" s="90"/>
      <c r="CS52" s="90"/>
      <c r="CT52" s="91"/>
      <c r="CU52" s="90"/>
      <c r="CV52" s="97"/>
    </row>
    <row r="53" spans="1:100" ht="15" customHeight="1">
      <c r="A53" s="117" t="s">
        <v>1526</v>
      </c>
      <c r="B53" s="118">
        <v>44505</v>
      </c>
      <c r="C53" s="117" t="s">
        <v>1527</v>
      </c>
      <c r="D53" s="117" t="s">
        <v>352</v>
      </c>
      <c r="E53" s="119" t="str">
        <f t="shared" si="0"/>
        <v>Cmoge</v>
      </c>
      <c r="F53" s="117" t="str">
        <f t="shared" si="1"/>
        <v>Choge</v>
      </c>
      <c r="G53" s="117" t="s">
        <v>374</v>
      </c>
      <c r="H53" s="117" t="s">
        <v>1518</v>
      </c>
      <c r="I53" s="117" t="s">
        <v>354</v>
      </c>
      <c r="J53" s="117" t="str">
        <f t="shared" si="2"/>
        <v>MMS</v>
      </c>
      <c r="K53" s="117" t="s">
        <v>412</v>
      </c>
      <c r="L53" s="117" t="str">
        <f t="shared" si="3"/>
        <v>MMS09</v>
      </c>
      <c r="M53" s="119" t="s">
        <v>346</v>
      </c>
      <c r="N53" s="117" t="s">
        <v>1528</v>
      </c>
      <c r="O53" s="117" t="s">
        <v>1591</v>
      </c>
      <c r="P53" s="117" t="s">
        <v>1590</v>
      </c>
      <c r="Q53" s="118">
        <v>44505</v>
      </c>
      <c r="R53" s="118">
        <v>44566</v>
      </c>
      <c r="S53" s="117" t="s">
        <v>1796</v>
      </c>
      <c r="T53" s="118">
        <v>44553</v>
      </c>
      <c r="U53" s="120" t="s">
        <v>295</v>
      </c>
      <c r="V53" s="120" t="s">
        <v>295</v>
      </c>
      <c r="W53" s="121" t="s">
        <v>262</v>
      </c>
      <c r="X53" s="117" t="s">
        <v>1685</v>
      </c>
      <c r="Y53" s="117"/>
      <c r="Z53" s="117"/>
      <c r="AA53" s="117" t="s">
        <v>1</v>
      </c>
      <c r="AB53" s="117" t="s">
        <v>1797</v>
      </c>
      <c r="AC53" s="118">
        <v>44553</v>
      </c>
      <c r="AD53" s="117" t="s">
        <v>349</v>
      </c>
      <c r="AE53" s="117" t="s">
        <v>1252</v>
      </c>
      <c r="AF53" s="90" t="s">
        <v>1103</v>
      </c>
      <c r="AG53" s="90" t="s">
        <v>0</v>
      </c>
      <c r="AH53" s="93" t="s">
        <v>972</v>
      </c>
      <c r="AI53" s="93" t="b">
        <v>0</v>
      </c>
      <c r="AJ53" s="93"/>
      <c r="AK53" s="93" t="b">
        <v>0</v>
      </c>
      <c r="AL53" s="93"/>
      <c r="AM53" s="93" t="b">
        <v>0</v>
      </c>
      <c r="AN53" s="93" t="b">
        <v>0</v>
      </c>
      <c r="AO53" s="93" t="b">
        <v>0</v>
      </c>
      <c r="AP53" s="93" t="b">
        <v>0</v>
      </c>
      <c r="AQ53" s="93" t="b">
        <v>0</v>
      </c>
      <c r="AR53" s="93" t="b">
        <v>0</v>
      </c>
      <c r="AS53" s="93" t="b">
        <v>0</v>
      </c>
      <c r="AT53" s="107" t="s">
        <v>1798</v>
      </c>
      <c r="AU53" s="94">
        <v>9830288</v>
      </c>
      <c r="AV53" s="90" t="s">
        <v>734</v>
      </c>
      <c r="AW53" s="108" t="s">
        <v>943</v>
      </c>
      <c r="AX53" s="91">
        <v>44612</v>
      </c>
      <c r="AY53" s="108" t="s">
        <v>1586</v>
      </c>
      <c r="AZ53" s="90" t="s">
        <v>13</v>
      </c>
      <c r="BA53" s="90" t="s">
        <v>83</v>
      </c>
      <c r="BB53" s="90" t="s">
        <v>38</v>
      </c>
      <c r="BC53" s="90"/>
      <c r="BD53" s="90" t="s">
        <v>28</v>
      </c>
      <c r="BE53" s="90"/>
      <c r="BF53" s="90"/>
      <c r="BG53" s="91"/>
      <c r="BH53" s="93" t="b">
        <v>0</v>
      </c>
      <c r="BI53" s="90"/>
      <c r="BJ53" s="90"/>
      <c r="BK53" s="90" t="s">
        <v>1120</v>
      </c>
      <c r="BL53" s="90" t="s">
        <v>1517</v>
      </c>
      <c r="BM53" s="90"/>
      <c r="BN53" s="90"/>
      <c r="BO53" s="90"/>
      <c r="BP53" s="90"/>
      <c r="BQ53" s="90"/>
      <c r="BR53" s="95"/>
      <c r="BS53" s="90"/>
      <c r="BT53" s="90"/>
      <c r="BU53" s="90"/>
      <c r="BV53" s="90"/>
      <c r="BW53" s="90"/>
      <c r="BX53" s="90"/>
      <c r="BY53" s="90"/>
      <c r="BZ53" s="90"/>
      <c r="CA53" s="90"/>
      <c r="CB53" s="90"/>
      <c r="CC53" s="91"/>
      <c r="CD53" s="90"/>
      <c r="CE53" s="91"/>
      <c r="CF53" s="90"/>
      <c r="CG53" s="91"/>
      <c r="CH53" s="90"/>
      <c r="CI53" s="91"/>
      <c r="CJ53" s="90"/>
      <c r="CK53" s="91"/>
      <c r="CL53" s="90"/>
      <c r="CM53" s="91"/>
      <c r="CN53" s="96"/>
      <c r="CO53" s="91"/>
      <c r="CP53" s="90"/>
      <c r="CQ53" s="90"/>
      <c r="CR53" s="90"/>
      <c r="CS53" s="90"/>
      <c r="CT53" s="91"/>
      <c r="CU53" s="90"/>
      <c r="CV53" s="97"/>
    </row>
    <row r="54" spans="1:100" ht="15" customHeight="1">
      <c r="A54" s="117" t="s">
        <v>1529</v>
      </c>
      <c r="B54" s="118">
        <v>44505</v>
      </c>
      <c r="C54" s="117" t="s">
        <v>1530</v>
      </c>
      <c r="D54" s="117" t="s">
        <v>352</v>
      </c>
      <c r="E54" s="119" t="str">
        <f t="shared" si="0"/>
        <v>Cmoge</v>
      </c>
      <c r="F54" s="117" t="str">
        <f t="shared" si="1"/>
        <v>Choge</v>
      </c>
      <c r="G54" s="117" t="s">
        <v>374</v>
      </c>
      <c r="H54" s="117" t="s">
        <v>1518</v>
      </c>
      <c r="I54" s="117" t="s">
        <v>354</v>
      </c>
      <c r="J54" s="117" t="str">
        <f t="shared" si="2"/>
        <v>MMS</v>
      </c>
      <c r="K54" s="117" t="s">
        <v>414</v>
      </c>
      <c r="L54" s="117" t="str">
        <f t="shared" si="3"/>
        <v>MMS11</v>
      </c>
      <c r="M54" s="119" t="s">
        <v>346</v>
      </c>
      <c r="N54" s="117" t="s">
        <v>1531</v>
      </c>
      <c r="O54" s="117" t="s">
        <v>1592</v>
      </c>
      <c r="P54" s="117" t="s">
        <v>1593</v>
      </c>
      <c r="Q54" s="118">
        <v>44505</v>
      </c>
      <c r="R54" s="118">
        <v>44540</v>
      </c>
      <c r="S54" s="117" t="s">
        <v>1597</v>
      </c>
      <c r="T54" s="118">
        <v>44540</v>
      </c>
      <c r="U54" s="120" t="s">
        <v>295</v>
      </c>
      <c r="V54" s="120" t="s">
        <v>295</v>
      </c>
      <c r="W54" s="121" t="s">
        <v>262</v>
      </c>
      <c r="X54" s="117" t="s">
        <v>1793</v>
      </c>
      <c r="Y54" s="117"/>
      <c r="Z54" s="117"/>
      <c r="AA54" s="117" t="s">
        <v>1</v>
      </c>
      <c r="AB54" s="117" t="s">
        <v>1794</v>
      </c>
      <c r="AC54" s="118">
        <v>44542</v>
      </c>
      <c r="AD54" s="117" t="s">
        <v>349</v>
      </c>
      <c r="AE54" s="117" t="s">
        <v>1252</v>
      </c>
      <c r="AF54" s="90" t="s">
        <v>1103</v>
      </c>
      <c r="AG54" s="90" t="s">
        <v>0</v>
      </c>
      <c r="AH54" s="93" t="s">
        <v>972</v>
      </c>
      <c r="AI54" s="93" t="b">
        <v>0</v>
      </c>
      <c r="AJ54" s="93"/>
      <c r="AK54" s="93" t="b">
        <v>0</v>
      </c>
      <c r="AL54" s="93"/>
      <c r="AM54" s="93" t="b">
        <v>0</v>
      </c>
      <c r="AN54" s="93" t="b">
        <v>0</v>
      </c>
      <c r="AO54" s="93" t="b">
        <v>0</v>
      </c>
      <c r="AP54" s="93" t="b">
        <v>0</v>
      </c>
      <c r="AQ54" s="93" t="b">
        <v>0</v>
      </c>
      <c r="AR54" s="93" t="b">
        <v>0</v>
      </c>
      <c r="AS54" s="93" t="b">
        <v>0</v>
      </c>
      <c r="AT54" s="107" t="s">
        <v>1795</v>
      </c>
      <c r="AU54" s="94">
        <v>9830288</v>
      </c>
      <c r="AV54" s="90" t="s">
        <v>734</v>
      </c>
      <c r="AW54" s="108" t="s">
        <v>943</v>
      </c>
      <c r="AX54" s="91">
        <v>44612</v>
      </c>
      <c r="AY54" s="108" t="s">
        <v>1586</v>
      </c>
      <c r="AZ54" s="90" t="s">
        <v>13</v>
      </c>
      <c r="BA54" s="90" t="s">
        <v>83</v>
      </c>
      <c r="BB54" s="90" t="s">
        <v>40</v>
      </c>
      <c r="BC54" s="90"/>
      <c r="BD54" s="90" t="s">
        <v>30</v>
      </c>
      <c r="BE54" s="90"/>
      <c r="BF54" s="90"/>
      <c r="BG54" s="91"/>
      <c r="BH54" s="93" t="b">
        <v>0</v>
      </c>
      <c r="BI54" s="90"/>
      <c r="BJ54" s="90"/>
      <c r="BK54" s="90" t="s">
        <v>1120</v>
      </c>
      <c r="BL54" s="90" t="s">
        <v>1517</v>
      </c>
      <c r="BM54" s="90"/>
      <c r="BN54" s="90"/>
      <c r="BO54" s="90"/>
      <c r="BP54" s="90"/>
      <c r="BQ54" s="90"/>
      <c r="BR54" s="95"/>
      <c r="BS54" s="90"/>
      <c r="BT54" s="90"/>
      <c r="BU54" s="90"/>
      <c r="BV54" s="90"/>
      <c r="BW54" s="90"/>
      <c r="BX54" s="90"/>
      <c r="BY54" s="90"/>
      <c r="BZ54" s="90"/>
      <c r="CA54" s="90"/>
      <c r="CB54" s="90"/>
      <c r="CC54" s="91"/>
      <c r="CD54" s="90"/>
      <c r="CE54" s="91"/>
      <c r="CF54" s="90"/>
      <c r="CG54" s="91"/>
      <c r="CH54" s="90"/>
      <c r="CI54" s="91"/>
      <c r="CJ54" s="90"/>
      <c r="CK54" s="91"/>
      <c r="CL54" s="90"/>
      <c r="CM54" s="91"/>
      <c r="CN54" s="96"/>
      <c r="CO54" s="91"/>
      <c r="CP54" s="90"/>
      <c r="CQ54" s="90"/>
      <c r="CR54" s="90"/>
      <c r="CS54" s="90"/>
      <c r="CT54" s="91"/>
      <c r="CU54" s="90"/>
      <c r="CV54" s="97"/>
    </row>
    <row r="55" spans="1:100" ht="15" customHeight="1">
      <c r="A55" s="117" t="s">
        <v>1532</v>
      </c>
      <c r="B55" s="118">
        <v>44505</v>
      </c>
      <c r="C55" s="117" t="s">
        <v>1533</v>
      </c>
      <c r="D55" s="117" t="s">
        <v>352</v>
      </c>
      <c r="E55" s="119" t="str">
        <f t="shared" si="0"/>
        <v>Cmoge</v>
      </c>
      <c r="F55" s="117" t="str">
        <f t="shared" si="1"/>
        <v>Choge</v>
      </c>
      <c r="G55" s="117" t="s">
        <v>374</v>
      </c>
      <c r="H55" s="117" t="s">
        <v>1518</v>
      </c>
      <c r="I55" s="117" t="s">
        <v>354</v>
      </c>
      <c r="J55" s="117" t="str">
        <f t="shared" si="2"/>
        <v>MMS</v>
      </c>
      <c r="K55" s="117" t="s">
        <v>414</v>
      </c>
      <c r="L55" s="117" t="str">
        <f t="shared" si="3"/>
        <v>MMS11</v>
      </c>
      <c r="M55" s="119" t="s">
        <v>346</v>
      </c>
      <c r="N55" s="117" t="s">
        <v>1534</v>
      </c>
      <c r="O55" s="117" t="s">
        <v>1594</v>
      </c>
      <c r="P55" s="117" t="s">
        <v>1595</v>
      </c>
      <c r="Q55" s="118">
        <v>44505</v>
      </c>
      <c r="R55" s="118">
        <v>44515</v>
      </c>
      <c r="S55" s="117" t="s">
        <v>1596</v>
      </c>
      <c r="T55" s="118">
        <v>44529</v>
      </c>
      <c r="U55" s="120" t="s">
        <v>295</v>
      </c>
      <c r="V55" s="120" t="s">
        <v>295</v>
      </c>
      <c r="W55" s="121" t="s">
        <v>262</v>
      </c>
      <c r="X55" s="117" t="s">
        <v>1685</v>
      </c>
      <c r="Y55" s="117"/>
      <c r="Z55" s="117"/>
      <c r="AA55" s="117" t="s">
        <v>1</v>
      </c>
      <c r="AB55" s="117" t="s">
        <v>1791</v>
      </c>
      <c r="AC55" s="118">
        <v>44529</v>
      </c>
      <c r="AD55" s="117" t="s">
        <v>349</v>
      </c>
      <c r="AE55" s="117" t="s">
        <v>1252</v>
      </c>
      <c r="AF55" s="90" t="s">
        <v>1103</v>
      </c>
      <c r="AG55" s="90" t="s">
        <v>0</v>
      </c>
      <c r="AH55" s="93" t="s">
        <v>972</v>
      </c>
      <c r="AI55" s="93" t="b">
        <v>0</v>
      </c>
      <c r="AJ55" s="93"/>
      <c r="AK55" s="93" t="b">
        <v>0</v>
      </c>
      <c r="AL55" s="93"/>
      <c r="AM55" s="93" t="b">
        <v>0</v>
      </c>
      <c r="AN55" s="93" t="b">
        <v>0</v>
      </c>
      <c r="AO55" s="93" t="b">
        <v>0</v>
      </c>
      <c r="AP55" s="93" t="b">
        <v>0</v>
      </c>
      <c r="AQ55" s="93" t="b">
        <v>0</v>
      </c>
      <c r="AR55" s="93" t="b">
        <v>0</v>
      </c>
      <c r="AS55" s="93" t="b">
        <v>0</v>
      </c>
      <c r="AT55" s="107" t="s">
        <v>1792</v>
      </c>
      <c r="AU55" s="94">
        <v>9830288</v>
      </c>
      <c r="AV55" s="90" t="s">
        <v>734</v>
      </c>
      <c r="AW55" s="108" t="s">
        <v>943</v>
      </c>
      <c r="AX55" s="91">
        <v>44612</v>
      </c>
      <c r="AY55" s="108" t="s">
        <v>1586</v>
      </c>
      <c r="AZ55" s="90" t="s">
        <v>584</v>
      </c>
      <c r="BA55" s="90" t="s">
        <v>82</v>
      </c>
      <c r="BB55" s="90" t="s">
        <v>40</v>
      </c>
      <c r="BC55" s="90"/>
      <c r="BD55" s="90" t="s">
        <v>30</v>
      </c>
      <c r="BE55" s="90"/>
      <c r="BF55" s="90"/>
      <c r="BG55" s="91"/>
      <c r="BH55" s="93" t="b">
        <v>0</v>
      </c>
      <c r="BI55" s="90"/>
      <c r="BJ55" s="90"/>
      <c r="BK55" s="90" t="s">
        <v>1120</v>
      </c>
      <c r="BL55" s="90" t="s">
        <v>1517</v>
      </c>
      <c r="BM55" s="90"/>
      <c r="BN55" s="90"/>
      <c r="BO55" s="90"/>
      <c r="BP55" s="90"/>
      <c r="BQ55" s="90"/>
      <c r="BR55" s="95"/>
      <c r="BS55" s="90"/>
      <c r="BT55" s="90"/>
      <c r="BU55" s="90"/>
      <c r="BV55" s="90"/>
      <c r="BW55" s="90"/>
      <c r="BX55" s="90"/>
      <c r="BY55" s="90"/>
      <c r="BZ55" s="90"/>
      <c r="CA55" s="90"/>
      <c r="CB55" s="90"/>
      <c r="CC55" s="91"/>
      <c r="CD55" s="90"/>
      <c r="CE55" s="91"/>
      <c r="CF55" s="90"/>
      <c r="CG55" s="91"/>
      <c r="CH55" s="90"/>
      <c r="CI55" s="91"/>
      <c r="CJ55" s="90"/>
      <c r="CK55" s="91"/>
      <c r="CL55" s="90"/>
      <c r="CM55" s="91"/>
      <c r="CN55" s="96"/>
      <c r="CO55" s="91"/>
      <c r="CP55" s="90"/>
      <c r="CQ55" s="90"/>
      <c r="CR55" s="90"/>
      <c r="CS55" s="90"/>
      <c r="CT55" s="91"/>
      <c r="CU55" s="90"/>
      <c r="CV55" s="97"/>
    </row>
    <row r="56" spans="1:100" ht="15" customHeight="1">
      <c r="A56" s="117" t="s">
        <v>1535</v>
      </c>
      <c r="B56" s="118">
        <v>44505</v>
      </c>
      <c r="C56" s="117" t="s">
        <v>1536</v>
      </c>
      <c r="D56" s="117" t="s">
        <v>352</v>
      </c>
      <c r="E56" s="119" t="str">
        <f t="shared" si="0"/>
        <v>Cmoge</v>
      </c>
      <c r="F56" s="117" t="str">
        <f t="shared" si="1"/>
        <v>Choge</v>
      </c>
      <c r="G56" s="117" t="s">
        <v>374</v>
      </c>
      <c r="H56" s="117" t="s">
        <v>1518</v>
      </c>
      <c r="I56" s="117" t="s">
        <v>354</v>
      </c>
      <c r="J56" s="117" t="str">
        <f t="shared" si="2"/>
        <v>MMS</v>
      </c>
      <c r="K56" s="117" t="s">
        <v>150</v>
      </c>
      <c r="L56" s="117" t="str">
        <f t="shared" si="3"/>
        <v>ELC08</v>
      </c>
      <c r="M56" s="119" t="s">
        <v>346</v>
      </c>
      <c r="N56" s="117" t="s">
        <v>1537</v>
      </c>
      <c r="O56" s="117" t="s">
        <v>1573</v>
      </c>
      <c r="P56" s="117" t="s">
        <v>1584</v>
      </c>
      <c r="Q56" s="118">
        <v>44505</v>
      </c>
      <c r="R56" s="118">
        <v>44595</v>
      </c>
      <c r="S56" s="117" t="s">
        <v>499</v>
      </c>
      <c r="T56" s="118"/>
      <c r="U56" s="120" t="s">
        <v>295</v>
      </c>
      <c r="V56" s="120" t="s">
        <v>295</v>
      </c>
      <c r="W56" s="121" t="s">
        <v>262</v>
      </c>
      <c r="X56" s="117" t="s">
        <v>1215</v>
      </c>
      <c r="Y56" s="117"/>
      <c r="Z56" s="117"/>
      <c r="AA56" s="117" t="s">
        <v>4</v>
      </c>
      <c r="AB56" s="117" t="s">
        <v>1215</v>
      </c>
      <c r="AC56" s="118">
        <v>44505</v>
      </c>
      <c r="AD56" s="117" t="s">
        <v>349</v>
      </c>
      <c r="AE56" s="117" t="s">
        <v>1252</v>
      </c>
      <c r="AF56" s="90" t="s">
        <v>1103</v>
      </c>
      <c r="AG56" s="90" t="s">
        <v>0</v>
      </c>
      <c r="AH56" s="93" t="s">
        <v>972</v>
      </c>
      <c r="AI56" s="93" t="b">
        <v>0</v>
      </c>
      <c r="AJ56" s="93"/>
      <c r="AK56" s="93" t="b">
        <v>0</v>
      </c>
      <c r="AL56" s="93"/>
      <c r="AM56" s="93" t="b">
        <v>0</v>
      </c>
      <c r="AN56" s="93" t="b">
        <v>0</v>
      </c>
      <c r="AO56" s="93" t="b">
        <v>0</v>
      </c>
      <c r="AP56" s="93" t="b">
        <v>0</v>
      </c>
      <c r="AQ56" s="93" t="b">
        <v>0</v>
      </c>
      <c r="AR56" s="93" t="b">
        <v>0</v>
      </c>
      <c r="AS56" s="93" t="b">
        <v>0</v>
      </c>
      <c r="AT56" s="107" t="s">
        <v>1790</v>
      </c>
      <c r="AU56" s="94">
        <v>9830288</v>
      </c>
      <c r="AV56" s="90" t="s">
        <v>734</v>
      </c>
      <c r="AW56" s="108" t="s">
        <v>943</v>
      </c>
      <c r="AX56" s="91">
        <v>44612</v>
      </c>
      <c r="AY56" s="108" t="s">
        <v>1586</v>
      </c>
      <c r="AZ56" s="90" t="s">
        <v>16</v>
      </c>
      <c r="BA56" s="90" t="s">
        <v>120</v>
      </c>
      <c r="BB56" s="90" t="s">
        <v>43</v>
      </c>
      <c r="BC56" s="90"/>
      <c r="BD56" s="90" t="s">
        <v>756</v>
      </c>
      <c r="BE56" s="90"/>
      <c r="BF56" s="90"/>
      <c r="BG56" s="91"/>
      <c r="BH56" s="93" t="b">
        <v>0</v>
      </c>
      <c r="BI56" s="90" t="s">
        <v>499</v>
      </c>
      <c r="BJ56" s="90"/>
      <c r="BK56" s="90" t="s">
        <v>1120</v>
      </c>
      <c r="BL56" s="90" t="s">
        <v>1517</v>
      </c>
      <c r="BM56" s="90"/>
      <c r="BN56" s="90"/>
      <c r="BO56" s="90"/>
      <c r="BP56" s="90"/>
      <c r="BQ56" s="90"/>
      <c r="BR56" s="95"/>
      <c r="BS56" s="90"/>
      <c r="BT56" s="90"/>
      <c r="BU56" s="90"/>
      <c r="BV56" s="90"/>
      <c r="BW56" s="90"/>
      <c r="BX56" s="90"/>
      <c r="BY56" s="90"/>
      <c r="BZ56" s="90"/>
      <c r="CA56" s="90"/>
      <c r="CB56" s="90"/>
      <c r="CC56" s="91"/>
      <c r="CD56" s="90"/>
      <c r="CE56" s="91"/>
      <c r="CF56" s="90"/>
      <c r="CG56" s="91"/>
      <c r="CH56" s="90"/>
      <c r="CI56" s="91"/>
      <c r="CJ56" s="90"/>
      <c r="CK56" s="91"/>
      <c r="CL56" s="90"/>
      <c r="CM56" s="91"/>
      <c r="CN56" s="96"/>
      <c r="CO56" s="91"/>
      <c r="CP56" s="90"/>
      <c r="CQ56" s="90"/>
      <c r="CR56" s="90"/>
      <c r="CS56" s="90"/>
      <c r="CT56" s="91"/>
      <c r="CU56" s="90"/>
      <c r="CV56" s="97"/>
    </row>
    <row r="57" spans="1:100" ht="15" customHeight="1">
      <c r="A57" s="117" t="s">
        <v>1538</v>
      </c>
      <c r="B57" s="118">
        <v>44505</v>
      </c>
      <c r="C57" s="117" t="s">
        <v>1539</v>
      </c>
      <c r="D57" s="117" t="s">
        <v>352</v>
      </c>
      <c r="E57" s="119" t="str">
        <f t="shared" si="0"/>
        <v>Cmoge</v>
      </c>
      <c r="F57" s="117" t="str">
        <f t="shared" si="1"/>
        <v>Choge</v>
      </c>
      <c r="G57" s="117" t="s">
        <v>374</v>
      </c>
      <c r="H57" s="117" t="s">
        <v>1518</v>
      </c>
      <c r="I57" s="117" t="s">
        <v>354</v>
      </c>
      <c r="J57" s="117" t="str">
        <f t="shared" si="2"/>
        <v>MMS</v>
      </c>
      <c r="K57" s="117" t="s">
        <v>150</v>
      </c>
      <c r="L57" s="117" t="str">
        <f t="shared" si="3"/>
        <v>ELC08</v>
      </c>
      <c r="M57" s="119" t="s">
        <v>346</v>
      </c>
      <c r="N57" s="117" t="s">
        <v>1540</v>
      </c>
      <c r="O57" s="117" t="s">
        <v>1574</v>
      </c>
      <c r="P57" s="117" t="s">
        <v>1575</v>
      </c>
      <c r="Q57" s="118">
        <v>44505</v>
      </c>
      <c r="R57" s="118">
        <v>44572</v>
      </c>
      <c r="S57" s="117" t="s">
        <v>1583</v>
      </c>
      <c r="T57" s="118">
        <v>44552</v>
      </c>
      <c r="U57" s="120" t="s">
        <v>295</v>
      </c>
      <c r="V57" s="120" t="s">
        <v>295</v>
      </c>
      <c r="W57" s="121" t="s">
        <v>262</v>
      </c>
      <c r="X57" s="117" t="s">
        <v>1787</v>
      </c>
      <c r="Y57" s="117"/>
      <c r="Z57" s="117"/>
      <c r="AA57" s="117"/>
      <c r="AB57" s="117" t="s">
        <v>1788</v>
      </c>
      <c r="AC57" s="118">
        <v>44552</v>
      </c>
      <c r="AD57" s="117" t="s">
        <v>349</v>
      </c>
      <c r="AE57" s="117" t="s">
        <v>1252</v>
      </c>
      <c r="AF57" s="90" t="s">
        <v>1103</v>
      </c>
      <c r="AG57" s="90" t="s">
        <v>0</v>
      </c>
      <c r="AH57" s="93" t="s">
        <v>972</v>
      </c>
      <c r="AI57" s="93" t="b">
        <v>0</v>
      </c>
      <c r="AJ57" s="93"/>
      <c r="AK57" s="93" t="b">
        <v>0</v>
      </c>
      <c r="AL57" s="93"/>
      <c r="AM57" s="93" t="b">
        <v>0</v>
      </c>
      <c r="AN57" s="93" t="b">
        <v>0</v>
      </c>
      <c r="AO57" s="93" t="b">
        <v>0</v>
      </c>
      <c r="AP57" s="93" t="b">
        <v>0</v>
      </c>
      <c r="AQ57" s="93" t="b">
        <v>0</v>
      </c>
      <c r="AR57" s="93" t="b">
        <v>0</v>
      </c>
      <c r="AS57" s="93" t="b">
        <v>0</v>
      </c>
      <c r="AT57" s="107" t="s">
        <v>1789</v>
      </c>
      <c r="AU57" s="94">
        <v>9830288</v>
      </c>
      <c r="AV57" s="90" t="s">
        <v>734</v>
      </c>
      <c r="AW57" s="108" t="s">
        <v>943</v>
      </c>
      <c r="AX57" s="91">
        <v>44612</v>
      </c>
      <c r="AY57" s="108" t="s">
        <v>1586</v>
      </c>
      <c r="AZ57" s="90" t="s">
        <v>391</v>
      </c>
      <c r="BA57" s="90" t="s">
        <v>138</v>
      </c>
      <c r="BB57" s="90" t="s">
        <v>43</v>
      </c>
      <c r="BC57" s="90"/>
      <c r="BD57" s="90" t="s">
        <v>756</v>
      </c>
      <c r="BE57" s="90"/>
      <c r="BF57" s="90"/>
      <c r="BG57" s="91"/>
      <c r="BH57" s="93" t="b">
        <v>0</v>
      </c>
      <c r="BI57" s="90" t="s">
        <v>1576</v>
      </c>
      <c r="BJ57" s="90"/>
      <c r="BK57" s="90" t="s">
        <v>1120</v>
      </c>
      <c r="BL57" s="90" t="s">
        <v>1517</v>
      </c>
      <c r="BM57" s="90"/>
      <c r="BN57" s="90"/>
      <c r="BO57" s="90"/>
      <c r="BP57" s="90"/>
      <c r="BQ57" s="90"/>
      <c r="BR57" s="95"/>
      <c r="BS57" s="90"/>
      <c r="BT57" s="90"/>
      <c r="BU57" s="90"/>
      <c r="BV57" s="90"/>
      <c r="BW57" s="90"/>
      <c r="BX57" s="90"/>
      <c r="BY57" s="90"/>
      <c r="BZ57" s="90"/>
      <c r="CA57" s="90"/>
      <c r="CB57" s="90"/>
      <c r="CC57" s="91"/>
      <c r="CD57" s="90"/>
      <c r="CE57" s="91"/>
      <c r="CF57" s="90"/>
      <c r="CG57" s="91"/>
      <c r="CH57" s="90"/>
      <c r="CI57" s="91"/>
      <c r="CJ57" s="90"/>
      <c r="CK57" s="91"/>
      <c r="CL57" s="90"/>
      <c r="CM57" s="91"/>
      <c r="CN57" s="96"/>
      <c r="CO57" s="91"/>
      <c r="CP57" s="90"/>
      <c r="CQ57" s="90"/>
      <c r="CR57" s="90"/>
      <c r="CS57" s="90"/>
      <c r="CT57" s="91"/>
      <c r="CU57" s="90"/>
      <c r="CV57" s="97"/>
    </row>
    <row r="58" spans="1:100" ht="15" customHeight="1">
      <c r="A58" s="117" t="s">
        <v>1541</v>
      </c>
      <c r="B58" s="118">
        <v>44505</v>
      </c>
      <c r="C58" s="117" t="s">
        <v>1542</v>
      </c>
      <c r="D58" s="117" t="s">
        <v>352</v>
      </c>
      <c r="E58" s="119" t="str">
        <f t="shared" si="0"/>
        <v>Cmoge</v>
      </c>
      <c r="F58" s="117" t="str">
        <f t="shared" si="1"/>
        <v>Choge</v>
      </c>
      <c r="G58" s="117" t="s">
        <v>374</v>
      </c>
      <c r="H58" s="117" t="s">
        <v>1518</v>
      </c>
      <c r="I58" s="117" t="s">
        <v>354</v>
      </c>
      <c r="J58" s="117" t="str">
        <f t="shared" si="2"/>
        <v>MMS</v>
      </c>
      <c r="K58" s="117" t="s">
        <v>150</v>
      </c>
      <c r="L58" s="117" t="str">
        <f t="shared" si="3"/>
        <v>ELC08</v>
      </c>
      <c r="M58" s="119" t="s">
        <v>346</v>
      </c>
      <c r="N58" s="117" t="s">
        <v>1543</v>
      </c>
      <c r="O58" s="117" t="s">
        <v>1577</v>
      </c>
      <c r="P58" s="117" t="s">
        <v>1580</v>
      </c>
      <c r="Q58" s="118">
        <v>44505</v>
      </c>
      <c r="R58" s="118">
        <v>44515</v>
      </c>
      <c r="S58" s="117" t="s">
        <v>499</v>
      </c>
      <c r="T58" s="118"/>
      <c r="U58" s="120" t="s">
        <v>295</v>
      </c>
      <c r="V58" s="120" t="s">
        <v>295</v>
      </c>
      <c r="W58" s="121" t="s">
        <v>262</v>
      </c>
      <c r="X58" s="117" t="s">
        <v>1215</v>
      </c>
      <c r="Y58" s="117"/>
      <c r="Z58" s="117"/>
      <c r="AA58" s="117" t="s">
        <v>2</v>
      </c>
      <c r="AB58" s="117" t="s">
        <v>1215</v>
      </c>
      <c r="AC58" s="118">
        <v>44505</v>
      </c>
      <c r="AD58" s="117" t="s">
        <v>349</v>
      </c>
      <c r="AE58" s="117" t="s">
        <v>1252</v>
      </c>
      <c r="AF58" s="90" t="s">
        <v>1103</v>
      </c>
      <c r="AG58" s="90" t="s">
        <v>0</v>
      </c>
      <c r="AH58" s="93" t="s">
        <v>972</v>
      </c>
      <c r="AI58" s="93" t="b">
        <v>0</v>
      </c>
      <c r="AJ58" s="93"/>
      <c r="AK58" s="93" t="b">
        <v>0</v>
      </c>
      <c r="AL58" s="93"/>
      <c r="AM58" s="93" t="b">
        <v>0</v>
      </c>
      <c r="AN58" s="93" t="b">
        <v>0</v>
      </c>
      <c r="AO58" s="93" t="b">
        <v>0</v>
      </c>
      <c r="AP58" s="93" t="b">
        <v>0</v>
      </c>
      <c r="AQ58" s="93" t="b">
        <v>0</v>
      </c>
      <c r="AR58" s="93" t="b">
        <v>0</v>
      </c>
      <c r="AS58" s="93" t="b">
        <v>0</v>
      </c>
      <c r="AT58" s="107" t="s">
        <v>1786</v>
      </c>
      <c r="AU58" s="94">
        <v>9830288</v>
      </c>
      <c r="AV58" s="90" t="s">
        <v>734</v>
      </c>
      <c r="AW58" s="108" t="s">
        <v>943</v>
      </c>
      <c r="AX58" s="91">
        <v>44612</v>
      </c>
      <c r="AY58" s="108" t="s">
        <v>1586</v>
      </c>
      <c r="AZ58" s="90" t="s">
        <v>583</v>
      </c>
      <c r="BA58" s="90" t="s">
        <v>143</v>
      </c>
      <c r="BB58" s="90" t="s">
        <v>43</v>
      </c>
      <c r="BC58" s="90"/>
      <c r="BD58" s="90" t="s">
        <v>756</v>
      </c>
      <c r="BE58" s="90"/>
      <c r="BF58" s="90"/>
      <c r="BG58" s="91"/>
      <c r="BH58" s="93" t="b">
        <v>0</v>
      </c>
      <c r="BI58" s="90" t="s">
        <v>499</v>
      </c>
      <c r="BJ58" s="90"/>
      <c r="BK58" s="90" t="s">
        <v>1120</v>
      </c>
      <c r="BL58" s="90" t="s">
        <v>1517</v>
      </c>
      <c r="BM58" s="90"/>
      <c r="BN58" s="90"/>
      <c r="BO58" s="90"/>
      <c r="BP58" s="90"/>
      <c r="BQ58" s="90"/>
      <c r="BR58" s="95"/>
      <c r="BS58" s="90"/>
      <c r="BT58" s="90"/>
      <c r="BU58" s="90"/>
      <c r="BV58" s="90"/>
      <c r="BW58" s="90"/>
      <c r="BX58" s="90"/>
      <c r="BY58" s="90"/>
      <c r="BZ58" s="90"/>
      <c r="CA58" s="90"/>
      <c r="CB58" s="90"/>
      <c r="CC58" s="91"/>
      <c r="CD58" s="90"/>
      <c r="CE58" s="91"/>
      <c r="CF58" s="90"/>
      <c r="CG58" s="91"/>
      <c r="CH58" s="90"/>
      <c r="CI58" s="91"/>
      <c r="CJ58" s="90"/>
      <c r="CK58" s="91"/>
      <c r="CL58" s="90"/>
      <c r="CM58" s="91"/>
      <c r="CN58" s="96"/>
      <c r="CO58" s="91"/>
      <c r="CP58" s="90"/>
      <c r="CQ58" s="90"/>
      <c r="CR58" s="90"/>
      <c r="CS58" s="90"/>
      <c r="CT58" s="91"/>
      <c r="CU58" s="90"/>
      <c r="CV58" s="97"/>
    </row>
    <row r="59" spans="1:100" ht="15" customHeight="1">
      <c r="A59" s="117" t="s">
        <v>1544</v>
      </c>
      <c r="B59" s="118">
        <v>44505</v>
      </c>
      <c r="C59" s="117" t="s">
        <v>1545</v>
      </c>
      <c r="D59" s="117" t="s">
        <v>352</v>
      </c>
      <c r="E59" s="119" t="str">
        <f t="shared" si="0"/>
        <v>Cmoge</v>
      </c>
      <c r="F59" s="117" t="str">
        <f t="shared" si="1"/>
        <v>Choge</v>
      </c>
      <c r="G59" s="117" t="s">
        <v>374</v>
      </c>
      <c r="H59" s="117" t="s">
        <v>1518</v>
      </c>
      <c r="I59" s="117" t="s">
        <v>354</v>
      </c>
      <c r="J59" s="117" t="str">
        <f t="shared" si="2"/>
        <v>MMS</v>
      </c>
      <c r="K59" s="117" t="s">
        <v>150</v>
      </c>
      <c r="L59" s="117" t="str">
        <f t="shared" si="3"/>
        <v>ELC08</v>
      </c>
      <c r="M59" s="119" t="s">
        <v>346</v>
      </c>
      <c r="N59" s="117" t="s">
        <v>1546</v>
      </c>
      <c r="O59" s="117" t="s">
        <v>1578</v>
      </c>
      <c r="P59" s="117" t="s">
        <v>1579</v>
      </c>
      <c r="Q59" s="118">
        <v>44505</v>
      </c>
      <c r="R59" s="118">
        <v>44595</v>
      </c>
      <c r="S59" s="117" t="s">
        <v>1581</v>
      </c>
      <c r="T59" s="118">
        <v>44552</v>
      </c>
      <c r="U59" s="120" t="s">
        <v>295</v>
      </c>
      <c r="V59" s="120" t="s">
        <v>295</v>
      </c>
      <c r="W59" s="121" t="s">
        <v>262</v>
      </c>
      <c r="X59" s="117" t="s">
        <v>1258</v>
      </c>
      <c r="Y59" s="117"/>
      <c r="Z59" s="117"/>
      <c r="AA59" s="117" t="s">
        <v>804</v>
      </c>
      <c r="AB59" s="117" t="s">
        <v>1784</v>
      </c>
      <c r="AC59" s="118">
        <v>44552</v>
      </c>
      <c r="AD59" s="117" t="s">
        <v>349</v>
      </c>
      <c r="AE59" s="117" t="s">
        <v>1252</v>
      </c>
      <c r="AF59" s="90" t="s">
        <v>1103</v>
      </c>
      <c r="AG59" s="90" t="s">
        <v>0</v>
      </c>
      <c r="AH59" s="93" t="s">
        <v>972</v>
      </c>
      <c r="AI59" s="93" t="b">
        <v>0</v>
      </c>
      <c r="AJ59" s="93"/>
      <c r="AK59" s="93" t="b">
        <v>0</v>
      </c>
      <c r="AL59" s="93"/>
      <c r="AM59" s="93" t="b">
        <v>0</v>
      </c>
      <c r="AN59" s="93" t="b">
        <v>0</v>
      </c>
      <c r="AO59" s="93" t="b">
        <v>0</v>
      </c>
      <c r="AP59" s="93" t="b">
        <v>0</v>
      </c>
      <c r="AQ59" s="93" t="b">
        <v>0</v>
      </c>
      <c r="AR59" s="93" t="b">
        <v>0</v>
      </c>
      <c r="AS59" s="93" t="b">
        <v>0</v>
      </c>
      <c r="AT59" s="107" t="s">
        <v>1785</v>
      </c>
      <c r="AU59" s="94">
        <v>9830288</v>
      </c>
      <c r="AV59" s="90" t="s">
        <v>734</v>
      </c>
      <c r="AW59" s="108" t="s">
        <v>943</v>
      </c>
      <c r="AX59" s="91">
        <v>44612</v>
      </c>
      <c r="AY59" s="108" t="s">
        <v>1586</v>
      </c>
      <c r="AZ59" s="90" t="s">
        <v>583</v>
      </c>
      <c r="BA59" s="90" t="s">
        <v>143</v>
      </c>
      <c r="BB59" s="90" t="s">
        <v>43</v>
      </c>
      <c r="BC59" s="90"/>
      <c r="BD59" s="90" t="s">
        <v>756</v>
      </c>
      <c r="BE59" s="90"/>
      <c r="BF59" s="90"/>
      <c r="BG59" s="91"/>
      <c r="BH59" s="93" t="b">
        <v>0</v>
      </c>
      <c r="BI59" s="90" t="s">
        <v>499</v>
      </c>
      <c r="BJ59" s="90"/>
      <c r="BK59" s="90" t="s">
        <v>1120</v>
      </c>
      <c r="BL59" s="90" t="s">
        <v>1517</v>
      </c>
      <c r="BM59" s="90"/>
      <c r="BN59" s="90"/>
      <c r="BO59" s="90"/>
      <c r="BP59" s="90"/>
      <c r="BQ59" s="90"/>
      <c r="BR59" s="95"/>
      <c r="BS59" s="90"/>
      <c r="BT59" s="90"/>
      <c r="BU59" s="90"/>
      <c r="BV59" s="90"/>
      <c r="BW59" s="90"/>
      <c r="BX59" s="90"/>
      <c r="BY59" s="90"/>
      <c r="BZ59" s="90"/>
      <c r="CA59" s="90"/>
      <c r="CB59" s="90"/>
      <c r="CC59" s="91"/>
      <c r="CD59" s="90"/>
      <c r="CE59" s="91"/>
      <c r="CF59" s="90"/>
      <c r="CG59" s="91"/>
      <c r="CH59" s="90"/>
      <c r="CI59" s="91"/>
      <c r="CJ59" s="90"/>
      <c r="CK59" s="91"/>
      <c r="CL59" s="90"/>
      <c r="CM59" s="91"/>
      <c r="CN59" s="96"/>
      <c r="CO59" s="91"/>
      <c r="CP59" s="90"/>
      <c r="CQ59" s="90"/>
      <c r="CR59" s="90"/>
      <c r="CS59" s="90"/>
      <c r="CT59" s="91"/>
      <c r="CU59" s="90"/>
      <c r="CV59" s="97"/>
    </row>
    <row r="60" spans="1:100" ht="15" customHeight="1">
      <c r="A60" s="117" t="s">
        <v>1547</v>
      </c>
      <c r="B60" s="118">
        <v>44513</v>
      </c>
      <c r="C60" s="117" t="s">
        <v>1548</v>
      </c>
      <c r="D60" s="117" t="s">
        <v>364</v>
      </c>
      <c r="E60" s="119" t="str">
        <f t="shared" si="0"/>
        <v>Fmoge</v>
      </c>
      <c r="F60" s="117" t="str">
        <f t="shared" si="1"/>
        <v>Fhoge</v>
      </c>
      <c r="G60" s="117" t="s">
        <v>390</v>
      </c>
      <c r="H60" s="117" t="s">
        <v>1406</v>
      </c>
      <c r="I60" s="117" t="s">
        <v>19</v>
      </c>
      <c r="J60" s="117" t="str">
        <f t="shared" si="2"/>
        <v>ELC</v>
      </c>
      <c r="K60" s="117" t="s">
        <v>150</v>
      </c>
      <c r="L60" s="117" t="str">
        <f t="shared" si="3"/>
        <v>ELC08</v>
      </c>
      <c r="M60" s="119" t="s">
        <v>346</v>
      </c>
      <c r="N60" s="117" t="s">
        <v>1567</v>
      </c>
      <c r="O60" s="117" t="s">
        <v>1568</v>
      </c>
      <c r="P60" s="117" t="s">
        <v>1569</v>
      </c>
      <c r="Q60" s="118">
        <v>44513</v>
      </c>
      <c r="R60" s="118">
        <v>44573</v>
      </c>
      <c r="S60" s="117" t="s">
        <v>1582</v>
      </c>
      <c r="T60" s="118">
        <v>44515</v>
      </c>
      <c r="U60" s="120" t="s">
        <v>295</v>
      </c>
      <c r="V60" s="120" t="s">
        <v>295</v>
      </c>
      <c r="W60" s="121" t="s">
        <v>262</v>
      </c>
      <c r="X60" s="117" t="s">
        <v>1780</v>
      </c>
      <c r="Y60" s="117"/>
      <c r="Z60" s="117"/>
      <c r="AA60" s="117" t="s">
        <v>4</v>
      </c>
      <c r="AB60" s="117" t="s">
        <v>1781</v>
      </c>
      <c r="AC60" s="118">
        <v>44515</v>
      </c>
      <c r="AD60" s="117" t="s">
        <v>349</v>
      </c>
      <c r="AE60" s="117" t="s">
        <v>1782</v>
      </c>
      <c r="AF60" s="90" t="s">
        <v>1103</v>
      </c>
      <c r="AG60" s="90" t="s">
        <v>0</v>
      </c>
      <c r="AH60" s="93" t="s">
        <v>1570</v>
      </c>
      <c r="AI60" s="93" t="b">
        <v>0</v>
      </c>
      <c r="AJ60" s="93"/>
      <c r="AK60" s="93" t="b">
        <v>0</v>
      </c>
      <c r="AL60" s="93"/>
      <c r="AM60" s="93" t="b">
        <v>0</v>
      </c>
      <c r="AN60" s="93" t="b">
        <v>1</v>
      </c>
      <c r="AO60" s="93" t="b">
        <v>0</v>
      </c>
      <c r="AP60" s="93" t="b">
        <v>0</v>
      </c>
      <c r="AQ60" s="93" t="b">
        <v>1</v>
      </c>
      <c r="AR60" s="93" t="b">
        <v>0</v>
      </c>
      <c r="AS60" s="93" t="b">
        <v>0</v>
      </c>
      <c r="AT60" s="107" t="s">
        <v>1783</v>
      </c>
      <c r="AU60" s="94">
        <v>9830288</v>
      </c>
      <c r="AV60" s="90" t="s">
        <v>734</v>
      </c>
      <c r="AW60" s="108" t="s">
        <v>943</v>
      </c>
      <c r="AX60" s="91">
        <v>44612</v>
      </c>
      <c r="AY60" s="108" t="s">
        <v>1586</v>
      </c>
      <c r="AZ60" s="90" t="s">
        <v>19</v>
      </c>
      <c r="BA60" s="90" t="s">
        <v>150</v>
      </c>
      <c r="BB60" s="90" t="s">
        <v>43</v>
      </c>
      <c r="BC60" s="90"/>
      <c r="BD60" s="90" t="s">
        <v>756</v>
      </c>
      <c r="BE60" s="90"/>
      <c r="BF60" s="90"/>
      <c r="BG60" s="91"/>
      <c r="BH60" s="93" t="b">
        <v>0</v>
      </c>
      <c r="BI60" s="90" t="s">
        <v>1571</v>
      </c>
      <c r="BJ60" s="90"/>
      <c r="BK60" s="90" t="s">
        <v>1120</v>
      </c>
      <c r="BL60" s="90" t="s">
        <v>1517</v>
      </c>
      <c r="BM60" s="90"/>
      <c r="BN60" s="90"/>
      <c r="BO60" s="90"/>
      <c r="BP60" s="90"/>
      <c r="BQ60" s="90"/>
      <c r="BR60" s="95"/>
      <c r="BS60" s="90"/>
      <c r="BT60" s="90"/>
      <c r="BU60" s="90"/>
      <c r="BV60" s="90"/>
      <c r="BW60" s="90"/>
      <c r="BX60" s="90"/>
      <c r="BY60" s="90"/>
      <c r="BZ60" s="90"/>
      <c r="CA60" s="90"/>
      <c r="CB60" s="90"/>
      <c r="CC60" s="91"/>
      <c r="CD60" s="90"/>
      <c r="CE60" s="91"/>
      <c r="CF60" s="90"/>
      <c r="CG60" s="91"/>
      <c r="CH60" s="90"/>
      <c r="CI60" s="91"/>
      <c r="CJ60" s="90"/>
      <c r="CK60" s="91"/>
      <c r="CL60" s="90"/>
      <c r="CM60" s="91"/>
      <c r="CN60" s="96"/>
      <c r="CO60" s="91"/>
      <c r="CP60" s="90"/>
      <c r="CQ60" s="90"/>
      <c r="CR60" s="90"/>
      <c r="CS60" s="90"/>
      <c r="CT60" s="91"/>
      <c r="CU60" s="90"/>
      <c r="CV60" s="97"/>
    </row>
    <row r="61" spans="1:100" ht="15" customHeight="1">
      <c r="A61" s="122" t="s">
        <v>1605</v>
      </c>
      <c r="B61" s="123">
        <v>44533</v>
      </c>
      <c r="C61" s="122" t="s">
        <v>1606</v>
      </c>
      <c r="D61" s="122" t="s">
        <v>364</v>
      </c>
      <c r="E61" s="124" t="str">
        <f t="shared" ref="E61:E81" si="4">LEFT(D61,1)&amp;"moge"</f>
        <v>Fmoge</v>
      </c>
      <c r="F61" s="122" t="str">
        <f t="shared" ref="F61:F81" si="5">LEFT(D61,1)&amp;"hoge"</f>
        <v>Fhoge</v>
      </c>
      <c r="G61" s="122" t="s">
        <v>389</v>
      </c>
      <c r="H61" s="122" t="s">
        <v>1586</v>
      </c>
      <c r="I61" s="122" t="s">
        <v>582</v>
      </c>
      <c r="J61" s="122" t="str">
        <f t="shared" ref="J61:J81" si="6">LEFT(I61,3)</f>
        <v>CRG</v>
      </c>
      <c r="K61" s="122" t="s">
        <v>69</v>
      </c>
      <c r="L61" s="122" t="str">
        <f t="shared" ref="L61:L81" si="7">LEFT(K61,5)</f>
        <v>CRG06</v>
      </c>
      <c r="M61" s="124" t="s">
        <v>346</v>
      </c>
      <c r="N61" s="122" t="s">
        <v>1607</v>
      </c>
      <c r="O61" s="122" t="s">
        <v>1608</v>
      </c>
      <c r="P61" s="122" t="s">
        <v>1609</v>
      </c>
      <c r="Q61" s="123">
        <v>44533</v>
      </c>
      <c r="R61" s="123">
        <v>44623</v>
      </c>
      <c r="S61" s="122"/>
      <c r="T61" s="123"/>
      <c r="U61" s="125" t="s">
        <v>295</v>
      </c>
      <c r="V61" s="125" t="s">
        <v>295</v>
      </c>
      <c r="W61" s="126" t="s">
        <v>262</v>
      </c>
      <c r="X61" s="122" t="s">
        <v>1778</v>
      </c>
      <c r="Y61" s="122"/>
      <c r="Z61" s="122"/>
      <c r="AA61" s="122" t="s">
        <v>1</v>
      </c>
      <c r="AB61" s="122"/>
      <c r="AC61" s="123"/>
      <c r="AD61" s="122" t="s">
        <v>261</v>
      </c>
      <c r="AE61" s="122"/>
      <c r="AF61" s="90" t="s">
        <v>1103</v>
      </c>
      <c r="AG61" s="90" t="s">
        <v>0</v>
      </c>
      <c r="AH61" s="93" t="s">
        <v>972</v>
      </c>
      <c r="AI61" s="93" t="b">
        <v>0</v>
      </c>
      <c r="AJ61" s="93"/>
      <c r="AK61" s="93" t="b">
        <v>0</v>
      </c>
      <c r="AL61" s="93"/>
      <c r="AM61" s="93" t="b">
        <v>0</v>
      </c>
      <c r="AN61" s="93" t="b">
        <v>0</v>
      </c>
      <c r="AO61" s="93" t="b">
        <v>0</v>
      </c>
      <c r="AP61" s="93" t="b">
        <v>0</v>
      </c>
      <c r="AQ61" s="93" t="b">
        <v>0</v>
      </c>
      <c r="AR61" s="93" t="b">
        <v>0</v>
      </c>
      <c r="AS61" s="93" t="b">
        <v>0</v>
      </c>
      <c r="AT61" s="107" t="s">
        <v>1779</v>
      </c>
      <c r="AU61" s="94">
        <v>9830288</v>
      </c>
      <c r="AV61" s="90" t="s">
        <v>734</v>
      </c>
      <c r="AW61" s="108" t="s">
        <v>943</v>
      </c>
      <c r="AX61" s="91">
        <v>44611</v>
      </c>
      <c r="AY61" s="108" t="s">
        <v>1586</v>
      </c>
      <c r="AZ61" s="90" t="s">
        <v>582</v>
      </c>
      <c r="BA61" s="90" t="s">
        <v>69</v>
      </c>
      <c r="BB61" s="90" t="s">
        <v>40</v>
      </c>
      <c r="BC61" s="90"/>
      <c r="BD61" s="90" t="s">
        <v>30</v>
      </c>
      <c r="BE61" s="90"/>
      <c r="BF61" s="90"/>
      <c r="BG61" s="91"/>
      <c r="BH61" s="93" t="b">
        <v>0</v>
      </c>
      <c r="BI61" s="90" t="s">
        <v>1610</v>
      </c>
      <c r="BJ61" s="90"/>
      <c r="BK61" s="90" t="s">
        <v>1104</v>
      </c>
      <c r="BL61" s="90"/>
      <c r="BM61" s="90"/>
      <c r="BN61" s="90"/>
      <c r="BO61" s="90"/>
      <c r="BP61" s="90"/>
      <c r="BQ61" s="90"/>
      <c r="BR61" s="95"/>
      <c r="BS61" s="90"/>
      <c r="BT61" s="90"/>
      <c r="BU61" s="90"/>
      <c r="BV61" s="90"/>
      <c r="BW61" s="90"/>
      <c r="BX61" s="90"/>
      <c r="BY61" s="90"/>
      <c r="BZ61" s="90"/>
      <c r="CA61" s="90"/>
      <c r="CB61" s="90"/>
      <c r="CC61" s="91"/>
      <c r="CD61" s="90"/>
      <c r="CE61" s="91"/>
      <c r="CF61" s="90"/>
      <c r="CG61" s="91"/>
      <c r="CH61" s="90"/>
      <c r="CI61" s="91"/>
      <c r="CJ61" s="90"/>
      <c r="CK61" s="91"/>
      <c r="CL61" s="90"/>
      <c r="CM61" s="91"/>
      <c r="CN61" s="96"/>
      <c r="CO61" s="91"/>
      <c r="CP61" s="90"/>
      <c r="CQ61" s="90"/>
      <c r="CR61" s="90"/>
      <c r="CS61" s="90"/>
      <c r="CT61" s="91"/>
      <c r="CU61" s="90"/>
      <c r="CV61" s="97"/>
    </row>
    <row r="62" spans="1:100" ht="15" customHeight="1">
      <c r="A62" s="122" t="s">
        <v>1611</v>
      </c>
      <c r="B62" s="123">
        <v>44545</v>
      </c>
      <c r="C62" s="122" t="s">
        <v>1612</v>
      </c>
      <c r="D62" s="122" t="s">
        <v>364</v>
      </c>
      <c r="E62" s="124" t="str">
        <f t="shared" si="4"/>
        <v>Fmoge</v>
      </c>
      <c r="F62" s="122" t="str">
        <f t="shared" si="5"/>
        <v>Fhoge</v>
      </c>
      <c r="G62" s="122" t="s">
        <v>390</v>
      </c>
      <c r="H62" s="122" t="s">
        <v>1406</v>
      </c>
      <c r="I62" s="122" t="s">
        <v>15</v>
      </c>
      <c r="J62" s="122" t="str">
        <f t="shared" si="6"/>
        <v>GEN</v>
      </c>
      <c r="K62" s="122" t="s">
        <v>179</v>
      </c>
      <c r="L62" s="122" t="str">
        <f t="shared" si="7"/>
        <v>GEN14</v>
      </c>
      <c r="M62" s="124" t="s">
        <v>346</v>
      </c>
      <c r="N62" s="122" t="s">
        <v>1613</v>
      </c>
      <c r="O62" s="122" t="s">
        <v>1614</v>
      </c>
      <c r="P62" s="122" t="s">
        <v>1615</v>
      </c>
      <c r="Q62" s="123">
        <v>44545</v>
      </c>
      <c r="R62" s="123">
        <v>44635</v>
      </c>
      <c r="S62" s="122"/>
      <c r="T62" s="123"/>
      <c r="U62" s="125" t="s">
        <v>295</v>
      </c>
      <c r="V62" s="125" t="s">
        <v>295</v>
      </c>
      <c r="W62" s="126" t="s">
        <v>262</v>
      </c>
      <c r="X62" s="122" t="s">
        <v>1776</v>
      </c>
      <c r="Y62" s="122"/>
      <c r="Z62" s="122"/>
      <c r="AA62" s="122" t="s">
        <v>167</v>
      </c>
      <c r="AB62" s="122"/>
      <c r="AC62" s="123"/>
      <c r="AD62" s="122" t="s">
        <v>261</v>
      </c>
      <c r="AE62" s="122"/>
      <c r="AF62" s="90" t="s">
        <v>1103</v>
      </c>
      <c r="AG62" s="90" t="s">
        <v>0</v>
      </c>
      <c r="AH62" s="93" t="s">
        <v>972</v>
      </c>
      <c r="AI62" s="93" t="b">
        <v>0</v>
      </c>
      <c r="AJ62" s="93"/>
      <c r="AK62" s="93" t="b">
        <v>0</v>
      </c>
      <c r="AL62" s="93"/>
      <c r="AM62" s="93" t="b">
        <v>0</v>
      </c>
      <c r="AN62" s="93" t="b">
        <v>0</v>
      </c>
      <c r="AO62" s="93" t="b">
        <v>0</v>
      </c>
      <c r="AP62" s="93" t="b">
        <v>0</v>
      </c>
      <c r="AQ62" s="93" t="b">
        <v>0</v>
      </c>
      <c r="AR62" s="93" t="b">
        <v>0</v>
      </c>
      <c r="AS62" s="93" t="b">
        <v>0</v>
      </c>
      <c r="AT62" s="107" t="s">
        <v>1777</v>
      </c>
      <c r="AU62" s="94">
        <v>9830288</v>
      </c>
      <c r="AV62" s="90" t="s">
        <v>734</v>
      </c>
      <c r="AW62" s="108" t="s">
        <v>943</v>
      </c>
      <c r="AX62" s="91">
        <v>44611</v>
      </c>
      <c r="AY62" s="108" t="s">
        <v>1586</v>
      </c>
      <c r="AZ62" s="90" t="s">
        <v>15</v>
      </c>
      <c r="BA62" s="90" t="s">
        <v>179</v>
      </c>
      <c r="BB62" s="90" t="s">
        <v>43</v>
      </c>
      <c r="BC62" s="90"/>
      <c r="BD62" s="90" t="s">
        <v>756</v>
      </c>
      <c r="BE62" s="90"/>
      <c r="BF62" s="90"/>
      <c r="BG62" s="91"/>
      <c r="BH62" s="93" t="b">
        <v>0</v>
      </c>
      <c r="BI62" s="90" t="s">
        <v>1616</v>
      </c>
      <c r="BJ62" s="90"/>
      <c r="BK62" s="90" t="s">
        <v>1104</v>
      </c>
      <c r="BL62" s="90"/>
      <c r="BM62" s="90"/>
      <c r="BN62" s="90"/>
      <c r="BO62" s="90"/>
      <c r="BP62" s="90"/>
      <c r="BQ62" s="90"/>
      <c r="BR62" s="95"/>
      <c r="BS62" s="90"/>
      <c r="BT62" s="90"/>
      <c r="BU62" s="90"/>
      <c r="BV62" s="90"/>
      <c r="BW62" s="90"/>
      <c r="BX62" s="90"/>
      <c r="BY62" s="90"/>
      <c r="BZ62" s="90"/>
      <c r="CA62" s="90"/>
      <c r="CB62" s="90"/>
      <c r="CC62" s="91"/>
      <c r="CD62" s="90"/>
      <c r="CE62" s="91"/>
      <c r="CF62" s="90"/>
      <c r="CG62" s="91"/>
      <c r="CH62" s="90"/>
      <c r="CI62" s="91"/>
      <c r="CJ62" s="90"/>
      <c r="CK62" s="91"/>
      <c r="CL62" s="90"/>
      <c r="CM62" s="91"/>
      <c r="CN62" s="96"/>
      <c r="CO62" s="91"/>
      <c r="CP62" s="90"/>
      <c r="CQ62" s="90"/>
      <c r="CR62" s="90"/>
      <c r="CS62" s="90"/>
      <c r="CT62" s="91"/>
      <c r="CU62" s="90"/>
      <c r="CV62" s="97"/>
    </row>
    <row r="63" spans="1:100" ht="15" customHeight="1">
      <c r="A63" s="122" t="s">
        <v>1617</v>
      </c>
      <c r="B63" s="123">
        <v>44549</v>
      </c>
      <c r="C63" s="122" t="s">
        <v>1618</v>
      </c>
      <c r="D63" s="122" t="s">
        <v>364</v>
      </c>
      <c r="E63" s="124" t="str">
        <f t="shared" si="4"/>
        <v>Fmoge</v>
      </c>
      <c r="F63" s="122" t="str">
        <f t="shared" si="5"/>
        <v>Fhoge</v>
      </c>
      <c r="G63" s="122" t="s">
        <v>390</v>
      </c>
      <c r="H63" s="122" t="s">
        <v>1406</v>
      </c>
      <c r="I63" s="122" t="s">
        <v>14</v>
      </c>
      <c r="J63" s="122" t="str">
        <f t="shared" si="6"/>
        <v>MEN</v>
      </c>
      <c r="K63" s="122" t="s">
        <v>100</v>
      </c>
      <c r="L63" s="122" t="str">
        <f t="shared" si="7"/>
        <v>MEN18</v>
      </c>
      <c r="M63" s="124" t="s">
        <v>346</v>
      </c>
      <c r="N63" s="122" t="s">
        <v>1619</v>
      </c>
      <c r="O63" s="122" t="s">
        <v>1620</v>
      </c>
      <c r="P63" s="122" t="s">
        <v>1621</v>
      </c>
      <c r="Q63" s="123">
        <v>44549</v>
      </c>
      <c r="R63" s="123">
        <v>44639</v>
      </c>
      <c r="S63" s="122"/>
      <c r="T63" s="123"/>
      <c r="U63" s="125" t="s">
        <v>295</v>
      </c>
      <c r="V63" s="125" t="s">
        <v>295</v>
      </c>
      <c r="W63" s="126" t="s">
        <v>262</v>
      </c>
      <c r="X63" s="122" t="s">
        <v>1774</v>
      </c>
      <c r="Y63" s="122"/>
      <c r="Z63" s="122"/>
      <c r="AA63" s="122" t="s">
        <v>4</v>
      </c>
      <c r="AB63" s="122"/>
      <c r="AC63" s="123"/>
      <c r="AD63" s="122" t="s">
        <v>261</v>
      </c>
      <c r="AE63" s="122"/>
      <c r="AF63" s="90" t="s">
        <v>1103</v>
      </c>
      <c r="AG63" s="90" t="s">
        <v>0</v>
      </c>
      <c r="AH63" s="93" t="s">
        <v>972</v>
      </c>
      <c r="AI63" s="93" t="b">
        <v>0</v>
      </c>
      <c r="AJ63" s="93"/>
      <c r="AK63" s="93" t="b">
        <v>0</v>
      </c>
      <c r="AL63" s="93"/>
      <c r="AM63" s="93" t="b">
        <v>0</v>
      </c>
      <c r="AN63" s="93" t="b">
        <v>0</v>
      </c>
      <c r="AO63" s="93" t="b">
        <v>0</v>
      </c>
      <c r="AP63" s="93" t="b">
        <v>0</v>
      </c>
      <c r="AQ63" s="93" t="b">
        <v>0</v>
      </c>
      <c r="AR63" s="93" t="b">
        <v>0</v>
      </c>
      <c r="AS63" s="93" t="b">
        <v>0</v>
      </c>
      <c r="AT63" s="107" t="s">
        <v>1775</v>
      </c>
      <c r="AU63" s="94">
        <v>9830288</v>
      </c>
      <c r="AV63" s="90" t="s">
        <v>734</v>
      </c>
      <c r="AW63" s="108" t="s">
        <v>943</v>
      </c>
      <c r="AX63" s="91">
        <v>44611</v>
      </c>
      <c r="AY63" s="108" t="s">
        <v>1586</v>
      </c>
      <c r="AZ63" s="90" t="s">
        <v>14</v>
      </c>
      <c r="BA63" s="90" t="s">
        <v>100</v>
      </c>
      <c r="BB63" s="90" t="s">
        <v>43</v>
      </c>
      <c r="BC63" s="90"/>
      <c r="BD63" s="90" t="s">
        <v>756</v>
      </c>
      <c r="BE63" s="90"/>
      <c r="BF63" s="90"/>
      <c r="BG63" s="91"/>
      <c r="BH63" s="93" t="b">
        <v>0</v>
      </c>
      <c r="BI63" s="90" t="s">
        <v>1622</v>
      </c>
      <c r="BJ63" s="90"/>
      <c r="BK63" s="90" t="s">
        <v>1104</v>
      </c>
      <c r="BL63" s="90"/>
      <c r="BM63" s="90"/>
      <c r="BN63" s="90"/>
      <c r="BO63" s="90"/>
      <c r="BP63" s="90"/>
      <c r="BQ63" s="90"/>
      <c r="BR63" s="95"/>
      <c r="BS63" s="90"/>
      <c r="BT63" s="90"/>
      <c r="BU63" s="90"/>
      <c r="BV63" s="90"/>
      <c r="BW63" s="90"/>
      <c r="BX63" s="90"/>
      <c r="BY63" s="90"/>
      <c r="BZ63" s="90"/>
      <c r="CA63" s="90"/>
      <c r="CB63" s="90"/>
      <c r="CC63" s="91"/>
      <c r="CD63" s="90"/>
      <c r="CE63" s="91"/>
      <c r="CF63" s="90"/>
      <c r="CG63" s="91"/>
      <c r="CH63" s="90"/>
      <c r="CI63" s="91"/>
      <c r="CJ63" s="90"/>
      <c r="CK63" s="91"/>
      <c r="CL63" s="90"/>
      <c r="CM63" s="91"/>
      <c r="CN63" s="96"/>
      <c r="CO63" s="91"/>
      <c r="CP63" s="90"/>
      <c r="CQ63" s="90"/>
      <c r="CR63" s="90"/>
      <c r="CS63" s="90"/>
      <c r="CT63" s="91"/>
      <c r="CU63" s="90"/>
      <c r="CV63" s="97"/>
    </row>
    <row r="64" spans="1:100" ht="15" customHeight="1">
      <c r="A64" s="122" t="s">
        <v>1623</v>
      </c>
      <c r="B64" s="123">
        <v>44599</v>
      </c>
      <c r="C64" s="122" t="s">
        <v>1624</v>
      </c>
      <c r="D64" s="122" t="s">
        <v>364</v>
      </c>
      <c r="E64" s="124" t="str">
        <f t="shared" si="4"/>
        <v>Fmoge</v>
      </c>
      <c r="F64" s="122" t="str">
        <f t="shared" si="5"/>
        <v>Fhoge</v>
      </c>
      <c r="G64" s="122" t="s">
        <v>390</v>
      </c>
      <c r="H64" s="122" t="s">
        <v>1406</v>
      </c>
      <c r="I64" s="122" t="s">
        <v>14</v>
      </c>
      <c r="J64" s="122" t="str">
        <f t="shared" si="6"/>
        <v>MEN</v>
      </c>
      <c r="K64" s="122" t="s">
        <v>100</v>
      </c>
      <c r="L64" s="122" t="str">
        <f t="shared" si="7"/>
        <v>MEN18</v>
      </c>
      <c r="M64" s="124" t="s">
        <v>346</v>
      </c>
      <c r="N64" s="122" t="s">
        <v>1625</v>
      </c>
      <c r="O64" s="122" t="s">
        <v>1626</v>
      </c>
      <c r="P64" s="122" t="s">
        <v>1627</v>
      </c>
      <c r="Q64" s="123">
        <v>44599</v>
      </c>
      <c r="R64" s="123">
        <v>44659</v>
      </c>
      <c r="S64" s="122" t="s">
        <v>499</v>
      </c>
      <c r="T64" s="123"/>
      <c r="U64" s="125" t="s">
        <v>295</v>
      </c>
      <c r="V64" s="125" t="s">
        <v>295</v>
      </c>
      <c r="W64" s="126" t="s">
        <v>262</v>
      </c>
      <c r="X64" s="122" t="s">
        <v>1772</v>
      </c>
      <c r="Y64" s="122"/>
      <c r="Z64" s="122"/>
      <c r="AA64" s="122" t="s">
        <v>4</v>
      </c>
      <c r="AB64" s="122"/>
      <c r="AC64" s="123"/>
      <c r="AD64" s="122" t="s">
        <v>261</v>
      </c>
      <c r="AE64" s="122"/>
      <c r="AF64" s="90" t="s">
        <v>1103</v>
      </c>
      <c r="AG64" s="90" t="s">
        <v>0</v>
      </c>
      <c r="AH64" s="93" t="s">
        <v>1628</v>
      </c>
      <c r="AI64" s="93" t="b">
        <v>0</v>
      </c>
      <c r="AJ64" s="93"/>
      <c r="AK64" s="93" t="b">
        <v>1</v>
      </c>
      <c r="AL64" s="93" t="s">
        <v>1629</v>
      </c>
      <c r="AM64" s="93" t="b">
        <v>0</v>
      </c>
      <c r="AN64" s="93" t="b">
        <v>0</v>
      </c>
      <c r="AO64" s="93" t="b">
        <v>0</v>
      </c>
      <c r="AP64" s="93" t="b">
        <v>0</v>
      </c>
      <c r="AQ64" s="93" t="b">
        <v>0</v>
      </c>
      <c r="AR64" s="93" t="b">
        <v>0</v>
      </c>
      <c r="AS64" s="93" t="b">
        <v>0</v>
      </c>
      <c r="AT64" s="107" t="s">
        <v>1773</v>
      </c>
      <c r="AU64" s="94">
        <v>9830288</v>
      </c>
      <c r="AV64" s="90" t="s">
        <v>734</v>
      </c>
      <c r="AW64" s="108" t="s">
        <v>943</v>
      </c>
      <c r="AX64" s="91">
        <v>44611</v>
      </c>
      <c r="AY64" s="108" t="s">
        <v>1586</v>
      </c>
      <c r="AZ64" s="90" t="s">
        <v>14</v>
      </c>
      <c r="BA64" s="90" t="s">
        <v>100</v>
      </c>
      <c r="BB64" s="90" t="s">
        <v>43</v>
      </c>
      <c r="BC64" s="90"/>
      <c r="BD64" s="90" t="s">
        <v>756</v>
      </c>
      <c r="BE64" s="90"/>
      <c r="BF64" s="90"/>
      <c r="BG64" s="91"/>
      <c r="BH64" s="93" t="b">
        <v>0</v>
      </c>
      <c r="BI64" s="90"/>
      <c r="BJ64" s="90"/>
      <c r="BK64" s="90" t="s">
        <v>1104</v>
      </c>
      <c r="BL64" s="90"/>
      <c r="BM64" s="90"/>
      <c r="BN64" s="90"/>
      <c r="BO64" s="90"/>
      <c r="BP64" s="90"/>
      <c r="BQ64" s="90"/>
      <c r="BR64" s="95"/>
      <c r="BS64" s="90"/>
      <c r="BT64" s="90"/>
      <c r="BU64" s="90"/>
      <c r="BV64" s="90"/>
      <c r="BW64" s="90"/>
      <c r="BX64" s="90"/>
      <c r="BY64" s="90"/>
      <c r="BZ64" s="90"/>
      <c r="CA64" s="90"/>
      <c r="CB64" s="90"/>
      <c r="CC64" s="91"/>
      <c r="CD64" s="90"/>
      <c r="CE64" s="91"/>
      <c r="CF64" s="90"/>
      <c r="CG64" s="91"/>
      <c r="CH64" s="90"/>
      <c r="CI64" s="91"/>
      <c r="CJ64" s="90"/>
      <c r="CK64" s="91"/>
      <c r="CL64" s="90"/>
      <c r="CM64" s="91"/>
      <c r="CN64" s="96"/>
      <c r="CO64" s="91"/>
      <c r="CP64" s="90"/>
      <c r="CQ64" s="90"/>
      <c r="CR64" s="90"/>
      <c r="CS64" s="90"/>
      <c r="CT64" s="91"/>
      <c r="CU64" s="90"/>
      <c r="CV64" s="97"/>
    </row>
    <row r="65" spans="1:100" ht="15" customHeight="1">
      <c r="A65" s="117" t="s">
        <v>1630</v>
      </c>
      <c r="B65" s="118">
        <v>44522</v>
      </c>
      <c r="C65" s="117" t="s">
        <v>1631</v>
      </c>
      <c r="D65" s="117" t="s">
        <v>352</v>
      </c>
      <c r="E65" s="119" t="str">
        <f t="shared" si="4"/>
        <v>Cmoge</v>
      </c>
      <c r="F65" s="117" t="str">
        <f t="shared" si="5"/>
        <v>Choge</v>
      </c>
      <c r="G65" s="117" t="s">
        <v>374</v>
      </c>
      <c r="H65" s="117" t="s">
        <v>1633</v>
      </c>
      <c r="I65" s="117" t="s">
        <v>354</v>
      </c>
      <c r="J65" s="117" t="str">
        <f t="shared" si="6"/>
        <v>MMS</v>
      </c>
      <c r="K65" s="117" t="s">
        <v>408</v>
      </c>
      <c r="L65" s="117" t="str">
        <f t="shared" si="7"/>
        <v>MMS06</v>
      </c>
      <c r="M65" s="119" t="s">
        <v>346</v>
      </c>
      <c r="N65" s="117" t="s">
        <v>1634</v>
      </c>
      <c r="O65" s="117" t="s">
        <v>1685</v>
      </c>
      <c r="P65" s="117" t="s">
        <v>1767</v>
      </c>
      <c r="Q65" s="118">
        <v>44523</v>
      </c>
      <c r="R65" s="118">
        <v>44525</v>
      </c>
      <c r="S65" s="117" t="s">
        <v>1768</v>
      </c>
      <c r="T65" s="118">
        <v>44525</v>
      </c>
      <c r="U65" s="120" t="s">
        <v>295</v>
      </c>
      <c r="V65" s="120" t="s">
        <v>295</v>
      </c>
      <c r="W65" s="121" t="s">
        <v>262</v>
      </c>
      <c r="X65" s="117" t="s">
        <v>1769</v>
      </c>
      <c r="Y65" s="117"/>
      <c r="Z65" s="117"/>
      <c r="AA65" s="117" t="s">
        <v>804</v>
      </c>
      <c r="AB65" s="117" t="s">
        <v>1770</v>
      </c>
      <c r="AC65" s="118">
        <v>44525</v>
      </c>
      <c r="AD65" s="117" t="s">
        <v>349</v>
      </c>
      <c r="AE65" s="117" t="s">
        <v>1442</v>
      </c>
      <c r="AF65" s="90" t="s">
        <v>1103</v>
      </c>
      <c r="AG65" s="90" t="s">
        <v>0</v>
      </c>
      <c r="AH65" s="93" t="s">
        <v>972</v>
      </c>
      <c r="AI65" s="93" t="b">
        <v>0</v>
      </c>
      <c r="AJ65" s="93"/>
      <c r="AK65" s="93" t="b">
        <v>0</v>
      </c>
      <c r="AL65" s="93"/>
      <c r="AM65" s="93" t="b">
        <v>0</v>
      </c>
      <c r="AN65" s="93" t="b">
        <v>0</v>
      </c>
      <c r="AO65" s="93" t="b">
        <v>0</v>
      </c>
      <c r="AP65" s="93" t="b">
        <v>0</v>
      </c>
      <c r="AQ65" s="93" t="b">
        <v>0</v>
      </c>
      <c r="AR65" s="93" t="b">
        <v>0</v>
      </c>
      <c r="AS65" s="93" t="b">
        <v>0</v>
      </c>
      <c r="AT65" s="107" t="s">
        <v>1771</v>
      </c>
      <c r="AU65" s="94">
        <v>9830288</v>
      </c>
      <c r="AV65" s="90" t="s">
        <v>734</v>
      </c>
      <c r="AW65" s="108" t="s">
        <v>943</v>
      </c>
      <c r="AX65" s="91">
        <v>44611</v>
      </c>
      <c r="AY65" s="108" t="s">
        <v>1586</v>
      </c>
      <c r="AZ65" s="90"/>
      <c r="BA65" s="90"/>
      <c r="BB65" s="90" t="s">
        <v>35</v>
      </c>
      <c r="BC65" s="90"/>
      <c r="BD65" s="90" t="s">
        <v>28</v>
      </c>
      <c r="BE65" s="90"/>
      <c r="BF65" s="90"/>
      <c r="BG65" s="91"/>
      <c r="BH65" s="93" t="b">
        <v>0</v>
      </c>
      <c r="BI65" s="90"/>
      <c r="BJ65" s="90"/>
      <c r="BK65" s="90" t="s">
        <v>1120</v>
      </c>
      <c r="BL65" s="90" t="s">
        <v>1632</v>
      </c>
      <c r="BM65" s="90"/>
      <c r="BN65" s="90"/>
      <c r="BO65" s="90"/>
      <c r="BP65" s="90"/>
      <c r="BQ65" s="90"/>
      <c r="BR65" s="95"/>
      <c r="BS65" s="90"/>
      <c r="BT65" s="90"/>
      <c r="BU65" s="90"/>
      <c r="BV65" s="90"/>
      <c r="BW65" s="90"/>
      <c r="BX65" s="90"/>
      <c r="BY65" s="90"/>
      <c r="BZ65" s="90"/>
      <c r="CA65" s="90"/>
      <c r="CB65" s="90"/>
      <c r="CC65" s="91"/>
      <c r="CD65" s="90"/>
      <c r="CE65" s="91"/>
      <c r="CF65" s="90"/>
      <c r="CG65" s="91"/>
      <c r="CH65" s="90"/>
      <c r="CI65" s="91"/>
      <c r="CJ65" s="90"/>
      <c r="CK65" s="91"/>
      <c r="CL65" s="90"/>
      <c r="CM65" s="91"/>
      <c r="CN65" s="96"/>
      <c r="CO65" s="91"/>
      <c r="CP65" s="90"/>
      <c r="CQ65" s="90"/>
      <c r="CR65" s="90"/>
      <c r="CS65" s="90"/>
      <c r="CT65" s="91"/>
      <c r="CU65" s="90"/>
      <c r="CV65" s="97"/>
    </row>
    <row r="66" spans="1:100" ht="15" customHeight="1">
      <c r="A66" s="117" t="s">
        <v>1635</v>
      </c>
      <c r="B66" s="118">
        <v>44522</v>
      </c>
      <c r="C66" s="117" t="s">
        <v>1636</v>
      </c>
      <c r="D66" s="117" t="s">
        <v>352</v>
      </c>
      <c r="E66" s="119" t="str">
        <f t="shared" si="4"/>
        <v>Cmoge</v>
      </c>
      <c r="F66" s="117" t="str">
        <f t="shared" si="5"/>
        <v>Choge</v>
      </c>
      <c r="G66" s="117" t="s">
        <v>374</v>
      </c>
      <c r="H66" s="117" t="s">
        <v>1633</v>
      </c>
      <c r="I66" s="117" t="s">
        <v>354</v>
      </c>
      <c r="J66" s="117" t="str">
        <f t="shared" si="6"/>
        <v>MMS</v>
      </c>
      <c r="K66" s="117" t="s">
        <v>408</v>
      </c>
      <c r="L66" s="117" t="str">
        <f t="shared" si="7"/>
        <v>MMS06</v>
      </c>
      <c r="M66" s="119" t="s">
        <v>346</v>
      </c>
      <c r="N66" s="117" t="s">
        <v>1637</v>
      </c>
      <c r="O66" s="117" t="s">
        <v>1685</v>
      </c>
      <c r="P66" s="117" t="s">
        <v>1762</v>
      </c>
      <c r="Q66" s="118">
        <v>44524</v>
      </c>
      <c r="R66" s="118">
        <v>44525</v>
      </c>
      <c r="S66" s="117" t="s">
        <v>1763</v>
      </c>
      <c r="T66" s="118">
        <v>44525</v>
      </c>
      <c r="U66" s="120" t="s">
        <v>295</v>
      </c>
      <c r="V66" s="120" t="s">
        <v>295</v>
      </c>
      <c r="W66" s="121" t="s">
        <v>262</v>
      </c>
      <c r="X66" s="117" t="s">
        <v>1764</v>
      </c>
      <c r="Y66" s="117"/>
      <c r="Z66" s="117"/>
      <c r="AA66" s="117" t="s">
        <v>1</v>
      </c>
      <c r="AB66" s="117" t="s">
        <v>1765</v>
      </c>
      <c r="AC66" s="118">
        <v>44525</v>
      </c>
      <c r="AD66" s="117" t="s">
        <v>349</v>
      </c>
      <c r="AE66" s="117" t="s">
        <v>1252</v>
      </c>
      <c r="AF66" s="90" t="s">
        <v>1103</v>
      </c>
      <c r="AG66" s="90" t="s">
        <v>0</v>
      </c>
      <c r="AH66" s="93" t="s">
        <v>972</v>
      </c>
      <c r="AI66" s="93" t="b">
        <v>0</v>
      </c>
      <c r="AJ66" s="93"/>
      <c r="AK66" s="93" t="b">
        <v>0</v>
      </c>
      <c r="AL66" s="93"/>
      <c r="AM66" s="93" t="b">
        <v>0</v>
      </c>
      <c r="AN66" s="93" t="b">
        <v>0</v>
      </c>
      <c r="AO66" s="93" t="b">
        <v>0</v>
      </c>
      <c r="AP66" s="93" t="b">
        <v>0</v>
      </c>
      <c r="AQ66" s="93" t="b">
        <v>0</v>
      </c>
      <c r="AR66" s="93" t="b">
        <v>0</v>
      </c>
      <c r="AS66" s="93" t="b">
        <v>0</v>
      </c>
      <c r="AT66" s="107" t="s">
        <v>1766</v>
      </c>
      <c r="AU66" s="94">
        <v>9830288</v>
      </c>
      <c r="AV66" s="90" t="s">
        <v>734</v>
      </c>
      <c r="AW66" s="108" t="s">
        <v>943</v>
      </c>
      <c r="AX66" s="91">
        <v>44611</v>
      </c>
      <c r="AY66" s="108" t="s">
        <v>1586</v>
      </c>
      <c r="AZ66" s="90"/>
      <c r="BA66" s="90"/>
      <c r="BB66" s="90" t="s">
        <v>35</v>
      </c>
      <c r="BC66" s="90"/>
      <c r="BD66" s="90" t="s">
        <v>28</v>
      </c>
      <c r="BE66" s="90"/>
      <c r="BF66" s="90"/>
      <c r="BG66" s="91"/>
      <c r="BH66" s="93" t="b">
        <v>0</v>
      </c>
      <c r="BI66" s="90"/>
      <c r="BJ66" s="90"/>
      <c r="BK66" s="90" t="s">
        <v>1120</v>
      </c>
      <c r="BL66" s="90" t="s">
        <v>1632</v>
      </c>
      <c r="BM66" s="90"/>
      <c r="BN66" s="90"/>
      <c r="BO66" s="90"/>
      <c r="BP66" s="90"/>
      <c r="BQ66" s="90"/>
      <c r="BR66" s="95"/>
      <c r="BS66" s="90"/>
      <c r="BT66" s="90"/>
      <c r="BU66" s="90"/>
      <c r="BV66" s="90"/>
      <c r="BW66" s="90"/>
      <c r="BX66" s="90"/>
      <c r="BY66" s="90"/>
      <c r="BZ66" s="90"/>
      <c r="CA66" s="90"/>
      <c r="CB66" s="90"/>
      <c r="CC66" s="91"/>
      <c r="CD66" s="90"/>
      <c r="CE66" s="91"/>
      <c r="CF66" s="90"/>
      <c r="CG66" s="91"/>
      <c r="CH66" s="90"/>
      <c r="CI66" s="91"/>
      <c r="CJ66" s="90"/>
      <c r="CK66" s="91"/>
      <c r="CL66" s="90"/>
      <c r="CM66" s="91"/>
      <c r="CN66" s="96"/>
      <c r="CO66" s="91"/>
      <c r="CP66" s="90"/>
      <c r="CQ66" s="90"/>
      <c r="CR66" s="90"/>
      <c r="CS66" s="90"/>
      <c r="CT66" s="91"/>
      <c r="CU66" s="90"/>
      <c r="CV66" s="97"/>
    </row>
    <row r="67" spans="1:100" ht="15" customHeight="1">
      <c r="A67" s="117" t="s">
        <v>1638</v>
      </c>
      <c r="B67" s="118">
        <v>44522</v>
      </c>
      <c r="C67" s="117" t="s">
        <v>1639</v>
      </c>
      <c r="D67" s="117" t="s">
        <v>352</v>
      </c>
      <c r="E67" s="119" t="str">
        <f t="shared" si="4"/>
        <v>Cmoge</v>
      </c>
      <c r="F67" s="117" t="str">
        <f t="shared" si="5"/>
        <v>Choge</v>
      </c>
      <c r="G67" s="117" t="s">
        <v>374</v>
      </c>
      <c r="H67" s="117" t="s">
        <v>1633</v>
      </c>
      <c r="I67" s="117" t="s">
        <v>354</v>
      </c>
      <c r="J67" s="117" t="str">
        <f t="shared" si="6"/>
        <v>MMS</v>
      </c>
      <c r="K67" s="117" t="s">
        <v>426</v>
      </c>
      <c r="L67" s="117" t="str">
        <f t="shared" si="7"/>
        <v>MMS23</v>
      </c>
      <c r="M67" s="119" t="s">
        <v>346</v>
      </c>
      <c r="N67" s="117" t="s">
        <v>1640</v>
      </c>
      <c r="O67" s="117" t="s">
        <v>1749</v>
      </c>
      <c r="P67" s="117" t="s">
        <v>1758</v>
      </c>
      <c r="Q67" s="118">
        <v>44523</v>
      </c>
      <c r="R67" s="118">
        <v>44545</v>
      </c>
      <c r="S67" s="117" t="s">
        <v>1759</v>
      </c>
      <c r="T67" s="118">
        <v>44543</v>
      </c>
      <c r="U67" s="120" t="s">
        <v>295</v>
      </c>
      <c r="V67" s="120" t="s">
        <v>295</v>
      </c>
      <c r="W67" s="121" t="s">
        <v>262</v>
      </c>
      <c r="X67" s="117" t="s">
        <v>1302</v>
      </c>
      <c r="Y67" s="117"/>
      <c r="Z67" s="117"/>
      <c r="AA67" s="117" t="s">
        <v>1</v>
      </c>
      <c r="AB67" s="117" t="s">
        <v>1760</v>
      </c>
      <c r="AC67" s="118">
        <v>44547</v>
      </c>
      <c r="AD67" s="117" t="s">
        <v>349</v>
      </c>
      <c r="AE67" s="117" t="s">
        <v>1252</v>
      </c>
      <c r="AF67" s="90" t="s">
        <v>1103</v>
      </c>
      <c r="AG67" s="90" t="s">
        <v>0</v>
      </c>
      <c r="AH67" s="93" t="s">
        <v>972</v>
      </c>
      <c r="AI67" s="93" t="b">
        <v>0</v>
      </c>
      <c r="AJ67" s="93"/>
      <c r="AK67" s="93" t="b">
        <v>0</v>
      </c>
      <c r="AL67" s="93"/>
      <c r="AM67" s="93" t="b">
        <v>0</v>
      </c>
      <c r="AN67" s="93" t="b">
        <v>0</v>
      </c>
      <c r="AO67" s="93" t="b">
        <v>0</v>
      </c>
      <c r="AP67" s="93" t="b">
        <v>0</v>
      </c>
      <c r="AQ67" s="93" t="b">
        <v>0</v>
      </c>
      <c r="AR67" s="93" t="b">
        <v>0</v>
      </c>
      <c r="AS67" s="93" t="b">
        <v>0</v>
      </c>
      <c r="AT67" s="107" t="s">
        <v>1761</v>
      </c>
      <c r="AU67" s="94">
        <v>9830288</v>
      </c>
      <c r="AV67" s="90" t="s">
        <v>734</v>
      </c>
      <c r="AW67" s="108" t="s">
        <v>943</v>
      </c>
      <c r="AX67" s="91">
        <v>44611</v>
      </c>
      <c r="AY67" s="108" t="s">
        <v>1586</v>
      </c>
      <c r="AZ67" s="90"/>
      <c r="BA67" s="90"/>
      <c r="BB67" s="90" t="s">
        <v>52</v>
      </c>
      <c r="BC67" s="90"/>
      <c r="BD67" s="90" t="s">
        <v>757</v>
      </c>
      <c r="BE67" s="90"/>
      <c r="BF67" s="90"/>
      <c r="BG67" s="91"/>
      <c r="BH67" s="93" t="b">
        <v>0</v>
      </c>
      <c r="BI67" s="90"/>
      <c r="BJ67" s="90"/>
      <c r="BK67" s="90" t="s">
        <v>1120</v>
      </c>
      <c r="BL67" s="90" t="s">
        <v>1632</v>
      </c>
      <c r="BM67" s="90"/>
      <c r="BN67" s="90"/>
      <c r="BO67" s="90"/>
      <c r="BP67" s="90"/>
      <c r="BQ67" s="90"/>
      <c r="BR67" s="95"/>
      <c r="BS67" s="90"/>
      <c r="BT67" s="90"/>
      <c r="BU67" s="90"/>
      <c r="BV67" s="90"/>
      <c r="BW67" s="90"/>
      <c r="BX67" s="90"/>
      <c r="BY67" s="90"/>
      <c r="BZ67" s="90"/>
      <c r="CA67" s="90"/>
      <c r="CB67" s="90"/>
      <c r="CC67" s="91"/>
      <c r="CD67" s="90"/>
      <c r="CE67" s="91"/>
      <c r="CF67" s="90"/>
      <c r="CG67" s="91"/>
      <c r="CH67" s="90"/>
      <c r="CI67" s="91"/>
      <c r="CJ67" s="90"/>
      <c r="CK67" s="91"/>
      <c r="CL67" s="90"/>
      <c r="CM67" s="91"/>
      <c r="CN67" s="96"/>
      <c r="CO67" s="91"/>
      <c r="CP67" s="90"/>
      <c r="CQ67" s="90"/>
      <c r="CR67" s="90"/>
      <c r="CS67" s="90"/>
      <c r="CT67" s="91"/>
      <c r="CU67" s="90"/>
      <c r="CV67" s="97"/>
    </row>
    <row r="68" spans="1:100" ht="15" customHeight="1">
      <c r="A68" s="117" t="s">
        <v>1641</v>
      </c>
      <c r="B68" s="118">
        <v>44522</v>
      </c>
      <c r="C68" s="117" t="s">
        <v>1642</v>
      </c>
      <c r="D68" s="117" t="s">
        <v>352</v>
      </c>
      <c r="E68" s="119" t="str">
        <f t="shared" si="4"/>
        <v>Cmoge</v>
      </c>
      <c r="F68" s="117" t="str">
        <f t="shared" si="5"/>
        <v>Choge</v>
      </c>
      <c r="G68" s="117" t="s">
        <v>374</v>
      </c>
      <c r="H68" s="117" t="s">
        <v>1633</v>
      </c>
      <c r="I68" s="117" t="s">
        <v>354</v>
      </c>
      <c r="J68" s="117" t="str">
        <f t="shared" si="6"/>
        <v>MMS</v>
      </c>
      <c r="K68" s="117" t="s">
        <v>426</v>
      </c>
      <c r="L68" s="117" t="str">
        <f t="shared" si="7"/>
        <v>MMS23</v>
      </c>
      <c r="M68" s="119" t="s">
        <v>346</v>
      </c>
      <c r="N68" s="117" t="s">
        <v>1643</v>
      </c>
      <c r="O68" s="117" t="s">
        <v>1753</v>
      </c>
      <c r="P68" s="117" t="s">
        <v>1754</v>
      </c>
      <c r="Q68" s="118">
        <v>44523</v>
      </c>
      <c r="R68" s="118">
        <v>44545</v>
      </c>
      <c r="S68" s="117" t="s">
        <v>1755</v>
      </c>
      <c r="T68" s="118">
        <v>44540</v>
      </c>
      <c r="U68" s="120" t="s">
        <v>295</v>
      </c>
      <c r="V68" s="120" t="s">
        <v>295</v>
      </c>
      <c r="W68" s="121" t="s">
        <v>262</v>
      </c>
      <c r="X68" s="117" t="s">
        <v>1302</v>
      </c>
      <c r="Y68" s="117"/>
      <c r="Z68" s="117"/>
      <c r="AA68" s="117" t="s">
        <v>1</v>
      </c>
      <c r="AB68" s="117" t="s">
        <v>1756</v>
      </c>
      <c r="AC68" s="118">
        <v>44546</v>
      </c>
      <c r="AD68" s="117" t="s">
        <v>349</v>
      </c>
      <c r="AE68" s="117" t="s">
        <v>1252</v>
      </c>
      <c r="AF68" s="90" t="s">
        <v>1103</v>
      </c>
      <c r="AG68" s="90" t="s">
        <v>0</v>
      </c>
      <c r="AH68" s="93" t="s">
        <v>972</v>
      </c>
      <c r="AI68" s="93" t="b">
        <v>0</v>
      </c>
      <c r="AJ68" s="93"/>
      <c r="AK68" s="93" t="b">
        <v>0</v>
      </c>
      <c r="AL68" s="93"/>
      <c r="AM68" s="93" t="b">
        <v>0</v>
      </c>
      <c r="AN68" s="93" t="b">
        <v>0</v>
      </c>
      <c r="AO68" s="93" t="b">
        <v>0</v>
      </c>
      <c r="AP68" s="93" t="b">
        <v>0</v>
      </c>
      <c r="AQ68" s="93" t="b">
        <v>0</v>
      </c>
      <c r="AR68" s="93" t="b">
        <v>0</v>
      </c>
      <c r="AS68" s="93" t="b">
        <v>0</v>
      </c>
      <c r="AT68" s="107" t="s">
        <v>1757</v>
      </c>
      <c r="AU68" s="94">
        <v>9830288</v>
      </c>
      <c r="AV68" s="90" t="s">
        <v>734</v>
      </c>
      <c r="AW68" s="108" t="s">
        <v>943</v>
      </c>
      <c r="AX68" s="91">
        <v>44611</v>
      </c>
      <c r="AY68" s="108" t="s">
        <v>1586</v>
      </c>
      <c r="AZ68" s="90"/>
      <c r="BA68" s="90"/>
      <c r="BB68" s="90" t="s">
        <v>52</v>
      </c>
      <c r="BC68" s="90"/>
      <c r="BD68" s="90" t="s">
        <v>757</v>
      </c>
      <c r="BE68" s="90"/>
      <c r="BF68" s="90"/>
      <c r="BG68" s="91"/>
      <c r="BH68" s="93" t="b">
        <v>0</v>
      </c>
      <c r="BI68" s="90"/>
      <c r="BJ68" s="90"/>
      <c r="BK68" s="90" t="s">
        <v>1120</v>
      </c>
      <c r="BL68" s="90" t="s">
        <v>1632</v>
      </c>
      <c r="BM68" s="90"/>
      <c r="BN68" s="90"/>
      <c r="BO68" s="90"/>
      <c r="BP68" s="90"/>
      <c r="BQ68" s="90"/>
      <c r="BR68" s="95"/>
      <c r="BS68" s="90"/>
      <c r="BT68" s="90"/>
      <c r="BU68" s="90"/>
      <c r="BV68" s="90"/>
      <c r="BW68" s="90"/>
      <c r="BX68" s="90"/>
      <c r="BY68" s="90"/>
      <c r="BZ68" s="90"/>
      <c r="CA68" s="90"/>
      <c r="CB68" s="90"/>
      <c r="CC68" s="91"/>
      <c r="CD68" s="90"/>
      <c r="CE68" s="91"/>
      <c r="CF68" s="90"/>
      <c r="CG68" s="91"/>
      <c r="CH68" s="90"/>
      <c r="CI68" s="91"/>
      <c r="CJ68" s="90"/>
      <c r="CK68" s="91"/>
      <c r="CL68" s="90"/>
      <c r="CM68" s="91"/>
      <c r="CN68" s="96"/>
      <c r="CO68" s="91"/>
      <c r="CP68" s="90"/>
      <c r="CQ68" s="90"/>
      <c r="CR68" s="90"/>
      <c r="CS68" s="90"/>
      <c r="CT68" s="91"/>
      <c r="CU68" s="90"/>
      <c r="CV68" s="97"/>
    </row>
    <row r="69" spans="1:100" ht="15" customHeight="1">
      <c r="A69" s="117" t="s">
        <v>1644</v>
      </c>
      <c r="B69" s="118">
        <v>44522</v>
      </c>
      <c r="C69" s="117" t="s">
        <v>1645</v>
      </c>
      <c r="D69" s="117" t="s">
        <v>352</v>
      </c>
      <c r="E69" s="119" t="str">
        <f t="shared" si="4"/>
        <v>Cmoge</v>
      </c>
      <c r="F69" s="117" t="str">
        <f t="shared" si="5"/>
        <v>Choge</v>
      </c>
      <c r="G69" s="117" t="s">
        <v>374</v>
      </c>
      <c r="H69" s="117" t="s">
        <v>1633</v>
      </c>
      <c r="I69" s="117" t="s">
        <v>354</v>
      </c>
      <c r="J69" s="117" t="str">
        <f t="shared" si="6"/>
        <v>MMS</v>
      </c>
      <c r="K69" s="117" t="s">
        <v>426</v>
      </c>
      <c r="L69" s="117" t="str">
        <f t="shared" si="7"/>
        <v>MMS23</v>
      </c>
      <c r="M69" s="119" t="s">
        <v>346</v>
      </c>
      <c r="N69" s="117" t="s">
        <v>1646</v>
      </c>
      <c r="O69" s="117" t="s">
        <v>1746</v>
      </c>
      <c r="P69" s="117" t="s">
        <v>1747</v>
      </c>
      <c r="Q69" s="118">
        <v>44523</v>
      </c>
      <c r="R69" s="118">
        <v>44550</v>
      </c>
      <c r="S69" s="117" t="s">
        <v>1748</v>
      </c>
      <c r="T69" s="118">
        <v>44538</v>
      </c>
      <c r="U69" s="120" t="s">
        <v>295</v>
      </c>
      <c r="V69" s="120" t="s">
        <v>295</v>
      </c>
      <c r="W69" s="121" t="s">
        <v>262</v>
      </c>
      <c r="X69" s="117" t="s">
        <v>1749</v>
      </c>
      <c r="Y69" s="117"/>
      <c r="Z69" s="117"/>
      <c r="AA69" s="117" t="s">
        <v>1</v>
      </c>
      <c r="AB69" s="117" t="s">
        <v>1750</v>
      </c>
      <c r="AC69" s="118">
        <v>44547</v>
      </c>
      <c r="AD69" s="117" t="s">
        <v>349</v>
      </c>
      <c r="AE69" s="117" t="s">
        <v>1751</v>
      </c>
      <c r="AF69" s="90" t="s">
        <v>1103</v>
      </c>
      <c r="AG69" s="90" t="s">
        <v>0</v>
      </c>
      <c r="AH69" s="93" t="s">
        <v>972</v>
      </c>
      <c r="AI69" s="93" t="b">
        <v>0</v>
      </c>
      <c r="AJ69" s="93"/>
      <c r="AK69" s="93" t="b">
        <v>0</v>
      </c>
      <c r="AL69" s="93"/>
      <c r="AM69" s="93" t="b">
        <v>0</v>
      </c>
      <c r="AN69" s="93" t="b">
        <v>0</v>
      </c>
      <c r="AO69" s="93" t="b">
        <v>0</v>
      </c>
      <c r="AP69" s="93" t="b">
        <v>0</v>
      </c>
      <c r="AQ69" s="93" t="b">
        <v>0</v>
      </c>
      <c r="AR69" s="93" t="b">
        <v>0</v>
      </c>
      <c r="AS69" s="93" t="b">
        <v>0</v>
      </c>
      <c r="AT69" s="107" t="s">
        <v>1752</v>
      </c>
      <c r="AU69" s="94">
        <v>9830288</v>
      </c>
      <c r="AV69" s="90" t="s">
        <v>734</v>
      </c>
      <c r="AW69" s="108" t="s">
        <v>943</v>
      </c>
      <c r="AX69" s="91">
        <v>44611</v>
      </c>
      <c r="AY69" s="108" t="s">
        <v>1586</v>
      </c>
      <c r="AZ69" s="90"/>
      <c r="BA69" s="90"/>
      <c r="BB69" s="90" t="s">
        <v>52</v>
      </c>
      <c r="BC69" s="90"/>
      <c r="BD69" s="90" t="s">
        <v>757</v>
      </c>
      <c r="BE69" s="90"/>
      <c r="BF69" s="90"/>
      <c r="BG69" s="91"/>
      <c r="BH69" s="93" t="b">
        <v>0</v>
      </c>
      <c r="BI69" s="90"/>
      <c r="BJ69" s="90"/>
      <c r="BK69" s="90" t="s">
        <v>1120</v>
      </c>
      <c r="BL69" s="90" t="s">
        <v>1632</v>
      </c>
      <c r="BM69" s="90"/>
      <c r="BN69" s="90"/>
      <c r="BO69" s="90"/>
      <c r="BP69" s="90"/>
      <c r="BQ69" s="90"/>
      <c r="BR69" s="95"/>
      <c r="BS69" s="90"/>
      <c r="BT69" s="90"/>
      <c r="BU69" s="90"/>
      <c r="BV69" s="90"/>
      <c r="BW69" s="90"/>
      <c r="BX69" s="90"/>
      <c r="BY69" s="90"/>
      <c r="BZ69" s="90"/>
      <c r="CA69" s="90"/>
      <c r="CB69" s="90"/>
      <c r="CC69" s="91"/>
      <c r="CD69" s="90"/>
      <c r="CE69" s="91"/>
      <c r="CF69" s="90"/>
      <c r="CG69" s="91"/>
      <c r="CH69" s="90"/>
      <c r="CI69" s="91"/>
      <c r="CJ69" s="90"/>
      <c r="CK69" s="91"/>
      <c r="CL69" s="90"/>
      <c r="CM69" s="91"/>
      <c r="CN69" s="96"/>
      <c r="CO69" s="91"/>
      <c r="CP69" s="90"/>
      <c r="CQ69" s="90"/>
      <c r="CR69" s="90"/>
      <c r="CS69" s="90"/>
      <c r="CT69" s="91"/>
      <c r="CU69" s="90"/>
      <c r="CV69" s="97"/>
    </row>
    <row r="70" spans="1:100" ht="15" customHeight="1">
      <c r="A70" s="117" t="s">
        <v>1647</v>
      </c>
      <c r="B70" s="118">
        <v>44522</v>
      </c>
      <c r="C70" s="117" t="s">
        <v>1648</v>
      </c>
      <c r="D70" s="117" t="s">
        <v>352</v>
      </c>
      <c r="E70" s="119" t="str">
        <f t="shared" si="4"/>
        <v>Cmoge</v>
      </c>
      <c r="F70" s="117" t="str">
        <f t="shared" si="5"/>
        <v>Choge</v>
      </c>
      <c r="G70" s="117" t="s">
        <v>374</v>
      </c>
      <c r="H70" s="117" t="s">
        <v>1633</v>
      </c>
      <c r="I70" s="117" t="s">
        <v>354</v>
      </c>
      <c r="J70" s="117" t="str">
        <f t="shared" si="6"/>
        <v>MMS</v>
      </c>
      <c r="K70" s="117" t="s">
        <v>426</v>
      </c>
      <c r="L70" s="117" t="str">
        <f t="shared" si="7"/>
        <v>MMS23</v>
      </c>
      <c r="M70" s="119" t="s">
        <v>346</v>
      </c>
      <c r="N70" s="117" t="s">
        <v>1649</v>
      </c>
      <c r="O70" s="117" t="s">
        <v>1258</v>
      </c>
      <c r="P70" s="117" t="s">
        <v>1741</v>
      </c>
      <c r="Q70" s="118">
        <v>44524</v>
      </c>
      <c r="R70" s="118">
        <v>44561</v>
      </c>
      <c r="S70" s="117" t="s">
        <v>1742</v>
      </c>
      <c r="T70" s="118">
        <v>44546</v>
      </c>
      <c r="U70" s="120" t="s">
        <v>295</v>
      </c>
      <c r="V70" s="120" t="s">
        <v>295</v>
      </c>
      <c r="W70" s="121" t="s">
        <v>262</v>
      </c>
      <c r="X70" s="117" t="s">
        <v>1743</v>
      </c>
      <c r="Y70" s="117"/>
      <c r="Z70" s="117"/>
      <c r="AA70" s="117" t="s">
        <v>1</v>
      </c>
      <c r="AB70" s="117" t="s">
        <v>1744</v>
      </c>
      <c r="AC70" s="118">
        <v>44547</v>
      </c>
      <c r="AD70" s="117" t="s">
        <v>349</v>
      </c>
      <c r="AE70" s="117" t="s">
        <v>1180</v>
      </c>
      <c r="AF70" s="90" t="s">
        <v>1103</v>
      </c>
      <c r="AG70" s="90" t="s">
        <v>0</v>
      </c>
      <c r="AH70" s="93" t="s">
        <v>972</v>
      </c>
      <c r="AI70" s="93" t="b">
        <v>0</v>
      </c>
      <c r="AJ70" s="93"/>
      <c r="AK70" s="93" t="b">
        <v>0</v>
      </c>
      <c r="AL70" s="93"/>
      <c r="AM70" s="93" t="b">
        <v>0</v>
      </c>
      <c r="AN70" s="93" t="b">
        <v>0</v>
      </c>
      <c r="AO70" s="93" t="b">
        <v>0</v>
      </c>
      <c r="AP70" s="93" t="b">
        <v>0</v>
      </c>
      <c r="AQ70" s="93" t="b">
        <v>0</v>
      </c>
      <c r="AR70" s="93" t="b">
        <v>0</v>
      </c>
      <c r="AS70" s="93" t="b">
        <v>0</v>
      </c>
      <c r="AT70" s="107" t="s">
        <v>1745</v>
      </c>
      <c r="AU70" s="94">
        <v>9830288</v>
      </c>
      <c r="AV70" s="90" t="s">
        <v>734</v>
      </c>
      <c r="AW70" s="108" t="s">
        <v>943</v>
      </c>
      <c r="AX70" s="91">
        <v>44611</v>
      </c>
      <c r="AY70" s="108" t="s">
        <v>1586</v>
      </c>
      <c r="AZ70" s="90"/>
      <c r="BA70" s="90"/>
      <c r="BB70" s="90" t="s">
        <v>52</v>
      </c>
      <c r="BC70" s="90"/>
      <c r="BD70" s="90" t="s">
        <v>757</v>
      </c>
      <c r="BE70" s="90"/>
      <c r="BF70" s="90"/>
      <c r="BG70" s="91"/>
      <c r="BH70" s="93" t="b">
        <v>0</v>
      </c>
      <c r="BI70" s="90"/>
      <c r="BJ70" s="90"/>
      <c r="BK70" s="90" t="s">
        <v>1120</v>
      </c>
      <c r="BL70" s="90" t="s">
        <v>1632</v>
      </c>
      <c r="BM70" s="90"/>
      <c r="BN70" s="90"/>
      <c r="BO70" s="90"/>
      <c r="BP70" s="90"/>
      <c r="BQ70" s="90"/>
      <c r="BR70" s="95"/>
      <c r="BS70" s="90"/>
      <c r="BT70" s="90"/>
      <c r="BU70" s="90"/>
      <c r="BV70" s="90"/>
      <c r="BW70" s="90"/>
      <c r="BX70" s="90"/>
      <c r="BY70" s="90"/>
      <c r="BZ70" s="90"/>
      <c r="CA70" s="90"/>
      <c r="CB70" s="90"/>
      <c r="CC70" s="91"/>
      <c r="CD70" s="90"/>
      <c r="CE70" s="91"/>
      <c r="CF70" s="90"/>
      <c r="CG70" s="91"/>
      <c r="CH70" s="90"/>
      <c r="CI70" s="91"/>
      <c r="CJ70" s="90"/>
      <c r="CK70" s="91"/>
      <c r="CL70" s="90"/>
      <c r="CM70" s="91"/>
      <c r="CN70" s="96"/>
      <c r="CO70" s="91"/>
      <c r="CP70" s="90"/>
      <c r="CQ70" s="90"/>
      <c r="CR70" s="90"/>
      <c r="CS70" s="90"/>
      <c r="CT70" s="91"/>
      <c r="CU70" s="90"/>
      <c r="CV70" s="97"/>
    </row>
    <row r="71" spans="1:100" ht="15" customHeight="1">
      <c r="A71" s="117" t="s">
        <v>1650</v>
      </c>
      <c r="B71" s="118">
        <v>44522</v>
      </c>
      <c r="C71" s="117" t="s">
        <v>1651</v>
      </c>
      <c r="D71" s="117" t="s">
        <v>352</v>
      </c>
      <c r="E71" s="119" t="str">
        <f t="shared" si="4"/>
        <v>Cmoge</v>
      </c>
      <c r="F71" s="117" t="str">
        <f t="shared" si="5"/>
        <v>Choge</v>
      </c>
      <c r="G71" s="117" t="s">
        <v>374</v>
      </c>
      <c r="H71" s="117" t="s">
        <v>1633</v>
      </c>
      <c r="I71" s="117" t="s">
        <v>354</v>
      </c>
      <c r="J71" s="117" t="str">
        <f t="shared" si="6"/>
        <v>MMS</v>
      </c>
      <c r="K71" s="117" t="s">
        <v>420</v>
      </c>
      <c r="L71" s="117" t="str">
        <f t="shared" si="7"/>
        <v>MMS17</v>
      </c>
      <c r="M71" s="119" t="s">
        <v>346</v>
      </c>
      <c r="N71" s="117" t="s">
        <v>1652</v>
      </c>
      <c r="O71" s="117" t="s">
        <v>1735</v>
      </c>
      <c r="P71" s="117" t="s">
        <v>1736</v>
      </c>
      <c r="Q71" s="118">
        <v>44553</v>
      </c>
      <c r="R71" s="118">
        <v>44893</v>
      </c>
      <c r="S71" s="117" t="s">
        <v>1737</v>
      </c>
      <c r="T71" s="118">
        <v>44527</v>
      </c>
      <c r="U71" s="120" t="s">
        <v>295</v>
      </c>
      <c r="V71" s="120" t="s">
        <v>295</v>
      </c>
      <c r="W71" s="121" t="s">
        <v>262</v>
      </c>
      <c r="X71" s="117" t="s">
        <v>1738</v>
      </c>
      <c r="Y71" s="117"/>
      <c r="Z71" s="117"/>
      <c r="AA71" s="117" t="s">
        <v>1</v>
      </c>
      <c r="AB71" s="117" t="s">
        <v>1739</v>
      </c>
      <c r="AC71" s="118">
        <v>44527</v>
      </c>
      <c r="AD71" s="117" t="s">
        <v>349</v>
      </c>
      <c r="AE71" s="117" t="s">
        <v>1252</v>
      </c>
      <c r="AF71" s="90" t="s">
        <v>1103</v>
      </c>
      <c r="AG71" s="90" t="s">
        <v>0</v>
      </c>
      <c r="AH71" s="93" t="s">
        <v>972</v>
      </c>
      <c r="AI71" s="93" t="b">
        <v>0</v>
      </c>
      <c r="AJ71" s="93"/>
      <c r="AK71" s="93" t="b">
        <v>0</v>
      </c>
      <c r="AL71" s="93"/>
      <c r="AM71" s="93" t="b">
        <v>0</v>
      </c>
      <c r="AN71" s="93" t="b">
        <v>0</v>
      </c>
      <c r="AO71" s="93" t="b">
        <v>0</v>
      </c>
      <c r="AP71" s="93" t="b">
        <v>0</v>
      </c>
      <c r="AQ71" s="93" t="b">
        <v>0</v>
      </c>
      <c r="AR71" s="93" t="b">
        <v>0</v>
      </c>
      <c r="AS71" s="93" t="b">
        <v>0</v>
      </c>
      <c r="AT71" s="107" t="s">
        <v>1740</v>
      </c>
      <c r="AU71" s="94">
        <v>9830288</v>
      </c>
      <c r="AV71" s="90" t="s">
        <v>734</v>
      </c>
      <c r="AW71" s="108" t="s">
        <v>943</v>
      </c>
      <c r="AX71" s="91">
        <v>44611</v>
      </c>
      <c r="AY71" s="108" t="s">
        <v>1586</v>
      </c>
      <c r="AZ71" s="90"/>
      <c r="BA71" s="90"/>
      <c r="BB71" s="90" t="s">
        <v>46</v>
      </c>
      <c r="BC71" s="90"/>
      <c r="BD71" s="90" t="s">
        <v>30</v>
      </c>
      <c r="BE71" s="90"/>
      <c r="BF71" s="90"/>
      <c r="BG71" s="91"/>
      <c r="BH71" s="93" t="b">
        <v>0</v>
      </c>
      <c r="BI71" s="90"/>
      <c r="BJ71" s="90"/>
      <c r="BK71" s="90" t="s">
        <v>1120</v>
      </c>
      <c r="BL71" s="90" t="s">
        <v>1632</v>
      </c>
      <c r="BM71" s="90"/>
      <c r="BN71" s="90"/>
      <c r="BO71" s="90"/>
      <c r="BP71" s="90"/>
      <c r="BQ71" s="90"/>
      <c r="BR71" s="95"/>
      <c r="BS71" s="90"/>
      <c r="BT71" s="90"/>
      <c r="BU71" s="90"/>
      <c r="BV71" s="90"/>
      <c r="BW71" s="90"/>
      <c r="BX71" s="90"/>
      <c r="BY71" s="90"/>
      <c r="BZ71" s="90"/>
      <c r="CA71" s="90"/>
      <c r="CB71" s="90"/>
      <c r="CC71" s="91"/>
      <c r="CD71" s="90"/>
      <c r="CE71" s="91"/>
      <c r="CF71" s="90"/>
      <c r="CG71" s="91"/>
      <c r="CH71" s="90"/>
      <c r="CI71" s="91"/>
      <c r="CJ71" s="90"/>
      <c r="CK71" s="91"/>
      <c r="CL71" s="90"/>
      <c r="CM71" s="91"/>
      <c r="CN71" s="96"/>
      <c r="CO71" s="91"/>
      <c r="CP71" s="90"/>
      <c r="CQ71" s="90"/>
      <c r="CR71" s="90"/>
      <c r="CS71" s="90"/>
      <c r="CT71" s="91"/>
      <c r="CU71" s="90"/>
      <c r="CV71" s="97"/>
    </row>
    <row r="72" spans="1:100" ht="15" customHeight="1">
      <c r="A72" s="117" t="s">
        <v>1653</v>
      </c>
      <c r="B72" s="118">
        <v>44522</v>
      </c>
      <c r="C72" s="117" t="s">
        <v>1654</v>
      </c>
      <c r="D72" s="117" t="s">
        <v>352</v>
      </c>
      <c r="E72" s="119" t="str">
        <f t="shared" si="4"/>
        <v>Cmoge</v>
      </c>
      <c r="F72" s="117" t="str">
        <f t="shared" si="5"/>
        <v>Choge</v>
      </c>
      <c r="G72" s="117" t="s">
        <v>374</v>
      </c>
      <c r="H72" s="117" t="s">
        <v>1633</v>
      </c>
      <c r="I72" s="117" t="s">
        <v>354</v>
      </c>
      <c r="J72" s="117" t="str">
        <f t="shared" si="6"/>
        <v>MMS</v>
      </c>
      <c r="K72" s="117" t="s">
        <v>426</v>
      </c>
      <c r="L72" s="117" t="str">
        <f t="shared" si="7"/>
        <v>MMS23</v>
      </c>
      <c r="M72" s="119" t="s">
        <v>346</v>
      </c>
      <c r="N72" s="117" t="s">
        <v>1655</v>
      </c>
      <c r="O72" s="117" t="s">
        <v>1685</v>
      </c>
      <c r="P72" s="117" t="s">
        <v>1730</v>
      </c>
      <c r="Q72" s="118">
        <v>44526</v>
      </c>
      <c r="R72" s="118">
        <v>44545</v>
      </c>
      <c r="S72" s="117" t="s">
        <v>1731</v>
      </c>
      <c r="T72" s="118">
        <v>44526</v>
      </c>
      <c r="U72" s="120" t="s">
        <v>295</v>
      </c>
      <c r="V72" s="120" t="s">
        <v>295</v>
      </c>
      <c r="W72" s="121" t="s">
        <v>262</v>
      </c>
      <c r="X72" s="117" t="s">
        <v>1732</v>
      </c>
      <c r="Y72" s="117"/>
      <c r="Z72" s="117"/>
      <c r="AA72" s="117" t="s">
        <v>2</v>
      </c>
      <c r="AB72" s="117" t="s">
        <v>1733</v>
      </c>
      <c r="AC72" s="118">
        <v>44526</v>
      </c>
      <c r="AD72" s="117" t="s">
        <v>349</v>
      </c>
      <c r="AE72" s="117" t="s">
        <v>1252</v>
      </c>
      <c r="AF72" s="90" t="s">
        <v>1103</v>
      </c>
      <c r="AG72" s="90" t="s">
        <v>0</v>
      </c>
      <c r="AH72" s="93" t="s">
        <v>972</v>
      </c>
      <c r="AI72" s="93" t="b">
        <v>0</v>
      </c>
      <c r="AJ72" s="93"/>
      <c r="AK72" s="93" t="b">
        <v>0</v>
      </c>
      <c r="AL72" s="93"/>
      <c r="AM72" s="93" t="b">
        <v>0</v>
      </c>
      <c r="AN72" s="93" t="b">
        <v>0</v>
      </c>
      <c r="AO72" s="93" t="b">
        <v>0</v>
      </c>
      <c r="AP72" s="93" t="b">
        <v>0</v>
      </c>
      <c r="AQ72" s="93" t="b">
        <v>0</v>
      </c>
      <c r="AR72" s="93" t="b">
        <v>0</v>
      </c>
      <c r="AS72" s="93" t="b">
        <v>0</v>
      </c>
      <c r="AT72" s="107" t="s">
        <v>1734</v>
      </c>
      <c r="AU72" s="94">
        <v>9830288</v>
      </c>
      <c r="AV72" s="90" t="s">
        <v>734</v>
      </c>
      <c r="AW72" s="108" t="s">
        <v>943</v>
      </c>
      <c r="AX72" s="91">
        <v>44611</v>
      </c>
      <c r="AY72" s="108" t="s">
        <v>1586</v>
      </c>
      <c r="AZ72" s="90"/>
      <c r="BA72" s="90"/>
      <c r="BB72" s="90" t="s">
        <v>52</v>
      </c>
      <c r="BC72" s="90"/>
      <c r="BD72" s="90" t="s">
        <v>30</v>
      </c>
      <c r="BE72" s="90"/>
      <c r="BF72" s="90"/>
      <c r="BG72" s="91"/>
      <c r="BH72" s="93" t="b">
        <v>0</v>
      </c>
      <c r="BI72" s="90"/>
      <c r="BJ72" s="90"/>
      <c r="BK72" s="90" t="s">
        <v>1120</v>
      </c>
      <c r="BL72" s="90" t="s">
        <v>1632</v>
      </c>
      <c r="BM72" s="90"/>
      <c r="BN72" s="90"/>
      <c r="BO72" s="90"/>
      <c r="BP72" s="90"/>
      <c r="BQ72" s="90"/>
      <c r="BR72" s="95"/>
      <c r="BS72" s="90"/>
      <c r="BT72" s="90"/>
      <c r="BU72" s="90"/>
      <c r="BV72" s="90"/>
      <c r="BW72" s="90"/>
      <c r="BX72" s="90"/>
      <c r="BY72" s="90"/>
      <c r="BZ72" s="90"/>
      <c r="CA72" s="90"/>
      <c r="CB72" s="90"/>
      <c r="CC72" s="91"/>
      <c r="CD72" s="90"/>
      <c r="CE72" s="91"/>
      <c r="CF72" s="90"/>
      <c r="CG72" s="91"/>
      <c r="CH72" s="90"/>
      <c r="CI72" s="91"/>
      <c r="CJ72" s="90"/>
      <c r="CK72" s="91"/>
      <c r="CL72" s="90"/>
      <c r="CM72" s="91"/>
      <c r="CN72" s="96"/>
      <c r="CO72" s="91"/>
      <c r="CP72" s="90"/>
      <c r="CQ72" s="90"/>
      <c r="CR72" s="90"/>
      <c r="CS72" s="90"/>
      <c r="CT72" s="91"/>
      <c r="CU72" s="90"/>
      <c r="CV72" s="97"/>
    </row>
    <row r="73" spans="1:100" ht="15" customHeight="1">
      <c r="A73" s="117" t="s">
        <v>1656</v>
      </c>
      <c r="B73" s="118">
        <v>44522</v>
      </c>
      <c r="C73" s="117" t="s">
        <v>1657</v>
      </c>
      <c r="D73" s="117" t="s">
        <v>352</v>
      </c>
      <c r="E73" s="119" t="str">
        <f t="shared" si="4"/>
        <v>Cmoge</v>
      </c>
      <c r="F73" s="117" t="str">
        <f t="shared" si="5"/>
        <v>Choge</v>
      </c>
      <c r="G73" s="117" t="s">
        <v>374</v>
      </c>
      <c r="H73" s="117" t="s">
        <v>1633</v>
      </c>
      <c r="I73" s="117" t="s">
        <v>354</v>
      </c>
      <c r="J73" s="117" t="str">
        <f t="shared" si="6"/>
        <v>MMS</v>
      </c>
      <c r="K73" s="117" t="s">
        <v>409</v>
      </c>
      <c r="L73" s="117" t="str">
        <f t="shared" si="7"/>
        <v>MMS07</v>
      </c>
      <c r="M73" s="119" t="s">
        <v>346</v>
      </c>
      <c r="N73" s="117" t="s">
        <v>1658</v>
      </c>
      <c r="O73" s="117" t="s">
        <v>1685</v>
      </c>
      <c r="P73" s="117" t="s">
        <v>1725</v>
      </c>
      <c r="Q73" s="118">
        <v>44523</v>
      </c>
      <c r="R73" s="118">
        <v>44523</v>
      </c>
      <c r="S73" s="117" t="s">
        <v>1726</v>
      </c>
      <c r="T73" s="118">
        <v>44523</v>
      </c>
      <c r="U73" s="120" t="s">
        <v>295</v>
      </c>
      <c r="V73" s="120" t="s">
        <v>295</v>
      </c>
      <c r="W73" s="121" t="s">
        <v>262</v>
      </c>
      <c r="X73" s="117" t="s">
        <v>1727</v>
      </c>
      <c r="Y73" s="117"/>
      <c r="Z73" s="117"/>
      <c r="AA73" s="117" t="s">
        <v>3</v>
      </c>
      <c r="AB73" s="117" t="s">
        <v>1728</v>
      </c>
      <c r="AC73" s="118">
        <v>44525</v>
      </c>
      <c r="AD73" s="117" t="s">
        <v>349</v>
      </c>
      <c r="AE73" s="117" t="s">
        <v>1180</v>
      </c>
      <c r="AF73" s="90" t="s">
        <v>1103</v>
      </c>
      <c r="AG73" s="90" t="s">
        <v>0</v>
      </c>
      <c r="AH73" s="93" t="s">
        <v>972</v>
      </c>
      <c r="AI73" s="93" t="b">
        <v>0</v>
      </c>
      <c r="AJ73" s="93"/>
      <c r="AK73" s="93" t="b">
        <v>0</v>
      </c>
      <c r="AL73" s="93"/>
      <c r="AM73" s="93" t="b">
        <v>0</v>
      </c>
      <c r="AN73" s="93" t="b">
        <v>0</v>
      </c>
      <c r="AO73" s="93" t="b">
        <v>0</v>
      </c>
      <c r="AP73" s="93" t="b">
        <v>0</v>
      </c>
      <c r="AQ73" s="93" t="b">
        <v>0</v>
      </c>
      <c r="AR73" s="93" t="b">
        <v>0</v>
      </c>
      <c r="AS73" s="93" t="b">
        <v>0</v>
      </c>
      <c r="AT73" s="107" t="s">
        <v>1729</v>
      </c>
      <c r="AU73" s="94">
        <v>9830288</v>
      </c>
      <c r="AV73" s="90" t="s">
        <v>734</v>
      </c>
      <c r="AW73" s="108" t="s">
        <v>943</v>
      </c>
      <c r="AX73" s="91">
        <v>44611</v>
      </c>
      <c r="AY73" s="108" t="s">
        <v>1586</v>
      </c>
      <c r="AZ73" s="90"/>
      <c r="BA73" s="90"/>
      <c r="BB73" s="90" t="s">
        <v>36</v>
      </c>
      <c r="BC73" s="90"/>
      <c r="BD73" s="90" t="s">
        <v>28</v>
      </c>
      <c r="BE73" s="90"/>
      <c r="BF73" s="90"/>
      <c r="BG73" s="91"/>
      <c r="BH73" s="93" t="b">
        <v>0</v>
      </c>
      <c r="BI73" s="90"/>
      <c r="BJ73" s="90"/>
      <c r="BK73" s="90" t="s">
        <v>1120</v>
      </c>
      <c r="BL73" s="90" t="s">
        <v>1632</v>
      </c>
      <c r="BM73" s="90"/>
      <c r="BN73" s="90"/>
      <c r="BO73" s="90"/>
      <c r="BP73" s="90"/>
      <c r="BQ73" s="90"/>
      <c r="BR73" s="95"/>
      <c r="BS73" s="90"/>
      <c r="BT73" s="90"/>
      <c r="BU73" s="90"/>
      <c r="BV73" s="90"/>
      <c r="BW73" s="90"/>
      <c r="BX73" s="90"/>
      <c r="BY73" s="90"/>
      <c r="BZ73" s="90"/>
      <c r="CA73" s="90"/>
      <c r="CB73" s="90"/>
      <c r="CC73" s="91"/>
      <c r="CD73" s="90"/>
      <c r="CE73" s="91"/>
      <c r="CF73" s="90"/>
      <c r="CG73" s="91"/>
      <c r="CH73" s="90"/>
      <c r="CI73" s="91"/>
      <c r="CJ73" s="90"/>
      <c r="CK73" s="91"/>
      <c r="CL73" s="90"/>
      <c r="CM73" s="91"/>
      <c r="CN73" s="96"/>
      <c r="CO73" s="91"/>
      <c r="CP73" s="90"/>
      <c r="CQ73" s="90"/>
      <c r="CR73" s="90"/>
      <c r="CS73" s="90"/>
      <c r="CT73" s="91"/>
      <c r="CU73" s="90"/>
      <c r="CV73" s="97"/>
    </row>
    <row r="74" spans="1:100" ht="15" customHeight="1">
      <c r="A74" s="117" t="s">
        <v>1659</v>
      </c>
      <c r="B74" s="118">
        <v>44522</v>
      </c>
      <c r="C74" s="117" t="s">
        <v>1660</v>
      </c>
      <c r="D74" s="117" t="s">
        <v>352</v>
      </c>
      <c r="E74" s="119" t="str">
        <f t="shared" si="4"/>
        <v>Cmoge</v>
      </c>
      <c r="F74" s="117" t="str">
        <f t="shared" si="5"/>
        <v>Choge</v>
      </c>
      <c r="G74" s="117" t="s">
        <v>374</v>
      </c>
      <c r="H74" s="117" t="s">
        <v>1633</v>
      </c>
      <c r="I74" s="117" t="s">
        <v>354</v>
      </c>
      <c r="J74" s="117" t="str">
        <f t="shared" si="6"/>
        <v>MMS</v>
      </c>
      <c r="K74" s="117" t="s">
        <v>416</v>
      </c>
      <c r="L74" s="117" t="str">
        <f t="shared" si="7"/>
        <v>MMS13</v>
      </c>
      <c r="M74" s="119" t="s">
        <v>346</v>
      </c>
      <c r="N74" s="117" t="s">
        <v>1661</v>
      </c>
      <c r="O74" s="117" t="s">
        <v>1720</v>
      </c>
      <c r="P74" s="117" t="s">
        <v>1721</v>
      </c>
      <c r="Q74" s="118">
        <v>44523</v>
      </c>
      <c r="R74" s="118">
        <v>44514</v>
      </c>
      <c r="S74" s="117" t="s">
        <v>1722</v>
      </c>
      <c r="T74" s="118">
        <v>44523</v>
      </c>
      <c r="U74" s="120" t="s">
        <v>295</v>
      </c>
      <c r="V74" s="120" t="s">
        <v>295</v>
      </c>
      <c r="W74" s="121" t="s">
        <v>262</v>
      </c>
      <c r="X74" s="117" t="s">
        <v>1723</v>
      </c>
      <c r="Y74" s="117"/>
      <c r="Z74" s="117"/>
      <c r="AA74" s="117" t="s">
        <v>804</v>
      </c>
      <c r="AB74" s="117" t="s">
        <v>1702</v>
      </c>
      <c r="AC74" s="118">
        <v>44523</v>
      </c>
      <c r="AD74" s="117" t="s">
        <v>349</v>
      </c>
      <c r="AE74" s="117" t="s">
        <v>1252</v>
      </c>
      <c r="AF74" s="90" t="s">
        <v>1103</v>
      </c>
      <c r="AG74" s="90" t="s">
        <v>0</v>
      </c>
      <c r="AH74" s="93" t="s">
        <v>972</v>
      </c>
      <c r="AI74" s="93" t="b">
        <v>0</v>
      </c>
      <c r="AJ74" s="93"/>
      <c r="AK74" s="93" t="b">
        <v>0</v>
      </c>
      <c r="AL74" s="93"/>
      <c r="AM74" s="93" t="b">
        <v>0</v>
      </c>
      <c r="AN74" s="93" t="b">
        <v>0</v>
      </c>
      <c r="AO74" s="93" t="b">
        <v>0</v>
      </c>
      <c r="AP74" s="93" t="b">
        <v>0</v>
      </c>
      <c r="AQ74" s="93" t="b">
        <v>0</v>
      </c>
      <c r="AR74" s="93" t="b">
        <v>0</v>
      </c>
      <c r="AS74" s="93" t="b">
        <v>0</v>
      </c>
      <c r="AT74" s="107" t="s">
        <v>1724</v>
      </c>
      <c r="AU74" s="94">
        <v>9830288</v>
      </c>
      <c r="AV74" s="90" t="s">
        <v>734</v>
      </c>
      <c r="AW74" s="108" t="s">
        <v>943</v>
      </c>
      <c r="AX74" s="91">
        <v>44607</v>
      </c>
      <c r="AY74" s="108" t="s">
        <v>1586</v>
      </c>
      <c r="AZ74" s="90"/>
      <c r="BA74" s="90"/>
      <c r="BB74" s="90" t="s">
        <v>42</v>
      </c>
      <c r="BC74" s="90"/>
      <c r="BD74" s="90" t="s">
        <v>31</v>
      </c>
      <c r="BE74" s="90"/>
      <c r="BF74" s="90"/>
      <c r="BG74" s="91"/>
      <c r="BH74" s="93" t="b">
        <v>0</v>
      </c>
      <c r="BI74" s="90"/>
      <c r="BJ74" s="90"/>
      <c r="BK74" s="90" t="s">
        <v>1120</v>
      </c>
      <c r="BL74" s="90" t="s">
        <v>1632</v>
      </c>
      <c r="BM74" s="90"/>
      <c r="BN74" s="90"/>
      <c r="BO74" s="90"/>
      <c r="BP74" s="90"/>
      <c r="BQ74" s="90"/>
      <c r="BR74" s="95"/>
      <c r="BS74" s="90"/>
      <c r="BT74" s="90"/>
      <c r="BU74" s="90"/>
      <c r="BV74" s="90"/>
      <c r="BW74" s="90"/>
      <c r="BX74" s="90"/>
      <c r="BY74" s="90"/>
      <c r="BZ74" s="90"/>
      <c r="CA74" s="90"/>
      <c r="CB74" s="90"/>
      <c r="CC74" s="91"/>
      <c r="CD74" s="90"/>
      <c r="CE74" s="91"/>
      <c r="CF74" s="90"/>
      <c r="CG74" s="91"/>
      <c r="CH74" s="90"/>
      <c r="CI74" s="91"/>
      <c r="CJ74" s="90"/>
      <c r="CK74" s="91"/>
      <c r="CL74" s="90"/>
      <c r="CM74" s="91"/>
      <c r="CN74" s="96"/>
      <c r="CO74" s="91"/>
      <c r="CP74" s="90"/>
      <c r="CQ74" s="90"/>
      <c r="CR74" s="90"/>
      <c r="CS74" s="90"/>
      <c r="CT74" s="91"/>
      <c r="CU74" s="90"/>
      <c r="CV74" s="97"/>
    </row>
    <row r="75" spans="1:100" ht="15" customHeight="1">
      <c r="A75" s="117" t="s">
        <v>1662</v>
      </c>
      <c r="B75" s="118">
        <v>44522</v>
      </c>
      <c r="C75" s="117" t="s">
        <v>1663</v>
      </c>
      <c r="D75" s="117" t="s">
        <v>352</v>
      </c>
      <c r="E75" s="119" t="str">
        <f t="shared" si="4"/>
        <v>Cmoge</v>
      </c>
      <c r="F75" s="117" t="str">
        <f t="shared" si="5"/>
        <v>Choge</v>
      </c>
      <c r="G75" s="117" t="s">
        <v>374</v>
      </c>
      <c r="H75" s="117" t="s">
        <v>1633</v>
      </c>
      <c r="I75" s="117" t="s">
        <v>354</v>
      </c>
      <c r="J75" s="117" t="str">
        <f t="shared" si="6"/>
        <v>MMS</v>
      </c>
      <c r="K75" s="117" t="s">
        <v>416</v>
      </c>
      <c r="L75" s="117" t="str">
        <f t="shared" si="7"/>
        <v>MMS13</v>
      </c>
      <c r="M75" s="119" t="s">
        <v>346</v>
      </c>
      <c r="N75" s="117" t="s">
        <v>1664</v>
      </c>
      <c r="O75" s="117" t="s">
        <v>1276</v>
      </c>
      <c r="P75" s="117" t="s">
        <v>1715</v>
      </c>
      <c r="Q75" s="118">
        <v>44525</v>
      </c>
      <c r="R75" s="118">
        <v>44545</v>
      </c>
      <c r="S75" s="117" t="s">
        <v>1716</v>
      </c>
      <c r="T75" s="118">
        <v>44526</v>
      </c>
      <c r="U75" s="120" t="s">
        <v>295</v>
      </c>
      <c r="V75" s="120" t="s">
        <v>295</v>
      </c>
      <c r="W75" s="121" t="s">
        <v>262</v>
      </c>
      <c r="X75" s="117" t="s">
        <v>1717</v>
      </c>
      <c r="Y75" s="117"/>
      <c r="Z75" s="117"/>
      <c r="AA75" s="117" t="s">
        <v>1</v>
      </c>
      <c r="AB75" s="117" t="s">
        <v>1718</v>
      </c>
      <c r="AC75" s="118">
        <v>44526</v>
      </c>
      <c r="AD75" s="117" t="s">
        <v>349</v>
      </c>
      <c r="AE75" s="117" t="s">
        <v>1252</v>
      </c>
      <c r="AF75" s="90" t="s">
        <v>1103</v>
      </c>
      <c r="AG75" s="90" t="s">
        <v>0</v>
      </c>
      <c r="AH75" s="93" t="s">
        <v>972</v>
      </c>
      <c r="AI75" s="93" t="b">
        <v>0</v>
      </c>
      <c r="AJ75" s="93"/>
      <c r="AK75" s="93" t="b">
        <v>0</v>
      </c>
      <c r="AL75" s="93"/>
      <c r="AM75" s="93" t="b">
        <v>0</v>
      </c>
      <c r="AN75" s="93" t="b">
        <v>0</v>
      </c>
      <c r="AO75" s="93" t="b">
        <v>0</v>
      </c>
      <c r="AP75" s="93" t="b">
        <v>0</v>
      </c>
      <c r="AQ75" s="93" t="b">
        <v>0</v>
      </c>
      <c r="AR75" s="93" t="b">
        <v>0</v>
      </c>
      <c r="AS75" s="93" t="b">
        <v>0</v>
      </c>
      <c r="AT75" s="107" t="s">
        <v>1719</v>
      </c>
      <c r="AU75" s="94">
        <v>9830288</v>
      </c>
      <c r="AV75" s="90" t="s">
        <v>734</v>
      </c>
      <c r="AW75" s="108" t="s">
        <v>943</v>
      </c>
      <c r="AX75" s="91">
        <v>44607</v>
      </c>
      <c r="AY75" s="108" t="s">
        <v>1586</v>
      </c>
      <c r="AZ75" s="90"/>
      <c r="BA75" s="90"/>
      <c r="BB75" s="90" t="s">
        <v>42</v>
      </c>
      <c r="BC75" s="90"/>
      <c r="BD75" s="90" t="s">
        <v>31</v>
      </c>
      <c r="BE75" s="90"/>
      <c r="BF75" s="90"/>
      <c r="BG75" s="91"/>
      <c r="BH75" s="93" t="b">
        <v>0</v>
      </c>
      <c r="BI75" s="90"/>
      <c r="BJ75" s="90"/>
      <c r="BK75" s="90" t="s">
        <v>1120</v>
      </c>
      <c r="BL75" s="90" t="s">
        <v>1632</v>
      </c>
      <c r="BM75" s="90"/>
      <c r="BN75" s="90"/>
      <c r="BO75" s="90"/>
      <c r="BP75" s="90"/>
      <c r="BQ75" s="90"/>
      <c r="BR75" s="95"/>
      <c r="BS75" s="90"/>
      <c r="BT75" s="90"/>
      <c r="BU75" s="90"/>
      <c r="BV75" s="90"/>
      <c r="BW75" s="90"/>
      <c r="BX75" s="90"/>
      <c r="BY75" s="90"/>
      <c r="BZ75" s="90"/>
      <c r="CA75" s="90"/>
      <c r="CB75" s="90"/>
      <c r="CC75" s="91"/>
      <c r="CD75" s="90"/>
      <c r="CE75" s="91"/>
      <c r="CF75" s="90"/>
      <c r="CG75" s="91"/>
      <c r="CH75" s="90"/>
      <c r="CI75" s="91"/>
      <c r="CJ75" s="90"/>
      <c r="CK75" s="91"/>
      <c r="CL75" s="90"/>
      <c r="CM75" s="91"/>
      <c r="CN75" s="96"/>
      <c r="CO75" s="91"/>
      <c r="CP75" s="90"/>
      <c r="CQ75" s="90"/>
      <c r="CR75" s="90"/>
      <c r="CS75" s="90"/>
      <c r="CT75" s="91"/>
      <c r="CU75" s="90"/>
      <c r="CV75" s="97"/>
    </row>
    <row r="76" spans="1:100" ht="15" customHeight="1">
      <c r="A76" s="117" t="s">
        <v>1665</v>
      </c>
      <c r="B76" s="118">
        <v>44522</v>
      </c>
      <c r="C76" s="117" t="s">
        <v>1666</v>
      </c>
      <c r="D76" s="117" t="s">
        <v>352</v>
      </c>
      <c r="E76" s="119" t="str">
        <f t="shared" si="4"/>
        <v>Cmoge</v>
      </c>
      <c r="F76" s="117" t="str">
        <f t="shared" si="5"/>
        <v>Choge</v>
      </c>
      <c r="G76" s="117" t="s">
        <v>374</v>
      </c>
      <c r="H76" s="117" t="s">
        <v>1633</v>
      </c>
      <c r="I76" s="117" t="s">
        <v>354</v>
      </c>
      <c r="J76" s="117" t="str">
        <f t="shared" si="6"/>
        <v>MMS</v>
      </c>
      <c r="K76" s="117" t="s">
        <v>426</v>
      </c>
      <c r="L76" s="117" t="str">
        <f t="shared" si="7"/>
        <v>MMS23</v>
      </c>
      <c r="M76" s="119" t="s">
        <v>346</v>
      </c>
      <c r="N76" s="117" t="s">
        <v>1667</v>
      </c>
      <c r="O76" s="117" t="s">
        <v>1685</v>
      </c>
      <c r="P76" s="117" t="s">
        <v>1707</v>
      </c>
      <c r="Q76" s="118">
        <v>44524</v>
      </c>
      <c r="R76" s="118">
        <v>44545</v>
      </c>
      <c r="S76" s="117" t="s">
        <v>1711</v>
      </c>
      <c r="T76" s="118">
        <v>44540</v>
      </c>
      <c r="U76" s="120" t="s">
        <v>295</v>
      </c>
      <c r="V76" s="120" t="s">
        <v>295</v>
      </c>
      <c r="W76" s="121" t="s">
        <v>262</v>
      </c>
      <c r="X76" s="117" t="s">
        <v>1685</v>
      </c>
      <c r="Y76" s="117"/>
      <c r="Z76" s="117"/>
      <c r="AA76" s="117" t="s">
        <v>1</v>
      </c>
      <c r="AB76" s="117" t="s">
        <v>1713</v>
      </c>
      <c r="AC76" s="118">
        <v>44540</v>
      </c>
      <c r="AD76" s="117" t="s">
        <v>349</v>
      </c>
      <c r="AE76" s="117" t="s">
        <v>1180</v>
      </c>
      <c r="AF76" s="90" t="s">
        <v>1103</v>
      </c>
      <c r="AG76" s="90" t="s">
        <v>0</v>
      </c>
      <c r="AH76" s="93" t="s">
        <v>972</v>
      </c>
      <c r="AI76" s="93" t="b">
        <v>0</v>
      </c>
      <c r="AJ76" s="93"/>
      <c r="AK76" s="93" t="b">
        <v>0</v>
      </c>
      <c r="AL76" s="93"/>
      <c r="AM76" s="93" t="b">
        <v>0</v>
      </c>
      <c r="AN76" s="93" t="b">
        <v>0</v>
      </c>
      <c r="AO76" s="93" t="b">
        <v>0</v>
      </c>
      <c r="AP76" s="93" t="b">
        <v>0</v>
      </c>
      <c r="AQ76" s="93" t="b">
        <v>0</v>
      </c>
      <c r="AR76" s="93" t="b">
        <v>0</v>
      </c>
      <c r="AS76" s="93" t="b">
        <v>0</v>
      </c>
      <c r="AT76" s="107" t="s">
        <v>1714</v>
      </c>
      <c r="AU76" s="94">
        <v>9830288</v>
      </c>
      <c r="AV76" s="90" t="s">
        <v>734</v>
      </c>
      <c r="AW76" s="108" t="s">
        <v>943</v>
      </c>
      <c r="AX76" s="91">
        <v>44607</v>
      </c>
      <c r="AY76" s="108" t="s">
        <v>1586</v>
      </c>
      <c r="AZ76" s="90"/>
      <c r="BA76" s="90"/>
      <c r="BB76" s="90" t="s">
        <v>52</v>
      </c>
      <c r="BC76" s="90"/>
      <c r="BD76" s="90" t="s">
        <v>757</v>
      </c>
      <c r="BE76" s="90"/>
      <c r="BF76" s="90"/>
      <c r="BG76" s="91"/>
      <c r="BH76" s="93" t="b">
        <v>0</v>
      </c>
      <c r="BI76" s="90"/>
      <c r="BJ76" s="90"/>
      <c r="BK76" s="90" t="s">
        <v>1120</v>
      </c>
      <c r="BL76" s="90" t="s">
        <v>1632</v>
      </c>
      <c r="BM76" s="90"/>
      <c r="BN76" s="90"/>
      <c r="BO76" s="90"/>
      <c r="BP76" s="90"/>
      <c r="BQ76" s="90"/>
      <c r="BR76" s="95"/>
      <c r="BS76" s="90"/>
      <c r="BT76" s="90"/>
      <c r="BU76" s="90"/>
      <c r="BV76" s="90"/>
      <c r="BW76" s="90"/>
      <c r="BX76" s="90"/>
      <c r="BY76" s="90"/>
      <c r="BZ76" s="90"/>
      <c r="CA76" s="90"/>
      <c r="CB76" s="90"/>
      <c r="CC76" s="91"/>
      <c r="CD76" s="90"/>
      <c r="CE76" s="91"/>
      <c r="CF76" s="90"/>
      <c r="CG76" s="91"/>
      <c r="CH76" s="90"/>
      <c r="CI76" s="91"/>
      <c r="CJ76" s="90"/>
      <c r="CK76" s="91"/>
      <c r="CL76" s="90"/>
      <c r="CM76" s="91"/>
      <c r="CN76" s="96"/>
      <c r="CO76" s="91"/>
      <c r="CP76" s="90"/>
      <c r="CQ76" s="90"/>
      <c r="CR76" s="90"/>
      <c r="CS76" s="90"/>
      <c r="CT76" s="91"/>
      <c r="CU76" s="90"/>
      <c r="CV76" s="97"/>
    </row>
    <row r="77" spans="1:100" ht="15" customHeight="1">
      <c r="A77" s="117" t="s">
        <v>1668</v>
      </c>
      <c r="B77" s="118">
        <v>44522</v>
      </c>
      <c r="C77" s="117" t="s">
        <v>1669</v>
      </c>
      <c r="D77" s="117" t="s">
        <v>352</v>
      </c>
      <c r="E77" s="119" t="str">
        <f t="shared" si="4"/>
        <v>Cmoge</v>
      </c>
      <c r="F77" s="117" t="str">
        <f t="shared" si="5"/>
        <v>Choge</v>
      </c>
      <c r="G77" s="117" t="s">
        <v>374</v>
      </c>
      <c r="H77" s="117" t="s">
        <v>1633</v>
      </c>
      <c r="I77" s="117" t="s">
        <v>354</v>
      </c>
      <c r="J77" s="117" t="str">
        <f t="shared" si="6"/>
        <v>MMS</v>
      </c>
      <c r="K77" s="117" t="s">
        <v>426</v>
      </c>
      <c r="L77" s="117" t="str">
        <f t="shared" si="7"/>
        <v>MMS23</v>
      </c>
      <c r="M77" s="119" t="s">
        <v>346</v>
      </c>
      <c r="N77" s="117" t="s">
        <v>1670</v>
      </c>
      <c r="O77" s="117" t="s">
        <v>1706</v>
      </c>
      <c r="P77" s="117" t="s">
        <v>1707</v>
      </c>
      <c r="Q77" s="118">
        <v>44525</v>
      </c>
      <c r="R77" s="118">
        <v>44540</v>
      </c>
      <c r="S77" s="117" t="s">
        <v>1708</v>
      </c>
      <c r="T77" s="118">
        <v>44539</v>
      </c>
      <c r="U77" s="120" t="s">
        <v>295</v>
      </c>
      <c r="V77" s="120" t="s">
        <v>295</v>
      </c>
      <c r="W77" s="121" t="s">
        <v>262</v>
      </c>
      <c r="X77" s="117" t="s">
        <v>1709</v>
      </c>
      <c r="Y77" s="117"/>
      <c r="Z77" s="117"/>
      <c r="AA77" s="117" t="s">
        <v>1</v>
      </c>
      <c r="AB77" s="117" t="s">
        <v>1710</v>
      </c>
      <c r="AC77" s="118">
        <v>44539</v>
      </c>
      <c r="AD77" s="117" t="s">
        <v>349</v>
      </c>
      <c r="AE77" s="117" t="s">
        <v>1180</v>
      </c>
      <c r="AF77" s="90" t="s">
        <v>1103</v>
      </c>
      <c r="AG77" s="90" t="s">
        <v>0</v>
      </c>
      <c r="AH77" s="93" t="s">
        <v>972</v>
      </c>
      <c r="AI77" s="93" t="b">
        <v>0</v>
      </c>
      <c r="AJ77" s="93"/>
      <c r="AK77" s="93" t="b">
        <v>0</v>
      </c>
      <c r="AL77" s="93"/>
      <c r="AM77" s="93" t="b">
        <v>0</v>
      </c>
      <c r="AN77" s="93" t="b">
        <v>0</v>
      </c>
      <c r="AO77" s="93" t="b">
        <v>0</v>
      </c>
      <c r="AP77" s="93" t="b">
        <v>0</v>
      </c>
      <c r="AQ77" s="93" t="b">
        <v>0</v>
      </c>
      <c r="AR77" s="93" t="b">
        <v>0</v>
      </c>
      <c r="AS77" s="93" t="b">
        <v>0</v>
      </c>
      <c r="AT77" s="107" t="s">
        <v>1712</v>
      </c>
      <c r="AU77" s="94">
        <v>9830288</v>
      </c>
      <c r="AV77" s="90" t="s">
        <v>734</v>
      </c>
      <c r="AW77" s="108" t="s">
        <v>943</v>
      </c>
      <c r="AX77" s="91">
        <v>44607</v>
      </c>
      <c r="AY77" s="108" t="s">
        <v>1586</v>
      </c>
      <c r="AZ77" s="90"/>
      <c r="BA77" s="90"/>
      <c r="BB77" s="90" t="s">
        <v>52</v>
      </c>
      <c r="BC77" s="90"/>
      <c r="BD77" s="90" t="s">
        <v>757</v>
      </c>
      <c r="BE77" s="90"/>
      <c r="BF77" s="90"/>
      <c r="BG77" s="91"/>
      <c r="BH77" s="93" t="b">
        <v>0</v>
      </c>
      <c r="BI77" s="90"/>
      <c r="BJ77" s="90"/>
      <c r="BK77" s="90" t="s">
        <v>1120</v>
      </c>
      <c r="BL77" s="90" t="s">
        <v>1632</v>
      </c>
      <c r="BM77" s="90"/>
      <c r="BN77" s="90"/>
      <c r="BO77" s="90"/>
      <c r="BP77" s="90"/>
      <c r="BQ77" s="90"/>
      <c r="BR77" s="95"/>
      <c r="BS77" s="90"/>
      <c r="BT77" s="90"/>
      <c r="BU77" s="90"/>
      <c r="BV77" s="90"/>
      <c r="BW77" s="90"/>
      <c r="BX77" s="90"/>
      <c r="BY77" s="90"/>
      <c r="BZ77" s="90"/>
      <c r="CA77" s="90"/>
      <c r="CB77" s="90"/>
      <c r="CC77" s="91"/>
      <c r="CD77" s="90"/>
      <c r="CE77" s="91"/>
      <c r="CF77" s="90"/>
      <c r="CG77" s="91"/>
      <c r="CH77" s="90"/>
      <c r="CI77" s="91"/>
      <c r="CJ77" s="90"/>
      <c r="CK77" s="91"/>
      <c r="CL77" s="90"/>
      <c r="CM77" s="91"/>
      <c r="CN77" s="96"/>
      <c r="CO77" s="91"/>
      <c r="CP77" s="90"/>
      <c r="CQ77" s="90"/>
      <c r="CR77" s="90"/>
      <c r="CS77" s="90"/>
      <c r="CT77" s="91"/>
      <c r="CU77" s="90"/>
      <c r="CV77" s="97"/>
    </row>
    <row r="78" spans="1:100" ht="15" customHeight="1">
      <c r="A78" s="117" t="s">
        <v>1671</v>
      </c>
      <c r="B78" s="118">
        <v>44522</v>
      </c>
      <c r="C78" s="117" t="s">
        <v>1672</v>
      </c>
      <c r="D78" s="117" t="s">
        <v>352</v>
      </c>
      <c r="E78" s="119" t="str">
        <f t="shared" si="4"/>
        <v>Cmoge</v>
      </c>
      <c r="F78" s="117" t="str">
        <f t="shared" si="5"/>
        <v>Choge</v>
      </c>
      <c r="G78" s="117" t="s">
        <v>374</v>
      </c>
      <c r="H78" s="117" t="s">
        <v>1633</v>
      </c>
      <c r="I78" s="117" t="s">
        <v>354</v>
      </c>
      <c r="J78" s="117" t="str">
        <f t="shared" si="6"/>
        <v>MMS</v>
      </c>
      <c r="K78" s="117" t="s">
        <v>424</v>
      </c>
      <c r="L78" s="117" t="str">
        <f t="shared" si="7"/>
        <v>MMS21</v>
      </c>
      <c r="M78" s="119" t="s">
        <v>346</v>
      </c>
      <c r="N78" s="117" t="s">
        <v>1673</v>
      </c>
      <c r="O78" s="117" t="s">
        <v>1700</v>
      </c>
      <c r="P78" s="117" t="s">
        <v>1701</v>
      </c>
      <c r="Q78" s="118">
        <v>44529</v>
      </c>
      <c r="R78" s="118">
        <v>44530</v>
      </c>
      <c r="S78" s="117" t="s">
        <v>1702</v>
      </c>
      <c r="T78" s="118">
        <v>44529</v>
      </c>
      <c r="U78" s="120" t="s">
        <v>295</v>
      </c>
      <c r="V78" s="120" t="s">
        <v>295</v>
      </c>
      <c r="W78" s="121" t="s">
        <v>262</v>
      </c>
      <c r="X78" s="117" t="s">
        <v>1703</v>
      </c>
      <c r="Y78" s="117"/>
      <c r="Z78" s="117"/>
      <c r="AA78" s="117" t="s">
        <v>804</v>
      </c>
      <c r="AB78" s="117" t="s">
        <v>1704</v>
      </c>
      <c r="AC78" s="118">
        <v>44559</v>
      </c>
      <c r="AD78" s="117" t="s">
        <v>349</v>
      </c>
      <c r="AE78" s="117" t="s">
        <v>1252</v>
      </c>
      <c r="AF78" s="90" t="s">
        <v>1103</v>
      </c>
      <c r="AG78" s="90" t="s">
        <v>0</v>
      </c>
      <c r="AH78" s="93" t="s">
        <v>972</v>
      </c>
      <c r="AI78" s="93" t="b">
        <v>0</v>
      </c>
      <c r="AJ78" s="93"/>
      <c r="AK78" s="93" t="b">
        <v>0</v>
      </c>
      <c r="AL78" s="93"/>
      <c r="AM78" s="93" t="b">
        <v>0</v>
      </c>
      <c r="AN78" s="93" t="b">
        <v>0</v>
      </c>
      <c r="AO78" s="93" t="b">
        <v>0</v>
      </c>
      <c r="AP78" s="93" t="b">
        <v>0</v>
      </c>
      <c r="AQ78" s="93" t="b">
        <v>0</v>
      </c>
      <c r="AR78" s="93" t="b">
        <v>0</v>
      </c>
      <c r="AS78" s="93" t="b">
        <v>0</v>
      </c>
      <c r="AT78" s="107" t="s">
        <v>1705</v>
      </c>
      <c r="AU78" s="94">
        <v>9830288</v>
      </c>
      <c r="AV78" s="90" t="s">
        <v>734</v>
      </c>
      <c r="AW78" s="108" t="s">
        <v>943</v>
      </c>
      <c r="AX78" s="91">
        <v>44606</v>
      </c>
      <c r="AY78" s="108" t="s">
        <v>1586</v>
      </c>
      <c r="AZ78" s="90"/>
      <c r="BA78" s="90"/>
      <c r="BB78" s="90" t="s">
        <v>50</v>
      </c>
      <c r="BC78" s="90"/>
      <c r="BD78" s="90" t="s">
        <v>26</v>
      </c>
      <c r="BE78" s="90"/>
      <c r="BF78" s="90"/>
      <c r="BG78" s="91"/>
      <c r="BH78" s="93" t="b">
        <v>0</v>
      </c>
      <c r="BI78" s="90"/>
      <c r="BJ78" s="90"/>
      <c r="BK78" s="90" t="s">
        <v>1120</v>
      </c>
      <c r="BL78" s="90" t="s">
        <v>1632</v>
      </c>
      <c r="BM78" s="90"/>
      <c r="BN78" s="90"/>
      <c r="BO78" s="90"/>
      <c r="BP78" s="90"/>
      <c r="BQ78" s="90"/>
      <c r="BR78" s="95"/>
      <c r="BS78" s="90"/>
      <c r="BT78" s="90"/>
      <c r="BU78" s="90"/>
      <c r="BV78" s="90"/>
      <c r="BW78" s="90"/>
      <c r="BX78" s="90"/>
      <c r="BY78" s="90"/>
      <c r="BZ78" s="90"/>
      <c r="CA78" s="90"/>
      <c r="CB78" s="90"/>
      <c r="CC78" s="91"/>
      <c r="CD78" s="90"/>
      <c r="CE78" s="91"/>
      <c r="CF78" s="90"/>
      <c r="CG78" s="91"/>
      <c r="CH78" s="90"/>
      <c r="CI78" s="91"/>
      <c r="CJ78" s="90"/>
      <c r="CK78" s="91"/>
      <c r="CL78" s="90"/>
      <c r="CM78" s="91"/>
      <c r="CN78" s="96"/>
      <c r="CO78" s="91"/>
      <c r="CP78" s="90"/>
      <c r="CQ78" s="90"/>
      <c r="CR78" s="90"/>
      <c r="CS78" s="90"/>
      <c r="CT78" s="91"/>
      <c r="CU78" s="90"/>
      <c r="CV78" s="97"/>
    </row>
    <row r="79" spans="1:100" ht="15" customHeight="1">
      <c r="A79" s="117" t="s">
        <v>1674</v>
      </c>
      <c r="B79" s="118">
        <v>44522</v>
      </c>
      <c r="C79" s="117" t="s">
        <v>1675</v>
      </c>
      <c r="D79" s="117" t="s">
        <v>352</v>
      </c>
      <c r="E79" s="119" t="str">
        <f t="shared" si="4"/>
        <v>Cmoge</v>
      </c>
      <c r="F79" s="117" t="str">
        <f t="shared" si="5"/>
        <v>Choge</v>
      </c>
      <c r="G79" s="117" t="s">
        <v>374</v>
      </c>
      <c r="H79" s="117" t="s">
        <v>1633</v>
      </c>
      <c r="I79" s="117" t="s">
        <v>354</v>
      </c>
      <c r="J79" s="117" t="str">
        <f t="shared" si="6"/>
        <v>MMS</v>
      </c>
      <c r="K79" s="117" t="s">
        <v>424</v>
      </c>
      <c r="L79" s="117" t="str">
        <f t="shared" si="7"/>
        <v>MMS21</v>
      </c>
      <c r="M79" s="119" t="s">
        <v>346</v>
      </c>
      <c r="N79" s="117" t="s">
        <v>1676</v>
      </c>
      <c r="O79" s="117" t="s">
        <v>1694</v>
      </c>
      <c r="P79" s="117" t="s">
        <v>1695</v>
      </c>
      <c r="Q79" s="118">
        <v>44523</v>
      </c>
      <c r="R79" s="118">
        <v>44524</v>
      </c>
      <c r="S79" s="117" t="s">
        <v>1696</v>
      </c>
      <c r="T79" s="118">
        <v>44523</v>
      </c>
      <c r="U79" s="120" t="s">
        <v>295</v>
      </c>
      <c r="V79" s="120" t="s">
        <v>295</v>
      </c>
      <c r="W79" s="121" t="s">
        <v>262</v>
      </c>
      <c r="X79" s="117" t="s">
        <v>1697</v>
      </c>
      <c r="Y79" s="117"/>
      <c r="Z79" s="117"/>
      <c r="AA79" s="117" t="s">
        <v>1</v>
      </c>
      <c r="AB79" s="117" t="s">
        <v>1698</v>
      </c>
      <c r="AC79" s="118">
        <v>44523</v>
      </c>
      <c r="AD79" s="117" t="s">
        <v>349</v>
      </c>
      <c r="AE79" s="117" t="s">
        <v>1252</v>
      </c>
      <c r="AF79" s="90" t="s">
        <v>1103</v>
      </c>
      <c r="AG79" s="90" t="s">
        <v>0</v>
      </c>
      <c r="AH79" s="93" t="s">
        <v>972</v>
      </c>
      <c r="AI79" s="93" t="b">
        <v>0</v>
      </c>
      <c r="AJ79" s="93"/>
      <c r="AK79" s="93" t="b">
        <v>0</v>
      </c>
      <c r="AL79" s="93"/>
      <c r="AM79" s="93" t="b">
        <v>0</v>
      </c>
      <c r="AN79" s="93" t="b">
        <v>0</v>
      </c>
      <c r="AO79" s="93" t="b">
        <v>0</v>
      </c>
      <c r="AP79" s="93" t="b">
        <v>0</v>
      </c>
      <c r="AQ79" s="93" t="b">
        <v>0</v>
      </c>
      <c r="AR79" s="93" t="b">
        <v>0</v>
      </c>
      <c r="AS79" s="93" t="b">
        <v>0</v>
      </c>
      <c r="AT79" s="107" t="s">
        <v>1699</v>
      </c>
      <c r="AU79" s="94">
        <v>9830288</v>
      </c>
      <c r="AV79" s="90" t="s">
        <v>734</v>
      </c>
      <c r="AW79" s="108" t="s">
        <v>943</v>
      </c>
      <c r="AX79" s="91">
        <v>44606</v>
      </c>
      <c r="AY79" s="108" t="s">
        <v>1586</v>
      </c>
      <c r="AZ79" s="90" t="s">
        <v>17</v>
      </c>
      <c r="BA79" s="90" t="s">
        <v>188</v>
      </c>
      <c r="BB79" s="90" t="s">
        <v>50</v>
      </c>
      <c r="BC79" s="90"/>
      <c r="BD79" s="90" t="s">
        <v>29</v>
      </c>
      <c r="BE79" s="90"/>
      <c r="BF79" s="90"/>
      <c r="BG79" s="91"/>
      <c r="BH79" s="93" t="b">
        <v>0</v>
      </c>
      <c r="BI79" s="90"/>
      <c r="BJ79" s="90"/>
      <c r="BK79" s="90" t="s">
        <v>1120</v>
      </c>
      <c r="BL79" s="90" t="s">
        <v>1632</v>
      </c>
      <c r="BM79" s="90"/>
      <c r="BN79" s="90"/>
      <c r="BO79" s="90"/>
      <c r="BP79" s="90"/>
      <c r="BQ79" s="90"/>
      <c r="BR79" s="95"/>
      <c r="BS79" s="90"/>
      <c r="BT79" s="90"/>
      <c r="BU79" s="90"/>
      <c r="BV79" s="90"/>
      <c r="BW79" s="90"/>
      <c r="BX79" s="90"/>
      <c r="BY79" s="90"/>
      <c r="BZ79" s="90"/>
      <c r="CA79" s="90"/>
      <c r="CB79" s="90"/>
      <c r="CC79" s="91"/>
      <c r="CD79" s="90"/>
      <c r="CE79" s="91"/>
      <c r="CF79" s="90"/>
      <c r="CG79" s="91"/>
      <c r="CH79" s="90"/>
      <c r="CI79" s="91"/>
      <c r="CJ79" s="90"/>
      <c r="CK79" s="91"/>
      <c r="CL79" s="90"/>
      <c r="CM79" s="91"/>
      <c r="CN79" s="96"/>
      <c r="CO79" s="91"/>
      <c r="CP79" s="90"/>
      <c r="CQ79" s="90"/>
      <c r="CR79" s="90"/>
      <c r="CS79" s="90"/>
      <c r="CT79" s="91"/>
      <c r="CU79" s="90"/>
      <c r="CV79" s="97"/>
    </row>
    <row r="80" spans="1:100" ht="15" customHeight="1">
      <c r="A80" s="117" t="s">
        <v>1677</v>
      </c>
      <c r="B80" s="118">
        <v>44522</v>
      </c>
      <c r="C80" s="117" t="s">
        <v>1678</v>
      </c>
      <c r="D80" s="117" t="s">
        <v>352</v>
      </c>
      <c r="E80" s="119" t="str">
        <f t="shared" si="4"/>
        <v>Cmoge</v>
      </c>
      <c r="F80" s="117" t="str">
        <f t="shared" si="5"/>
        <v>Choge</v>
      </c>
      <c r="G80" s="117" t="s">
        <v>374</v>
      </c>
      <c r="H80" s="117" t="s">
        <v>1633</v>
      </c>
      <c r="I80" s="117" t="s">
        <v>354</v>
      </c>
      <c r="J80" s="117" t="str">
        <f t="shared" si="6"/>
        <v>MMS</v>
      </c>
      <c r="K80" s="117" t="s">
        <v>412</v>
      </c>
      <c r="L80" s="117" t="str">
        <f t="shared" si="7"/>
        <v>MMS09</v>
      </c>
      <c r="M80" s="119" t="s">
        <v>346</v>
      </c>
      <c r="N80" s="117" t="s">
        <v>1679</v>
      </c>
      <c r="O80" s="117" t="s">
        <v>1688</v>
      </c>
      <c r="P80" s="117" t="s">
        <v>1689</v>
      </c>
      <c r="Q80" s="118">
        <v>44522</v>
      </c>
      <c r="R80" s="118">
        <v>44523</v>
      </c>
      <c r="S80" s="117" t="s">
        <v>1690</v>
      </c>
      <c r="T80" s="118"/>
      <c r="U80" s="120" t="s">
        <v>295</v>
      </c>
      <c r="V80" s="120" t="s">
        <v>295</v>
      </c>
      <c r="W80" s="121" t="s">
        <v>262</v>
      </c>
      <c r="X80" s="117" t="s">
        <v>1691</v>
      </c>
      <c r="Y80" s="117"/>
      <c r="Z80" s="117"/>
      <c r="AA80" s="117" t="s">
        <v>804</v>
      </c>
      <c r="AB80" s="117" t="s">
        <v>1692</v>
      </c>
      <c r="AC80" s="118">
        <v>44522</v>
      </c>
      <c r="AD80" s="117" t="s">
        <v>349</v>
      </c>
      <c r="AE80" s="117" t="s">
        <v>1252</v>
      </c>
      <c r="AF80" s="90" t="s">
        <v>1103</v>
      </c>
      <c r="AG80" s="90" t="s">
        <v>0</v>
      </c>
      <c r="AH80" s="93" t="s">
        <v>972</v>
      </c>
      <c r="AI80" s="93" t="b">
        <v>0</v>
      </c>
      <c r="AJ80" s="93"/>
      <c r="AK80" s="93" t="b">
        <v>0</v>
      </c>
      <c r="AL80" s="93"/>
      <c r="AM80" s="93" t="b">
        <v>0</v>
      </c>
      <c r="AN80" s="93" t="b">
        <v>0</v>
      </c>
      <c r="AO80" s="93" t="b">
        <v>0</v>
      </c>
      <c r="AP80" s="93" t="b">
        <v>0</v>
      </c>
      <c r="AQ80" s="93" t="b">
        <v>0</v>
      </c>
      <c r="AR80" s="93" t="b">
        <v>0</v>
      </c>
      <c r="AS80" s="93" t="b">
        <v>0</v>
      </c>
      <c r="AT80" s="107" t="s">
        <v>1693</v>
      </c>
      <c r="AU80" s="94">
        <v>9830288</v>
      </c>
      <c r="AV80" s="90" t="s">
        <v>734</v>
      </c>
      <c r="AW80" s="108" t="s">
        <v>943</v>
      </c>
      <c r="AX80" s="91">
        <v>44606</v>
      </c>
      <c r="AY80" s="108" t="s">
        <v>1586</v>
      </c>
      <c r="AZ80" s="90"/>
      <c r="BA80" s="90"/>
      <c r="BB80" s="90" t="s">
        <v>38</v>
      </c>
      <c r="BC80" s="90"/>
      <c r="BD80" s="90" t="s">
        <v>28</v>
      </c>
      <c r="BE80" s="90"/>
      <c r="BF80" s="90"/>
      <c r="BG80" s="91"/>
      <c r="BH80" s="93" t="b">
        <v>0</v>
      </c>
      <c r="BI80" s="90"/>
      <c r="BJ80" s="90"/>
      <c r="BK80" s="90" t="s">
        <v>1120</v>
      </c>
      <c r="BL80" s="90" t="s">
        <v>1632</v>
      </c>
      <c r="BM80" s="90"/>
      <c r="BN80" s="90"/>
      <c r="BO80" s="90"/>
      <c r="BP80" s="90"/>
      <c r="BQ80" s="90"/>
      <c r="BR80" s="95"/>
      <c r="BS80" s="90"/>
      <c r="BT80" s="90"/>
      <c r="BU80" s="90"/>
      <c r="BV80" s="90"/>
      <c r="BW80" s="90"/>
      <c r="BX80" s="90"/>
      <c r="BY80" s="90"/>
      <c r="BZ80" s="90"/>
      <c r="CA80" s="90"/>
      <c r="CB80" s="90"/>
      <c r="CC80" s="91"/>
      <c r="CD80" s="90"/>
      <c r="CE80" s="91"/>
      <c r="CF80" s="90"/>
      <c r="CG80" s="91"/>
      <c r="CH80" s="90"/>
      <c r="CI80" s="91"/>
      <c r="CJ80" s="90"/>
      <c r="CK80" s="91"/>
      <c r="CL80" s="90"/>
      <c r="CM80" s="91"/>
      <c r="CN80" s="96"/>
      <c r="CO80" s="91"/>
      <c r="CP80" s="90"/>
      <c r="CQ80" s="90"/>
      <c r="CR80" s="90"/>
      <c r="CS80" s="90"/>
      <c r="CT80" s="91"/>
      <c r="CU80" s="90"/>
      <c r="CV80" s="97"/>
    </row>
    <row r="81" spans="1:100" ht="15" customHeight="1">
      <c r="A81" s="117" t="s">
        <v>1680</v>
      </c>
      <c r="B81" s="118">
        <v>44522</v>
      </c>
      <c r="C81" s="117" t="s">
        <v>1681</v>
      </c>
      <c r="D81" s="117" t="s">
        <v>352</v>
      </c>
      <c r="E81" s="119" t="str">
        <f t="shared" si="4"/>
        <v>Cmoge</v>
      </c>
      <c r="F81" s="117" t="str">
        <f t="shared" si="5"/>
        <v>Choge</v>
      </c>
      <c r="G81" s="117" t="s">
        <v>374</v>
      </c>
      <c r="H81" s="117" t="s">
        <v>1633</v>
      </c>
      <c r="I81" s="117" t="s">
        <v>354</v>
      </c>
      <c r="J81" s="117" t="str">
        <f t="shared" si="6"/>
        <v>MMS</v>
      </c>
      <c r="K81" s="117" t="s">
        <v>426</v>
      </c>
      <c r="L81" s="117" t="str">
        <f t="shared" si="7"/>
        <v>MMS23</v>
      </c>
      <c r="M81" s="119" t="s">
        <v>346</v>
      </c>
      <c r="N81" s="117" t="s">
        <v>1682</v>
      </c>
      <c r="O81" s="117" t="s">
        <v>499</v>
      </c>
      <c r="P81" s="117" t="s">
        <v>1683</v>
      </c>
      <c r="Q81" s="118">
        <v>44524</v>
      </c>
      <c r="R81" s="118">
        <v>44545</v>
      </c>
      <c r="S81" s="117" t="s">
        <v>1684</v>
      </c>
      <c r="T81" s="118">
        <v>44539</v>
      </c>
      <c r="U81" s="120" t="s">
        <v>295</v>
      </c>
      <c r="V81" s="120" t="s">
        <v>295</v>
      </c>
      <c r="W81" s="121" t="s">
        <v>262</v>
      </c>
      <c r="X81" s="117" t="s">
        <v>1685</v>
      </c>
      <c r="Y81" s="117"/>
      <c r="Z81" s="117"/>
      <c r="AA81" s="117" t="s">
        <v>1</v>
      </c>
      <c r="AB81" s="117" t="s">
        <v>1686</v>
      </c>
      <c r="AC81" s="118">
        <v>44545</v>
      </c>
      <c r="AD81" s="117" t="s">
        <v>349</v>
      </c>
      <c r="AE81" s="117"/>
      <c r="AF81" s="90" t="s">
        <v>1103</v>
      </c>
      <c r="AG81" s="90" t="s">
        <v>0</v>
      </c>
      <c r="AH81" s="93" t="s">
        <v>972</v>
      </c>
      <c r="AI81" s="93" t="b">
        <v>0</v>
      </c>
      <c r="AJ81" s="93"/>
      <c r="AK81" s="93" t="b">
        <v>0</v>
      </c>
      <c r="AL81" s="93"/>
      <c r="AM81" s="93" t="b">
        <v>0</v>
      </c>
      <c r="AN81" s="93" t="b">
        <v>0</v>
      </c>
      <c r="AO81" s="93" t="b">
        <v>0</v>
      </c>
      <c r="AP81" s="93" t="b">
        <v>0</v>
      </c>
      <c r="AQ81" s="93" t="b">
        <v>0</v>
      </c>
      <c r="AR81" s="93" t="b">
        <v>0</v>
      </c>
      <c r="AS81" s="93" t="b">
        <v>0</v>
      </c>
      <c r="AT81" s="107" t="s">
        <v>1687</v>
      </c>
      <c r="AU81" s="94">
        <v>9830288</v>
      </c>
      <c r="AV81" s="90" t="s">
        <v>734</v>
      </c>
      <c r="AW81" s="108" t="s">
        <v>943</v>
      </c>
      <c r="AX81" s="91">
        <v>44606</v>
      </c>
      <c r="AY81" s="108" t="s">
        <v>1586</v>
      </c>
      <c r="AZ81" s="90"/>
      <c r="BA81" s="90"/>
      <c r="BB81" s="90" t="s">
        <v>52</v>
      </c>
      <c r="BC81" s="90"/>
      <c r="BD81" s="90" t="s">
        <v>756</v>
      </c>
      <c r="BE81" s="90"/>
      <c r="BF81" s="90"/>
      <c r="BG81" s="91"/>
      <c r="BH81" s="93" t="b">
        <v>0</v>
      </c>
      <c r="BI81" s="90"/>
      <c r="BJ81" s="90"/>
      <c r="BK81" s="90" t="s">
        <v>1120</v>
      </c>
      <c r="BL81" s="90" t="s">
        <v>1632</v>
      </c>
      <c r="BM81" s="90"/>
      <c r="BN81" s="90"/>
      <c r="BO81" s="90"/>
      <c r="BP81" s="90"/>
      <c r="BQ81" s="90"/>
      <c r="BR81" s="95"/>
      <c r="BS81" s="90"/>
      <c r="BT81" s="90"/>
      <c r="BU81" s="90"/>
      <c r="BV81" s="90"/>
      <c r="BW81" s="90"/>
      <c r="BX81" s="90"/>
      <c r="BY81" s="90"/>
      <c r="BZ81" s="90"/>
      <c r="CA81" s="90"/>
      <c r="CB81" s="90"/>
      <c r="CC81" s="91"/>
      <c r="CD81" s="90"/>
      <c r="CE81" s="91"/>
      <c r="CF81" s="90"/>
      <c r="CG81" s="91"/>
      <c r="CH81" s="90"/>
      <c r="CI81" s="91"/>
      <c r="CJ81" s="90"/>
      <c r="CK81" s="91"/>
      <c r="CL81" s="90"/>
      <c r="CM81" s="91"/>
      <c r="CN81" s="96"/>
      <c r="CO81" s="91"/>
      <c r="CP81" s="90"/>
      <c r="CQ81" s="90"/>
      <c r="CR81" s="90"/>
      <c r="CS81" s="90"/>
      <c r="CT81" s="91"/>
      <c r="CU81" s="90"/>
      <c r="CV81" s="97"/>
    </row>
    <row r="82" spans="1:100" ht="15" customHeight="1">
      <c r="A82" s="109" t="s">
        <v>1060</v>
      </c>
      <c r="AG82" s="14"/>
      <c r="AH82" s="12"/>
      <c r="AI82" s="12"/>
      <c r="AJ82" s="12"/>
      <c r="AK82" s="12"/>
      <c r="AL82" s="12"/>
      <c r="AM82" s="12"/>
      <c r="AN82" s="12"/>
      <c r="AO82" s="12"/>
      <c r="AP82" s="12"/>
      <c r="AQ82" s="12"/>
      <c r="AR82" s="12"/>
      <c r="AS82" s="12"/>
      <c r="AT82" s="12"/>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row>
  </sheetData>
  <sheetProtection algorithmName="SHA-512" hashValue="2ytZNfFOSa5XPhCD7nnOsfoqNv38OYya1B/v1qHYRt3JbKWrh4y+eD8jsaM7RkIvdIxNS98F/wups4WEixCspg==" saltValue="T99ia/yxpVfcUc7qBQhGUQ=="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273050</xdr:colOff>
                <xdr:row>2</xdr:row>
                <xdr:rowOff>190500</xdr:rowOff>
              </to>
            </anchor>
          </controlPr>
        </control>
      </mc:Choice>
      <mc:Fallback>
        <control shapeId="8294" r:id="rId12"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75"/>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c r="A2" t="s">
        <v>1133</v>
      </c>
      <c r="B2" s="128">
        <v>43594</v>
      </c>
      <c r="C2" t="s">
        <v>1134</v>
      </c>
      <c r="D2" t="s">
        <v>352</v>
      </c>
      <c r="E2" t="s">
        <v>1107</v>
      </c>
      <c r="F2" t="s">
        <v>1108</v>
      </c>
      <c r="G2" t="s">
        <v>374</v>
      </c>
      <c r="H2" t="s">
        <v>1135</v>
      </c>
      <c r="I2" t="s">
        <v>354</v>
      </c>
      <c r="J2" t="s">
        <v>1109</v>
      </c>
      <c r="K2" t="s">
        <v>416</v>
      </c>
      <c r="L2" t="s">
        <v>1136</v>
      </c>
      <c r="M2" t="s">
        <v>346</v>
      </c>
      <c r="N2" t="s">
        <v>1137</v>
      </c>
      <c r="O2" t="s">
        <v>1138</v>
      </c>
      <c r="P2" t="s">
        <v>1139</v>
      </c>
      <c r="Q2" s="128">
        <v>43594</v>
      </c>
      <c r="R2" s="128">
        <v>44152</v>
      </c>
      <c r="S2" t="s">
        <v>1140</v>
      </c>
      <c r="T2" s="128">
        <v>44024</v>
      </c>
      <c r="U2">
        <v>0</v>
      </c>
      <c r="V2">
        <v>0</v>
      </c>
      <c r="W2" t="s">
        <v>262</v>
      </c>
      <c r="X2" t="s">
        <v>1141</v>
      </c>
      <c r="Y2" t="s">
        <v>348</v>
      </c>
      <c r="Z2" t="s">
        <v>1120</v>
      </c>
      <c r="AA2" t="s">
        <v>804</v>
      </c>
      <c r="AB2" t="s">
        <v>1142</v>
      </c>
      <c r="AC2" s="128">
        <v>44278</v>
      </c>
      <c r="AD2" t="s">
        <v>349</v>
      </c>
      <c r="AE2" t="s">
        <v>1143</v>
      </c>
      <c r="AF2" t="s">
        <v>1103</v>
      </c>
      <c r="AG2" t="s">
        <v>0</v>
      </c>
      <c r="AH2">
        <v>1</v>
      </c>
      <c r="AI2" t="b">
        <v>0</v>
      </c>
      <c r="AK2" t="b">
        <v>0</v>
      </c>
      <c r="AM2" t="b">
        <v>1</v>
      </c>
      <c r="AN2" t="b">
        <v>0</v>
      </c>
      <c r="AO2" t="b">
        <v>0</v>
      </c>
      <c r="AP2" t="b">
        <v>0</v>
      </c>
      <c r="AQ2" t="b">
        <v>0</v>
      </c>
      <c r="AR2" t="b">
        <v>0</v>
      </c>
      <c r="AS2" t="b">
        <v>0</v>
      </c>
      <c r="AT2" t="s">
        <v>1145</v>
      </c>
      <c r="AU2">
        <v>9830288</v>
      </c>
      <c r="AV2" t="s">
        <v>734</v>
      </c>
      <c r="AW2" t="s">
        <v>943</v>
      </c>
      <c r="AX2" s="128">
        <v>44509</v>
      </c>
      <c r="AY2" t="s">
        <v>1132</v>
      </c>
      <c r="AZ2" t="s">
        <v>581</v>
      </c>
      <c r="BA2" t="s">
        <v>173</v>
      </c>
      <c r="BB2" t="s">
        <v>42</v>
      </c>
      <c r="BD2" t="s">
        <v>31</v>
      </c>
      <c r="BF2" t="s">
        <v>575</v>
      </c>
      <c r="BG2" s="128">
        <v>43960</v>
      </c>
      <c r="BH2" t="b">
        <v>0</v>
      </c>
      <c r="BI2" t="s">
        <v>499</v>
      </c>
      <c r="BJ2" t="s">
        <v>1144</v>
      </c>
      <c r="BK2" t="s">
        <v>1104</v>
      </c>
      <c r="CC2" s="128"/>
      <c r="CE2" s="128"/>
      <c r="CG2" s="128"/>
      <c r="CI2" s="128"/>
      <c r="CK2" s="128"/>
      <c r="CM2" s="128"/>
      <c r="CO2" s="128"/>
      <c r="CT2" s="128"/>
      <c r="CV2" s="128"/>
    </row>
    <row r="3" spans="1:100">
      <c r="A3" t="s">
        <v>1146</v>
      </c>
      <c r="B3" s="128">
        <v>44123</v>
      </c>
      <c r="C3" t="s">
        <v>1147</v>
      </c>
      <c r="D3" t="s">
        <v>352</v>
      </c>
      <c r="E3" t="s">
        <v>1107</v>
      </c>
      <c r="F3" t="s">
        <v>1108</v>
      </c>
      <c r="G3" t="s">
        <v>374</v>
      </c>
      <c r="H3" t="s">
        <v>1148</v>
      </c>
      <c r="I3" t="s">
        <v>354</v>
      </c>
      <c r="J3" t="s">
        <v>1109</v>
      </c>
      <c r="K3" t="s">
        <v>414</v>
      </c>
      <c r="L3" t="s">
        <v>1149</v>
      </c>
      <c r="M3" t="s">
        <v>346</v>
      </c>
      <c r="N3" t="s">
        <v>1150</v>
      </c>
      <c r="O3" t="s">
        <v>1151</v>
      </c>
      <c r="P3" t="s">
        <v>1152</v>
      </c>
      <c r="Q3" s="128">
        <v>44137</v>
      </c>
      <c r="R3" s="128">
        <v>43862</v>
      </c>
      <c r="S3" t="s">
        <v>1153</v>
      </c>
      <c r="T3" s="128">
        <v>44296</v>
      </c>
      <c r="U3">
        <v>0</v>
      </c>
      <c r="V3">
        <v>0</v>
      </c>
      <c r="W3" t="s">
        <v>262</v>
      </c>
      <c r="X3" t="s">
        <v>1154</v>
      </c>
      <c r="AA3" t="s">
        <v>167</v>
      </c>
      <c r="AB3" t="s">
        <v>1155</v>
      </c>
      <c r="AC3" s="128">
        <v>44296</v>
      </c>
      <c r="AD3" t="s">
        <v>349</v>
      </c>
      <c r="AE3" t="s">
        <v>1156</v>
      </c>
      <c r="AF3" t="s">
        <v>1103</v>
      </c>
      <c r="AG3" t="s">
        <v>0</v>
      </c>
      <c r="AH3">
        <v>1</v>
      </c>
      <c r="AI3" t="b">
        <v>0</v>
      </c>
      <c r="AK3" t="b">
        <v>0</v>
      </c>
      <c r="AM3" t="b">
        <v>0</v>
      </c>
      <c r="AN3" t="b">
        <v>0</v>
      </c>
      <c r="AO3" t="b">
        <v>0</v>
      </c>
      <c r="AP3" t="b">
        <v>0</v>
      </c>
      <c r="AQ3" t="b">
        <v>0</v>
      </c>
      <c r="AR3" t="b">
        <v>0</v>
      </c>
      <c r="AS3" t="b">
        <v>0</v>
      </c>
      <c r="AT3" t="s">
        <v>1159</v>
      </c>
      <c r="AU3">
        <v>9830288</v>
      </c>
      <c r="AV3" t="s">
        <v>734</v>
      </c>
      <c r="AW3" t="s">
        <v>943</v>
      </c>
      <c r="AX3" s="128">
        <v>44509</v>
      </c>
      <c r="AY3" t="s">
        <v>1132</v>
      </c>
      <c r="AZ3" t="s">
        <v>582</v>
      </c>
      <c r="BA3" t="s">
        <v>175</v>
      </c>
      <c r="BB3" t="s">
        <v>40</v>
      </c>
      <c r="BD3" t="s">
        <v>30</v>
      </c>
      <c r="BF3" t="s">
        <v>574</v>
      </c>
      <c r="BG3" s="128">
        <v>44317</v>
      </c>
      <c r="BH3" t="b">
        <v>0</v>
      </c>
      <c r="BJ3" t="s">
        <v>1157</v>
      </c>
      <c r="BK3" t="s">
        <v>1104</v>
      </c>
      <c r="BL3" t="s">
        <v>1158</v>
      </c>
      <c r="CC3" s="128"/>
      <c r="CE3" s="128"/>
      <c r="CG3" s="128"/>
      <c r="CI3" s="128"/>
      <c r="CK3" s="128"/>
      <c r="CM3" s="128"/>
      <c r="CO3" s="128"/>
      <c r="CT3" s="128"/>
      <c r="CV3" s="128"/>
    </row>
    <row r="4" spans="1:100">
      <c r="A4" t="s">
        <v>1160</v>
      </c>
      <c r="B4" s="128">
        <v>44123</v>
      </c>
      <c r="C4" t="s">
        <v>1161</v>
      </c>
      <c r="D4" t="s">
        <v>352</v>
      </c>
      <c r="E4" t="s">
        <v>1107</v>
      </c>
      <c r="F4" t="s">
        <v>1108</v>
      </c>
      <c r="G4" t="s">
        <v>374</v>
      </c>
      <c r="H4" t="s">
        <v>1148</v>
      </c>
      <c r="I4" t="s">
        <v>354</v>
      </c>
      <c r="J4" t="s">
        <v>1109</v>
      </c>
      <c r="K4" t="s">
        <v>426</v>
      </c>
      <c r="L4" t="s">
        <v>1162</v>
      </c>
      <c r="M4" t="s">
        <v>346</v>
      </c>
      <c r="N4" t="s">
        <v>1163</v>
      </c>
      <c r="O4" t="s">
        <v>1164</v>
      </c>
      <c r="P4" t="s">
        <v>1165</v>
      </c>
      <c r="Q4" s="128">
        <v>44132</v>
      </c>
      <c r="R4" s="128">
        <v>44223</v>
      </c>
      <c r="S4" t="s">
        <v>1166</v>
      </c>
      <c r="T4" s="128">
        <v>44249</v>
      </c>
      <c r="U4">
        <v>0</v>
      </c>
      <c r="V4">
        <v>0</v>
      </c>
      <c r="W4" t="s">
        <v>262</v>
      </c>
      <c r="X4" t="s">
        <v>1167</v>
      </c>
      <c r="AA4" t="s">
        <v>167</v>
      </c>
      <c r="AB4" t="s">
        <v>1168</v>
      </c>
      <c r="AC4" s="128">
        <v>44249</v>
      </c>
      <c r="AD4" t="s">
        <v>349</v>
      </c>
      <c r="AE4" t="s">
        <v>1169</v>
      </c>
      <c r="AF4" t="s">
        <v>1103</v>
      </c>
      <c r="AG4" t="s">
        <v>0</v>
      </c>
      <c r="AH4">
        <v>1</v>
      </c>
      <c r="AI4" t="b">
        <v>0</v>
      </c>
      <c r="AK4" t="b">
        <v>0</v>
      </c>
      <c r="AM4" t="b">
        <v>0</v>
      </c>
      <c r="AN4" t="b">
        <v>0</v>
      </c>
      <c r="AO4" t="b">
        <v>0</v>
      </c>
      <c r="AP4" t="b">
        <v>0</v>
      </c>
      <c r="AQ4" t="b">
        <v>0</v>
      </c>
      <c r="AR4" t="b">
        <v>0</v>
      </c>
      <c r="AS4" t="b">
        <v>0</v>
      </c>
      <c r="AT4" t="s">
        <v>1171</v>
      </c>
      <c r="AU4">
        <v>9830288</v>
      </c>
      <c r="AV4" t="s">
        <v>734</v>
      </c>
      <c r="AW4" t="s">
        <v>943</v>
      </c>
      <c r="AX4" s="128">
        <v>44509</v>
      </c>
      <c r="AY4" t="s">
        <v>1132</v>
      </c>
      <c r="AZ4" t="s">
        <v>17</v>
      </c>
      <c r="BA4" t="s">
        <v>184</v>
      </c>
      <c r="BB4" t="s">
        <v>52</v>
      </c>
      <c r="BD4" t="s">
        <v>756</v>
      </c>
      <c r="BF4" t="s">
        <v>575</v>
      </c>
      <c r="BG4" s="128">
        <v>44255</v>
      </c>
      <c r="BH4" t="b">
        <v>0</v>
      </c>
      <c r="BJ4" t="s">
        <v>1170</v>
      </c>
      <c r="BK4" t="s">
        <v>1104</v>
      </c>
      <c r="BL4" t="s">
        <v>1158</v>
      </c>
      <c r="CC4" s="128"/>
      <c r="CE4" s="128"/>
      <c r="CG4" s="128"/>
      <c r="CI4" s="128"/>
      <c r="CK4" s="128"/>
      <c r="CM4" s="128"/>
      <c r="CO4" s="128"/>
      <c r="CT4" s="128"/>
      <c r="CV4" s="128"/>
    </row>
    <row r="5" spans="1:100">
      <c r="A5" t="s">
        <v>1172</v>
      </c>
      <c r="B5" s="128">
        <v>44123</v>
      </c>
      <c r="C5" t="s">
        <v>1173</v>
      </c>
      <c r="D5" t="s">
        <v>352</v>
      </c>
      <c r="E5" t="s">
        <v>1107</v>
      </c>
      <c r="F5" t="s">
        <v>1108</v>
      </c>
      <c r="G5" t="s">
        <v>374</v>
      </c>
      <c r="H5" t="s">
        <v>1148</v>
      </c>
      <c r="I5" t="s">
        <v>354</v>
      </c>
      <c r="J5" t="s">
        <v>1109</v>
      </c>
      <c r="K5" t="s">
        <v>414</v>
      </c>
      <c r="L5" t="s">
        <v>1149</v>
      </c>
      <c r="M5" t="s">
        <v>346</v>
      </c>
      <c r="N5" t="s">
        <v>1174</v>
      </c>
      <c r="O5" t="s">
        <v>1175</v>
      </c>
      <c r="P5" t="s">
        <v>1176</v>
      </c>
      <c r="Q5" s="128">
        <v>44130</v>
      </c>
      <c r="R5" s="128">
        <v>44214</v>
      </c>
      <c r="S5" t="s">
        <v>1177</v>
      </c>
      <c r="T5" s="128">
        <v>44290</v>
      </c>
      <c r="U5">
        <v>0</v>
      </c>
      <c r="V5">
        <v>0</v>
      </c>
      <c r="W5" t="s">
        <v>262</v>
      </c>
      <c r="X5" t="s">
        <v>1178</v>
      </c>
      <c r="AA5" t="s">
        <v>5</v>
      </c>
      <c r="AB5" t="s">
        <v>1179</v>
      </c>
      <c r="AC5" s="128">
        <v>44290</v>
      </c>
      <c r="AD5" t="s">
        <v>349</v>
      </c>
      <c r="AE5" t="s">
        <v>1180</v>
      </c>
      <c r="AF5" t="s">
        <v>1103</v>
      </c>
      <c r="AG5" t="s">
        <v>0</v>
      </c>
      <c r="AH5">
        <v>1</v>
      </c>
      <c r="AI5" t="b">
        <v>0</v>
      </c>
      <c r="AK5" t="b">
        <v>0</v>
      </c>
      <c r="AM5" t="b">
        <v>0</v>
      </c>
      <c r="AN5" t="b">
        <v>0</v>
      </c>
      <c r="AO5" t="b">
        <v>0</v>
      </c>
      <c r="AP5" t="b">
        <v>0</v>
      </c>
      <c r="AQ5" t="b">
        <v>0</v>
      </c>
      <c r="AR5" t="b">
        <v>0</v>
      </c>
      <c r="AS5" t="b">
        <v>0</v>
      </c>
      <c r="AT5" t="s">
        <v>1182</v>
      </c>
      <c r="AU5">
        <v>9830288</v>
      </c>
      <c r="AV5" t="s">
        <v>734</v>
      </c>
      <c r="AW5" t="s">
        <v>943</v>
      </c>
      <c r="AX5" s="128">
        <v>44509</v>
      </c>
      <c r="AY5" t="s">
        <v>1132</v>
      </c>
      <c r="AZ5" t="s">
        <v>582</v>
      </c>
      <c r="BA5" t="s">
        <v>69</v>
      </c>
      <c r="BB5" t="s">
        <v>40</v>
      </c>
      <c r="BD5" t="s">
        <v>30</v>
      </c>
      <c r="BF5" t="s">
        <v>574</v>
      </c>
      <c r="BG5" s="128">
        <v>44300</v>
      </c>
      <c r="BH5" t="b">
        <v>0</v>
      </c>
      <c r="BJ5" t="s">
        <v>1181</v>
      </c>
      <c r="BK5" t="s">
        <v>1104</v>
      </c>
      <c r="BL5" t="s">
        <v>1158</v>
      </c>
      <c r="CC5" s="128"/>
      <c r="CE5" s="128"/>
      <c r="CG5" s="128"/>
      <c r="CI5" s="128"/>
      <c r="CK5" s="128"/>
      <c r="CM5" s="128"/>
      <c r="CO5" s="128"/>
      <c r="CT5" s="128"/>
      <c r="CV5" s="128"/>
    </row>
    <row r="6" spans="1:100">
      <c r="A6" t="s">
        <v>1183</v>
      </c>
      <c r="B6" s="128">
        <v>44261</v>
      </c>
      <c r="C6" t="s">
        <v>1184</v>
      </c>
      <c r="D6" t="s">
        <v>361</v>
      </c>
      <c r="E6" t="s">
        <v>1185</v>
      </c>
      <c r="F6" t="s">
        <v>1186</v>
      </c>
      <c r="G6" t="s">
        <v>387</v>
      </c>
      <c r="H6" t="s">
        <v>1187</v>
      </c>
      <c r="I6" t="s">
        <v>363</v>
      </c>
      <c r="J6" t="s">
        <v>1188</v>
      </c>
      <c r="K6" t="s">
        <v>423</v>
      </c>
      <c r="L6" t="s">
        <v>1189</v>
      </c>
      <c r="M6" t="s">
        <v>346</v>
      </c>
      <c r="N6" t="s">
        <v>1190</v>
      </c>
      <c r="O6" t="s">
        <v>1191</v>
      </c>
      <c r="P6" t="s">
        <v>1192</v>
      </c>
      <c r="Q6" s="128">
        <v>44261</v>
      </c>
      <c r="R6" s="128">
        <v>44355</v>
      </c>
      <c r="S6" t="s">
        <v>1193</v>
      </c>
      <c r="T6" s="128">
        <v>44279</v>
      </c>
      <c r="U6">
        <v>0</v>
      </c>
      <c r="V6">
        <v>0</v>
      </c>
      <c r="W6" t="s">
        <v>262</v>
      </c>
      <c r="X6" t="s">
        <v>1194</v>
      </c>
      <c r="AA6" t="s">
        <v>4</v>
      </c>
      <c r="AB6" t="s">
        <v>1195</v>
      </c>
      <c r="AC6" s="128">
        <v>44279</v>
      </c>
      <c r="AD6" t="s">
        <v>349</v>
      </c>
      <c r="AE6" t="s">
        <v>1180</v>
      </c>
      <c r="AF6" t="s">
        <v>1103</v>
      </c>
      <c r="AG6" t="s">
        <v>0</v>
      </c>
      <c r="AH6">
        <v>1</v>
      </c>
      <c r="AI6" t="b">
        <v>0</v>
      </c>
      <c r="AK6" t="b">
        <v>0</v>
      </c>
      <c r="AM6" t="b">
        <v>0</v>
      </c>
      <c r="AN6" t="b">
        <v>0</v>
      </c>
      <c r="AO6" t="b">
        <v>0</v>
      </c>
      <c r="AP6" t="b">
        <v>0</v>
      </c>
      <c r="AQ6" t="b">
        <v>0</v>
      </c>
      <c r="AR6" t="b">
        <v>1</v>
      </c>
      <c r="AS6" t="b">
        <v>0</v>
      </c>
      <c r="AT6" t="s">
        <v>1196</v>
      </c>
      <c r="AU6">
        <v>9830288</v>
      </c>
      <c r="AV6" t="s">
        <v>734</v>
      </c>
      <c r="AW6" t="s">
        <v>943</v>
      </c>
      <c r="AX6" s="128">
        <v>44509</v>
      </c>
      <c r="AY6" t="s">
        <v>1132</v>
      </c>
      <c r="AZ6" t="s">
        <v>581</v>
      </c>
      <c r="BA6" t="s">
        <v>172</v>
      </c>
      <c r="BB6" t="s">
        <v>49</v>
      </c>
      <c r="BD6" t="s">
        <v>31</v>
      </c>
      <c r="BG6" s="128"/>
      <c r="BH6" t="b">
        <v>0</v>
      </c>
      <c r="BK6" t="s">
        <v>1120</v>
      </c>
      <c r="CC6" s="128"/>
      <c r="CE6" s="128"/>
      <c r="CG6" s="128"/>
      <c r="CI6" s="128"/>
      <c r="CK6" s="128"/>
      <c r="CM6" s="128"/>
      <c r="CO6" s="128"/>
      <c r="CT6" s="128"/>
      <c r="CV6" s="128"/>
    </row>
    <row r="7" spans="1:100">
      <c r="A7" t="s">
        <v>1198</v>
      </c>
      <c r="B7" s="128">
        <v>44305</v>
      </c>
      <c r="C7" t="s">
        <v>1197</v>
      </c>
      <c r="D7" t="s">
        <v>352</v>
      </c>
      <c r="E7" t="s">
        <v>1107</v>
      </c>
      <c r="F7" t="s">
        <v>1108</v>
      </c>
      <c r="G7" t="s">
        <v>374</v>
      </c>
      <c r="H7" t="s">
        <v>1199</v>
      </c>
      <c r="I7" t="s">
        <v>354</v>
      </c>
      <c r="J7" t="s">
        <v>1109</v>
      </c>
      <c r="K7" t="s">
        <v>408</v>
      </c>
      <c r="L7" t="s">
        <v>1200</v>
      </c>
      <c r="M7" t="s">
        <v>346</v>
      </c>
      <c r="N7" t="s">
        <v>1201</v>
      </c>
      <c r="O7" t="s">
        <v>1202</v>
      </c>
      <c r="P7" t="s">
        <v>1203</v>
      </c>
      <c r="Q7" s="128">
        <v>44305</v>
      </c>
      <c r="R7" s="128">
        <v>44316</v>
      </c>
      <c r="S7" t="s">
        <v>1204</v>
      </c>
      <c r="T7" s="128">
        <v>44307</v>
      </c>
      <c r="U7">
        <v>0</v>
      </c>
      <c r="V7">
        <v>0</v>
      </c>
      <c r="W7" t="s">
        <v>262</v>
      </c>
      <c r="X7" t="s">
        <v>1205</v>
      </c>
      <c r="AA7" t="s">
        <v>804</v>
      </c>
      <c r="AB7" t="s">
        <v>1206</v>
      </c>
      <c r="AC7" s="128">
        <v>44307</v>
      </c>
      <c r="AD7" t="s">
        <v>349</v>
      </c>
      <c r="AE7" t="s">
        <v>1180</v>
      </c>
      <c r="AF7" t="s">
        <v>1103</v>
      </c>
      <c r="AG7" t="s">
        <v>0</v>
      </c>
      <c r="AH7">
        <v>1</v>
      </c>
      <c r="AI7" t="b">
        <v>0</v>
      </c>
      <c r="AK7" t="b">
        <v>0</v>
      </c>
      <c r="AM7" t="b">
        <v>0</v>
      </c>
      <c r="AN7" t="b">
        <v>0</v>
      </c>
      <c r="AO7" t="b">
        <v>0</v>
      </c>
      <c r="AP7" t="b">
        <v>0</v>
      </c>
      <c r="AQ7" t="b">
        <v>0</v>
      </c>
      <c r="AR7" t="b">
        <v>0</v>
      </c>
      <c r="AS7" t="b">
        <v>0</v>
      </c>
      <c r="AT7" t="s">
        <v>1208</v>
      </c>
      <c r="AU7">
        <v>9830288</v>
      </c>
      <c r="AV7" t="s">
        <v>734</v>
      </c>
      <c r="AW7" t="s">
        <v>943</v>
      </c>
      <c r="AX7" s="128">
        <v>44509</v>
      </c>
      <c r="AY7" t="s">
        <v>1132</v>
      </c>
      <c r="AZ7" t="s">
        <v>11</v>
      </c>
      <c r="BB7" t="s">
        <v>35</v>
      </c>
      <c r="BD7" t="s">
        <v>28</v>
      </c>
      <c r="BG7" s="128"/>
      <c r="BH7" t="b">
        <v>0</v>
      </c>
      <c r="BK7" t="s">
        <v>1120</v>
      </c>
      <c r="BL7" t="s">
        <v>1207</v>
      </c>
      <c r="CC7" s="128"/>
      <c r="CE7" s="128"/>
      <c r="CG7" s="128"/>
      <c r="CI7" s="128"/>
      <c r="CK7" s="128"/>
      <c r="CM7" s="128"/>
      <c r="CO7" s="128"/>
      <c r="CT7" s="128"/>
      <c r="CV7" s="128"/>
    </row>
    <row r="8" spans="1:100">
      <c r="A8" t="s">
        <v>1210</v>
      </c>
      <c r="B8" s="128">
        <v>44305</v>
      </c>
      <c r="C8" t="s">
        <v>1209</v>
      </c>
      <c r="D8" t="s">
        <v>352</v>
      </c>
      <c r="E8" t="s">
        <v>1107</v>
      </c>
      <c r="F8" t="s">
        <v>1108</v>
      </c>
      <c r="G8" t="s">
        <v>374</v>
      </c>
      <c r="H8" t="s">
        <v>1199</v>
      </c>
      <c r="I8" t="s">
        <v>354</v>
      </c>
      <c r="J8" t="s">
        <v>1109</v>
      </c>
      <c r="K8" t="s">
        <v>408</v>
      </c>
      <c r="L8" t="s">
        <v>1200</v>
      </c>
      <c r="M8" t="s">
        <v>346</v>
      </c>
      <c r="N8" t="s">
        <v>1211</v>
      </c>
      <c r="O8" t="s">
        <v>1212</v>
      </c>
      <c r="P8" t="s">
        <v>1213</v>
      </c>
      <c r="Q8" s="128">
        <v>44305</v>
      </c>
      <c r="R8" s="128">
        <v>44316</v>
      </c>
      <c r="S8" t="s">
        <v>1214</v>
      </c>
      <c r="T8" s="128">
        <v>44306</v>
      </c>
      <c r="U8">
        <v>0</v>
      </c>
      <c r="V8">
        <v>0</v>
      </c>
      <c r="W8" t="s">
        <v>262</v>
      </c>
      <c r="X8" t="s">
        <v>1205</v>
      </c>
      <c r="AA8" t="s">
        <v>804</v>
      </c>
      <c r="AB8" t="s">
        <v>1215</v>
      </c>
      <c r="AC8" s="128">
        <v>44306</v>
      </c>
      <c r="AD8" t="s">
        <v>349</v>
      </c>
      <c r="AE8" t="s">
        <v>1180</v>
      </c>
      <c r="AF8" t="s">
        <v>1103</v>
      </c>
      <c r="AG8" t="s">
        <v>0</v>
      </c>
      <c r="AH8">
        <v>1</v>
      </c>
      <c r="AI8" t="b">
        <v>0</v>
      </c>
      <c r="AK8" t="b">
        <v>0</v>
      </c>
      <c r="AM8" t="b">
        <v>0</v>
      </c>
      <c r="AN8" t="b">
        <v>0</v>
      </c>
      <c r="AO8" t="b">
        <v>0</v>
      </c>
      <c r="AP8" t="b">
        <v>0</v>
      </c>
      <c r="AQ8" t="b">
        <v>0</v>
      </c>
      <c r="AR8" t="b">
        <v>0</v>
      </c>
      <c r="AS8" t="b">
        <v>0</v>
      </c>
      <c r="AT8" t="s">
        <v>1216</v>
      </c>
      <c r="AU8">
        <v>9830288</v>
      </c>
      <c r="AV8" t="s">
        <v>734</v>
      </c>
      <c r="AW8" t="s">
        <v>943</v>
      </c>
      <c r="AX8" s="128">
        <v>44509</v>
      </c>
      <c r="AY8" t="s">
        <v>1132</v>
      </c>
      <c r="AZ8" t="s">
        <v>11</v>
      </c>
      <c r="BA8" t="s">
        <v>81</v>
      </c>
      <c r="BB8" t="s">
        <v>35</v>
      </c>
      <c r="BD8" t="s">
        <v>28</v>
      </c>
      <c r="BG8" s="128"/>
      <c r="BH8" t="b">
        <v>0</v>
      </c>
      <c r="BK8" t="s">
        <v>1120</v>
      </c>
      <c r="BL8" t="s">
        <v>1207</v>
      </c>
      <c r="CC8" s="128"/>
      <c r="CE8" s="128"/>
      <c r="CG8" s="128"/>
      <c r="CI8" s="128"/>
      <c r="CK8" s="128"/>
      <c r="CM8" s="128"/>
      <c r="CO8" s="128"/>
      <c r="CT8" s="128"/>
      <c r="CV8" s="128"/>
    </row>
    <row r="9" spans="1:100">
      <c r="A9" t="s">
        <v>1218</v>
      </c>
      <c r="B9" s="128">
        <v>44305</v>
      </c>
      <c r="C9" t="s">
        <v>1217</v>
      </c>
      <c r="D9" t="s">
        <v>352</v>
      </c>
      <c r="E9" t="s">
        <v>1107</v>
      </c>
      <c r="F9" t="s">
        <v>1108</v>
      </c>
      <c r="G9" t="s">
        <v>374</v>
      </c>
      <c r="H9" t="s">
        <v>1199</v>
      </c>
      <c r="I9" t="s">
        <v>354</v>
      </c>
      <c r="J9" t="s">
        <v>1109</v>
      </c>
      <c r="K9" t="s">
        <v>418</v>
      </c>
      <c r="L9" t="s">
        <v>1219</v>
      </c>
      <c r="M9" t="s">
        <v>346</v>
      </c>
      <c r="N9" t="s">
        <v>1220</v>
      </c>
      <c r="O9" t="s">
        <v>1221</v>
      </c>
      <c r="P9" t="s">
        <v>1222</v>
      </c>
      <c r="Q9" s="128">
        <v>44305</v>
      </c>
      <c r="R9" s="128">
        <v>44346</v>
      </c>
      <c r="S9" t="s">
        <v>1223</v>
      </c>
      <c r="T9" s="128">
        <v>44308</v>
      </c>
      <c r="U9">
        <v>0</v>
      </c>
      <c r="V9">
        <v>0</v>
      </c>
      <c r="W9" t="s">
        <v>262</v>
      </c>
      <c r="X9" t="s">
        <v>1224</v>
      </c>
      <c r="AA9" t="s">
        <v>3</v>
      </c>
      <c r="AB9" t="s">
        <v>1225</v>
      </c>
      <c r="AC9" s="128">
        <v>44308</v>
      </c>
      <c r="AD9" t="s">
        <v>349</v>
      </c>
      <c r="AE9" t="s">
        <v>1180</v>
      </c>
      <c r="AF9" t="s">
        <v>1103</v>
      </c>
      <c r="AG9" t="s">
        <v>0</v>
      </c>
      <c r="AH9">
        <v>1</v>
      </c>
      <c r="AI9" t="b">
        <v>0</v>
      </c>
      <c r="AK9" t="b">
        <v>0</v>
      </c>
      <c r="AM9" t="b">
        <v>0</v>
      </c>
      <c r="AN9" t="b">
        <v>0</v>
      </c>
      <c r="AO9" t="b">
        <v>0</v>
      </c>
      <c r="AP9" t="b">
        <v>0</v>
      </c>
      <c r="AQ9" t="b">
        <v>0</v>
      </c>
      <c r="AR9" t="b">
        <v>0</v>
      </c>
      <c r="AS9" t="b">
        <v>0</v>
      </c>
      <c r="AT9" t="s">
        <v>1226</v>
      </c>
      <c r="AU9">
        <v>9830288</v>
      </c>
      <c r="AV9" t="s">
        <v>734</v>
      </c>
      <c r="AW9" t="s">
        <v>943</v>
      </c>
      <c r="AX9" s="128">
        <v>44509</v>
      </c>
      <c r="AY9" t="s">
        <v>1132</v>
      </c>
      <c r="AZ9" t="s">
        <v>23</v>
      </c>
      <c r="BA9" t="s">
        <v>165</v>
      </c>
      <c r="BB9" t="s">
        <v>44</v>
      </c>
      <c r="BD9" t="s">
        <v>755</v>
      </c>
      <c r="BG9" s="128"/>
      <c r="BH9" t="b">
        <v>0</v>
      </c>
      <c r="BK9" t="s">
        <v>1120</v>
      </c>
      <c r="BL9" t="s">
        <v>1207</v>
      </c>
      <c r="CC9" s="128"/>
      <c r="CE9" s="128"/>
      <c r="CG9" s="128"/>
      <c r="CI9" s="128"/>
      <c r="CK9" s="128"/>
      <c r="CM9" s="128"/>
      <c r="CO9" s="128"/>
      <c r="CT9" s="128"/>
      <c r="CV9" s="128"/>
    </row>
    <row r="10" spans="1:100">
      <c r="A10" t="s">
        <v>1228</v>
      </c>
      <c r="B10" s="128">
        <v>44305</v>
      </c>
      <c r="C10" t="s">
        <v>1227</v>
      </c>
      <c r="D10" t="s">
        <v>352</v>
      </c>
      <c r="E10" t="s">
        <v>1107</v>
      </c>
      <c r="F10" t="s">
        <v>1108</v>
      </c>
      <c r="G10" t="s">
        <v>374</v>
      </c>
      <c r="H10" t="s">
        <v>1199</v>
      </c>
      <c r="I10" t="s">
        <v>354</v>
      </c>
      <c r="J10" t="s">
        <v>1109</v>
      </c>
      <c r="K10" t="s">
        <v>418</v>
      </c>
      <c r="L10" t="s">
        <v>1219</v>
      </c>
      <c r="M10" t="s">
        <v>346</v>
      </c>
      <c r="N10" t="s">
        <v>1229</v>
      </c>
      <c r="O10" t="s">
        <v>1230</v>
      </c>
      <c r="P10" t="s">
        <v>1231</v>
      </c>
      <c r="Q10" s="128">
        <v>44309</v>
      </c>
      <c r="R10" s="128">
        <v>44316</v>
      </c>
      <c r="S10" t="s">
        <v>1232</v>
      </c>
      <c r="T10" s="128">
        <v>44309</v>
      </c>
      <c r="U10">
        <v>0</v>
      </c>
      <c r="V10">
        <v>0</v>
      </c>
      <c r="W10" t="s">
        <v>262</v>
      </c>
      <c r="X10" t="s">
        <v>1233</v>
      </c>
      <c r="AA10" t="s">
        <v>1</v>
      </c>
      <c r="AB10" t="s">
        <v>1234</v>
      </c>
      <c r="AC10" s="128">
        <v>44313</v>
      </c>
      <c r="AD10" t="s">
        <v>349</v>
      </c>
      <c r="AE10" t="s">
        <v>1180</v>
      </c>
      <c r="AF10" t="s">
        <v>1103</v>
      </c>
      <c r="AG10" t="s">
        <v>0</v>
      </c>
      <c r="AH10">
        <v>1</v>
      </c>
      <c r="AI10" t="b">
        <v>0</v>
      </c>
      <c r="AK10" t="b">
        <v>0</v>
      </c>
      <c r="AM10" t="b">
        <v>0</v>
      </c>
      <c r="AN10" t="b">
        <v>0</v>
      </c>
      <c r="AO10" t="b">
        <v>0</v>
      </c>
      <c r="AP10" t="b">
        <v>0</v>
      </c>
      <c r="AQ10" t="b">
        <v>0</v>
      </c>
      <c r="AR10" t="b">
        <v>0</v>
      </c>
      <c r="AS10" t="b">
        <v>0</v>
      </c>
      <c r="AT10" t="s">
        <v>1235</v>
      </c>
      <c r="AU10">
        <v>9830288</v>
      </c>
      <c r="AV10" t="s">
        <v>734</v>
      </c>
      <c r="AW10" t="s">
        <v>943</v>
      </c>
      <c r="AX10" s="128">
        <v>44509</v>
      </c>
      <c r="AY10" t="s">
        <v>1132</v>
      </c>
      <c r="AZ10" t="s">
        <v>13</v>
      </c>
      <c r="BA10" t="s">
        <v>83</v>
      </c>
      <c r="BB10" t="s">
        <v>44</v>
      </c>
      <c r="BD10" t="s">
        <v>755</v>
      </c>
      <c r="BG10" s="128"/>
      <c r="BH10" t="b">
        <v>0</v>
      </c>
      <c r="BK10" t="s">
        <v>1120</v>
      </c>
      <c r="BL10" t="s">
        <v>1207</v>
      </c>
      <c r="CC10" s="128"/>
      <c r="CE10" s="128"/>
      <c r="CG10" s="128"/>
      <c r="CI10" s="128"/>
      <c r="CK10" s="128"/>
      <c r="CM10" s="128"/>
      <c r="CO10" s="128"/>
      <c r="CT10" s="128"/>
      <c r="CV10" s="128"/>
    </row>
    <row r="11" spans="1:100">
      <c r="A11" t="s">
        <v>1237</v>
      </c>
      <c r="B11" s="128">
        <v>44305</v>
      </c>
      <c r="C11" t="s">
        <v>1236</v>
      </c>
      <c r="D11" t="s">
        <v>352</v>
      </c>
      <c r="E11" t="s">
        <v>1107</v>
      </c>
      <c r="F11" t="s">
        <v>1108</v>
      </c>
      <c r="G11" t="s">
        <v>374</v>
      </c>
      <c r="H11" t="s">
        <v>1199</v>
      </c>
      <c r="I11" t="s">
        <v>354</v>
      </c>
      <c r="J11" t="s">
        <v>1109</v>
      </c>
      <c r="K11" t="s">
        <v>412</v>
      </c>
      <c r="L11" t="s">
        <v>1130</v>
      </c>
      <c r="M11" t="s">
        <v>346</v>
      </c>
      <c r="N11" t="s">
        <v>1238</v>
      </c>
      <c r="O11" t="s">
        <v>1239</v>
      </c>
      <c r="P11" t="s">
        <v>1240</v>
      </c>
      <c r="Q11" s="128">
        <v>44305</v>
      </c>
      <c r="R11" s="128">
        <v>44316</v>
      </c>
      <c r="S11" t="s">
        <v>1241</v>
      </c>
      <c r="T11" s="128">
        <v>44307</v>
      </c>
      <c r="U11">
        <v>0</v>
      </c>
      <c r="V11">
        <v>0</v>
      </c>
      <c r="W11" t="s">
        <v>262</v>
      </c>
      <c r="X11" t="s">
        <v>1242</v>
      </c>
      <c r="AA11" t="s">
        <v>2</v>
      </c>
      <c r="AB11" t="s">
        <v>1215</v>
      </c>
      <c r="AC11" s="128">
        <v>44307</v>
      </c>
      <c r="AD11" t="s">
        <v>349</v>
      </c>
      <c r="AE11" t="s">
        <v>1180</v>
      </c>
      <c r="AF11" t="s">
        <v>1103</v>
      </c>
      <c r="AG11" t="s">
        <v>0</v>
      </c>
      <c r="AH11">
        <v>1</v>
      </c>
      <c r="AI11" t="b">
        <v>0</v>
      </c>
      <c r="AK11" t="b">
        <v>0</v>
      </c>
      <c r="AM11" t="b">
        <v>0</v>
      </c>
      <c r="AN11" t="b">
        <v>0</v>
      </c>
      <c r="AO11" t="b">
        <v>0</v>
      </c>
      <c r="AP11" t="b">
        <v>0</v>
      </c>
      <c r="AQ11" t="b">
        <v>0</v>
      </c>
      <c r="AR11" t="b">
        <v>0</v>
      </c>
      <c r="AS11" t="b">
        <v>0</v>
      </c>
      <c r="AT11" t="s">
        <v>1243</v>
      </c>
      <c r="AU11">
        <v>9830288</v>
      </c>
      <c r="AV11" t="s">
        <v>734</v>
      </c>
      <c r="AW11" t="s">
        <v>943</v>
      </c>
      <c r="AX11" s="128">
        <v>44509</v>
      </c>
      <c r="AY11" t="s">
        <v>1132</v>
      </c>
      <c r="AZ11" t="s">
        <v>13</v>
      </c>
      <c r="BA11" t="s">
        <v>83</v>
      </c>
      <c r="BB11" t="s">
        <v>38</v>
      </c>
      <c r="BD11" t="s">
        <v>28</v>
      </c>
      <c r="BG11" s="128"/>
      <c r="BH11" t="b">
        <v>0</v>
      </c>
      <c r="BK11" t="s">
        <v>1120</v>
      </c>
      <c r="BL11" t="s">
        <v>1207</v>
      </c>
      <c r="CC11" s="128"/>
      <c r="CE11" s="128"/>
      <c r="CG11" s="128"/>
      <c r="CI11" s="128"/>
      <c r="CK11" s="128"/>
      <c r="CM11" s="128"/>
      <c r="CO11" s="128"/>
      <c r="CT11" s="128"/>
      <c r="CV11" s="128"/>
    </row>
    <row r="12" spans="1:100">
      <c r="A12" t="s">
        <v>1245</v>
      </c>
      <c r="B12" s="128">
        <v>44305</v>
      </c>
      <c r="C12" t="s">
        <v>1244</v>
      </c>
      <c r="D12" t="s">
        <v>352</v>
      </c>
      <c r="E12" t="s">
        <v>1107</v>
      </c>
      <c r="F12" t="s">
        <v>1108</v>
      </c>
      <c r="G12" t="s">
        <v>374</v>
      </c>
      <c r="H12" t="s">
        <v>1199</v>
      </c>
      <c r="I12" t="s">
        <v>354</v>
      </c>
      <c r="J12" t="s">
        <v>1109</v>
      </c>
      <c r="K12" t="s">
        <v>418</v>
      </c>
      <c r="L12" t="s">
        <v>1219</v>
      </c>
      <c r="M12" t="s">
        <v>346</v>
      </c>
      <c r="N12" t="s">
        <v>1246</v>
      </c>
      <c r="O12" t="s">
        <v>1247</v>
      </c>
      <c r="P12" t="s">
        <v>1248</v>
      </c>
      <c r="Q12" s="128">
        <v>44305</v>
      </c>
      <c r="R12" s="128">
        <v>44316</v>
      </c>
      <c r="S12" t="s">
        <v>1249</v>
      </c>
      <c r="T12" s="128">
        <v>44305</v>
      </c>
      <c r="U12">
        <v>0</v>
      </c>
      <c r="V12">
        <v>0</v>
      </c>
      <c r="W12" t="s">
        <v>262</v>
      </c>
      <c r="X12" t="s">
        <v>1250</v>
      </c>
      <c r="AA12" t="s">
        <v>804</v>
      </c>
      <c r="AB12" t="s">
        <v>1251</v>
      </c>
      <c r="AC12" s="128">
        <v>44305</v>
      </c>
      <c r="AD12" t="s">
        <v>349</v>
      </c>
      <c r="AE12" t="s">
        <v>1252</v>
      </c>
      <c r="AF12" t="s">
        <v>1103</v>
      </c>
      <c r="AG12" t="s">
        <v>0</v>
      </c>
      <c r="AH12">
        <v>1</v>
      </c>
      <c r="AI12" t="b">
        <v>0</v>
      </c>
      <c r="AK12" t="b">
        <v>0</v>
      </c>
      <c r="AM12" t="b">
        <v>0</v>
      </c>
      <c r="AN12" t="b">
        <v>0</v>
      </c>
      <c r="AO12" t="b">
        <v>0</v>
      </c>
      <c r="AP12" t="b">
        <v>0</v>
      </c>
      <c r="AQ12" t="b">
        <v>0</v>
      </c>
      <c r="AR12" t="b">
        <v>0</v>
      </c>
      <c r="AS12" t="b">
        <v>0</v>
      </c>
      <c r="AT12" t="s">
        <v>1253</v>
      </c>
      <c r="AU12">
        <v>9830288</v>
      </c>
      <c r="AV12" t="s">
        <v>734</v>
      </c>
      <c r="AW12" t="s">
        <v>943</v>
      </c>
      <c r="AX12" s="128">
        <v>44509</v>
      </c>
      <c r="AY12" t="s">
        <v>1132</v>
      </c>
      <c r="AZ12" t="s">
        <v>13</v>
      </c>
      <c r="BA12" t="s">
        <v>83</v>
      </c>
      <c r="BB12" t="s">
        <v>44</v>
      </c>
      <c r="BD12" t="s">
        <v>755</v>
      </c>
      <c r="BG12" s="128"/>
      <c r="BH12" t="b">
        <v>0</v>
      </c>
      <c r="BK12" t="s">
        <v>1120</v>
      </c>
      <c r="BL12" t="s">
        <v>1207</v>
      </c>
      <c r="CC12" s="128"/>
      <c r="CE12" s="128"/>
      <c r="CG12" s="128"/>
      <c r="CI12" s="128"/>
      <c r="CK12" s="128"/>
      <c r="CM12" s="128"/>
      <c r="CO12" s="128"/>
      <c r="CT12" s="128"/>
      <c r="CV12" s="128"/>
    </row>
    <row r="13" spans="1:100">
      <c r="A13" t="s">
        <v>1255</v>
      </c>
      <c r="B13" s="128">
        <v>44305</v>
      </c>
      <c r="C13" t="s">
        <v>1254</v>
      </c>
      <c r="D13" t="s">
        <v>352</v>
      </c>
      <c r="E13" t="s">
        <v>1107</v>
      </c>
      <c r="F13" t="s">
        <v>1108</v>
      </c>
      <c r="G13" t="s">
        <v>374</v>
      </c>
      <c r="H13" t="s">
        <v>1199</v>
      </c>
      <c r="I13" t="s">
        <v>354</v>
      </c>
      <c r="J13" t="s">
        <v>1109</v>
      </c>
      <c r="K13" t="s">
        <v>417</v>
      </c>
      <c r="L13" t="s">
        <v>1256</v>
      </c>
      <c r="M13" t="s">
        <v>346</v>
      </c>
      <c r="N13" t="s">
        <v>1257</v>
      </c>
      <c r="O13" t="s">
        <v>1258</v>
      </c>
      <c r="P13" t="s">
        <v>1259</v>
      </c>
      <c r="Q13" s="128">
        <v>44319</v>
      </c>
      <c r="R13" s="128">
        <v>44316</v>
      </c>
      <c r="S13" t="s">
        <v>1260</v>
      </c>
      <c r="T13" s="128">
        <v>44319</v>
      </c>
      <c r="U13">
        <v>0</v>
      </c>
      <c r="V13">
        <v>0</v>
      </c>
      <c r="W13" t="s">
        <v>262</v>
      </c>
      <c r="X13" t="s">
        <v>1215</v>
      </c>
      <c r="AA13" t="s">
        <v>1</v>
      </c>
      <c r="AB13" t="s">
        <v>1261</v>
      </c>
      <c r="AC13" s="128">
        <v>44319</v>
      </c>
      <c r="AD13" t="s">
        <v>349</v>
      </c>
      <c r="AE13" t="s">
        <v>1262</v>
      </c>
      <c r="AF13" t="s">
        <v>1103</v>
      </c>
      <c r="AG13" t="s">
        <v>0</v>
      </c>
      <c r="AH13">
        <v>1</v>
      </c>
      <c r="AI13" t="b">
        <v>0</v>
      </c>
      <c r="AK13" t="b">
        <v>0</v>
      </c>
      <c r="AM13" t="b">
        <v>0</v>
      </c>
      <c r="AN13" t="b">
        <v>0</v>
      </c>
      <c r="AO13" t="b">
        <v>0</v>
      </c>
      <c r="AP13" t="b">
        <v>0</v>
      </c>
      <c r="AQ13" t="b">
        <v>0</v>
      </c>
      <c r="AR13" t="b">
        <v>0</v>
      </c>
      <c r="AS13" t="b">
        <v>0</v>
      </c>
      <c r="AT13" t="s">
        <v>1263</v>
      </c>
      <c r="AU13">
        <v>9830288</v>
      </c>
      <c r="AV13" t="s">
        <v>734</v>
      </c>
      <c r="AW13" t="s">
        <v>943</v>
      </c>
      <c r="AX13" s="128">
        <v>44509</v>
      </c>
      <c r="AY13" t="s">
        <v>1132</v>
      </c>
      <c r="AZ13" t="s">
        <v>16</v>
      </c>
      <c r="BB13" t="s">
        <v>43</v>
      </c>
      <c r="BD13" t="s">
        <v>756</v>
      </c>
      <c r="BG13" s="128"/>
      <c r="BH13" t="b">
        <v>0</v>
      </c>
      <c r="BK13" t="s">
        <v>1120</v>
      </c>
      <c r="BL13" t="s">
        <v>1207</v>
      </c>
      <c r="CC13" s="128"/>
      <c r="CE13" s="128"/>
      <c r="CG13" s="128"/>
      <c r="CI13" s="128"/>
      <c r="CK13" s="128"/>
      <c r="CM13" s="128"/>
      <c r="CO13" s="128"/>
      <c r="CT13" s="128"/>
      <c r="CV13" s="128"/>
    </row>
    <row r="14" spans="1:100">
      <c r="A14" t="s">
        <v>1265</v>
      </c>
      <c r="B14" s="128">
        <v>44305</v>
      </c>
      <c r="C14" t="s">
        <v>1264</v>
      </c>
      <c r="D14" t="s">
        <v>352</v>
      </c>
      <c r="E14" t="s">
        <v>1107</v>
      </c>
      <c r="F14" t="s">
        <v>1108</v>
      </c>
      <c r="G14" t="s">
        <v>374</v>
      </c>
      <c r="H14" t="s">
        <v>1199</v>
      </c>
      <c r="I14" t="s">
        <v>354</v>
      </c>
      <c r="J14" t="s">
        <v>1109</v>
      </c>
      <c r="K14" t="s">
        <v>417</v>
      </c>
      <c r="L14" t="s">
        <v>1256</v>
      </c>
      <c r="M14" t="s">
        <v>346</v>
      </c>
      <c r="N14" t="s">
        <v>1266</v>
      </c>
      <c r="O14" t="s">
        <v>1267</v>
      </c>
      <c r="P14" t="s">
        <v>1268</v>
      </c>
      <c r="Q14" s="128">
        <v>44306</v>
      </c>
      <c r="R14" s="128">
        <v>44316</v>
      </c>
      <c r="S14" t="s">
        <v>1269</v>
      </c>
      <c r="T14" s="128">
        <v>44306</v>
      </c>
      <c r="U14">
        <v>0</v>
      </c>
      <c r="V14">
        <v>0</v>
      </c>
      <c r="W14" t="s">
        <v>262</v>
      </c>
      <c r="X14" t="s">
        <v>1270</v>
      </c>
      <c r="AA14" t="s">
        <v>1</v>
      </c>
      <c r="AB14" t="s">
        <v>1271</v>
      </c>
      <c r="AC14" s="128">
        <v>44306</v>
      </c>
      <c r="AD14" t="s">
        <v>349</v>
      </c>
      <c r="AE14" t="s">
        <v>1180</v>
      </c>
      <c r="AF14" t="s">
        <v>1103</v>
      </c>
      <c r="AG14" t="s">
        <v>0</v>
      </c>
      <c r="AH14">
        <v>1</v>
      </c>
      <c r="AI14" t="b">
        <v>0</v>
      </c>
      <c r="AK14" t="b">
        <v>0</v>
      </c>
      <c r="AM14" t="b">
        <v>0</v>
      </c>
      <c r="AN14" t="b">
        <v>0</v>
      </c>
      <c r="AO14" t="b">
        <v>0</v>
      </c>
      <c r="AP14" t="b">
        <v>0</v>
      </c>
      <c r="AQ14" t="b">
        <v>0</v>
      </c>
      <c r="AR14" t="b">
        <v>0</v>
      </c>
      <c r="AS14" t="b">
        <v>0</v>
      </c>
      <c r="AT14" t="s">
        <v>1272</v>
      </c>
      <c r="AU14">
        <v>9830288</v>
      </c>
      <c r="AV14" t="s">
        <v>734</v>
      </c>
      <c r="AW14" t="s">
        <v>943</v>
      </c>
      <c r="AX14" s="128">
        <v>44509</v>
      </c>
      <c r="AY14" t="s">
        <v>1132</v>
      </c>
      <c r="AZ14" t="s">
        <v>583</v>
      </c>
      <c r="BA14" t="s">
        <v>143</v>
      </c>
      <c r="BB14" t="s">
        <v>43</v>
      </c>
      <c r="BD14" t="s">
        <v>756</v>
      </c>
      <c r="BG14" s="128"/>
      <c r="BH14" t="b">
        <v>0</v>
      </c>
      <c r="BK14" t="s">
        <v>1120</v>
      </c>
      <c r="BL14" t="s">
        <v>1207</v>
      </c>
      <c r="CC14" s="128"/>
      <c r="CE14" s="128"/>
      <c r="CG14" s="128"/>
      <c r="CI14" s="128"/>
      <c r="CK14" s="128"/>
      <c r="CM14" s="128"/>
      <c r="CO14" s="128"/>
      <c r="CT14" s="128"/>
      <c r="CV14" s="128"/>
    </row>
    <row r="15" spans="1:100">
      <c r="A15" t="s">
        <v>1274</v>
      </c>
      <c r="B15" s="128">
        <v>44305</v>
      </c>
      <c r="C15" t="s">
        <v>1273</v>
      </c>
      <c r="D15" t="s">
        <v>352</v>
      </c>
      <c r="E15" t="s">
        <v>1107</v>
      </c>
      <c r="F15" t="s">
        <v>1108</v>
      </c>
      <c r="G15" t="s">
        <v>374</v>
      </c>
      <c r="H15" t="s">
        <v>1199</v>
      </c>
      <c r="I15" t="s">
        <v>354</v>
      </c>
      <c r="J15" t="s">
        <v>1109</v>
      </c>
      <c r="K15" t="s">
        <v>417</v>
      </c>
      <c r="L15" t="s">
        <v>1256</v>
      </c>
      <c r="M15" t="s">
        <v>346</v>
      </c>
      <c r="N15" t="s">
        <v>1275</v>
      </c>
      <c r="O15" t="s">
        <v>1276</v>
      </c>
      <c r="P15" t="s">
        <v>1277</v>
      </c>
      <c r="Q15" s="128">
        <v>44317</v>
      </c>
      <c r="R15" s="128">
        <v>44331</v>
      </c>
      <c r="S15" t="s">
        <v>1278</v>
      </c>
      <c r="T15" s="128">
        <v>44317</v>
      </c>
      <c r="U15">
        <v>0</v>
      </c>
      <c r="V15">
        <v>0</v>
      </c>
      <c r="W15" t="s">
        <v>262</v>
      </c>
      <c r="X15" t="s">
        <v>1279</v>
      </c>
      <c r="AA15" t="s">
        <v>2</v>
      </c>
      <c r="AB15" t="s">
        <v>1280</v>
      </c>
      <c r="AC15" s="128">
        <v>44317</v>
      </c>
      <c r="AD15" t="s">
        <v>349</v>
      </c>
      <c r="AE15" t="s">
        <v>1252</v>
      </c>
      <c r="AF15" t="s">
        <v>1103</v>
      </c>
      <c r="AG15" t="s">
        <v>0</v>
      </c>
      <c r="AH15">
        <v>1</v>
      </c>
      <c r="AI15" t="b">
        <v>0</v>
      </c>
      <c r="AK15" t="b">
        <v>0</v>
      </c>
      <c r="AM15" t="b">
        <v>0</v>
      </c>
      <c r="AN15" t="b">
        <v>0</v>
      </c>
      <c r="AO15" t="b">
        <v>0</v>
      </c>
      <c r="AP15" t="b">
        <v>0</v>
      </c>
      <c r="AQ15" t="b">
        <v>0</v>
      </c>
      <c r="AR15" t="b">
        <v>0</v>
      </c>
      <c r="AS15" t="b">
        <v>0</v>
      </c>
      <c r="AT15" t="s">
        <v>1281</v>
      </c>
      <c r="AU15">
        <v>9830288</v>
      </c>
      <c r="AV15" t="s">
        <v>734</v>
      </c>
      <c r="AW15" t="s">
        <v>943</v>
      </c>
      <c r="AX15" s="128">
        <v>44509</v>
      </c>
      <c r="AY15" t="s">
        <v>1132</v>
      </c>
      <c r="AZ15" t="s">
        <v>15</v>
      </c>
      <c r="BA15" t="s">
        <v>110</v>
      </c>
      <c r="BB15" t="s">
        <v>43</v>
      </c>
      <c r="BD15" t="s">
        <v>756</v>
      </c>
      <c r="BG15" s="128"/>
      <c r="BH15" t="b">
        <v>0</v>
      </c>
      <c r="BK15" t="s">
        <v>1120</v>
      </c>
      <c r="BL15" t="s">
        <v>1207</v>
      </c>
      <c r="CC15" s="128"/>
      <c r="CE15" s="128"/>
      <c r="CG15" s="128"/>
      <c r="CI15" s="128"/>
      <c r="CK15" s="128"/>
      <c r="CM15" s="128"/>
      <c r="CO15" s="128"/>
      <c r="CT15" s="128"/>
      <c r="CV15" s="128"/>
    </row>
    <row r="16" spans="1:100">
      <c r="A16" t="s">
        <v>1283</v>
      </c>
      <c r="B16" s="128">
        <v>44305</v>
      </c>
      <c r="C16" t="s">
        <v>1282</v>
      </c>
      <c r="D16" t="s">
        <v>352</v>
      </c>
      <c r="E16" t="s">
        <v>1107</v>
      </c>
      <c r="F16" t="s">
        <v>1108</v>
      </c>
      <c r="G16" t="s">
        <v>374</v>
      </c>
      <c r="H16" t="s">
        <v>1199</v>
      </c>
      <c r="I16" t="s">
        <v>354</v>
      </c>
      <c r="J16" t="s">
        <v>1109</v>
      </c>
      <c r="K16" t="s">
        <v>417</v>
      </c>
      <c r="L16" t="s">
        <v>1256</v>
      </c>
      <c r="M16" t="s">
        <v>346</v>
      </c>
      <c r="N16" t="s">
        <v>1284</v>
      </c>
      <c r="O16" t="s">
        <v>1285</v>
      </c>
      <c r="P16" t="s">
        <v>1286</v>
      </c>
      <c r="Q16" s="128">
        <v>44315</v>
      </c>
      <c r="R16" s="128">
        <v>44331</v>
      </c>
      <c r="S16" t="s">
        <v>1286</v>
      </c>
      <c r="T16" s="128">
        <v>44315</v>
      </c>
      <c r="U16">
        <v>0</v>
      </c>
      <c r="V16">
        <v>0</v>
      </c>
      <c r="W16" t="s">
        <v>262</v>
      </c>
      <c r="X16" t="s">
        <v>1287</v>
      </c>
      <c r="AA16" t="s">
        <v>5</v>
      </c>
      <c r="AB16" t="s">
        <v>1288</v>
      </c>
      <c r="AC16" s="128">
        <v>44315</v>
      </c>
      <c r="AD16" t="s">
        <v>349</v>
      </c>
      <c r="AE16" t="s">
        <v>1180</v>
      </c>
      <c r="AF16" t="s">
        <v>1103</v>
      </c>
      <c r="AG16" t="s">
        <v>0</v>
      </c>
      <c r="AH16">
        <v>1</v>
      </c>
      <c r="AI16" t="b">
        <v>0</v>
      </c>
      <c r="AK16" t="b">
        <v>0</v>
      </c>
      <c r="AM16" t="b">
        <v>0</v>
      </c>
      <c r="AN16" t="b">
        <v>0</v>
      </c>
      <c r="AO16" t="b">
        <v>0</v>
      </c>
      <c r="AP16" t="b">
        <v>0</v>
      </c>
      <c r="AQ16" t="b">
        <v>0</v>
      </c>
      <c r="AR16" t="b">
        <v>0</v>
      </c>
      <c r="AS16" t="b">
        <v>0</v>
      </c>
      <c r="AT16" t="s">
        <v>1289</v>
      </c>
      <c r="AU16">
        <v>9830288</v>
      </c>
      <c r="AV16" t="s">
        <v>734</v>
      </c>
      <c r="AW16" t="s">
        <v>943</v>
      </c>
      <c r="AX16" s="128">
        <v>44509</v>
      </c>
      <c r="AY16" t="s">
        <v>1132</v>
      </c>
      <c r="AZ16" t="s">
        <v>583</v>
      </c>
      <c r="BA16" t="s">
        <v>143</v>
      </c>
      <c r="BB16" t="s">
        <v>43</v>
      </c>
      <c r="BD16" t="s">
        <v>756</v>
      </c>
      <c r="BG16" s="128"/>
      <c r="BH16" t="b">
        <v>0</v>
      </c>
      <c r="BK16" t="s">
        <v>1120</v>
      </c>
      <c r="BL16" t="s">
        <v>1207</v>
      </c>
      <c r="CC16" s="128"/>
      <c r="CE16" s="128"/>
      <c r="CG16" s="128"/>
      <c r="CI16" s="128"/>
      <c r="CK16" s="128"/>
      <c r="CM16" s="128"/>
      <c r="CO16" s="128"/>
      <c r="CT16" s="128"/>
      <c r="CV16" s="128"/>
    </row>
    <row r="17" spans="1:100">
      <c r="A17" t="s">
        <v>1291</v>
      </c>
      <c r="B17" s="128">
        <v>44305</v>
      </c>
      <c r="C17" t="s">
        <v>1290</v>
      </c>
      <c r="D17" t="s">
        <v>352</v>
      </c>
      <c r="E17" t="s">
        <v>1107</v>
      </c>
      <c r="F17" t="s">
        <v>1108</v>
      </c>
      <c r="G17" t="s">
        <v>374</v>
      </c>
      <c r="H17" t="s">
        <v>1199</v>
      </c>
      <c r="I17" t="s">
        <v>354</v>
      </c>
      <c r="J17" t="s">
        <v>1109</v>
      </c>
      <c r="K17" t="s">
        <v>417</v>
      </c>
      <c r="L17" t="s">
        <v>1256</v>
      </c>
      <c r="M17" t="s">
        <v>346</v>
      </c>
      <c r="N17" t="s">
        <v>1292</v>
      </c>
      <c r="O17" t="s">
        <v>1293</v>
      </c>
      <c r="P17" t="s">
        <v>1294</v>
      </c>
      <c r="Q17" s="128">
        <v>44310</v>
      </c>
      <c r="R17" s="128">
        <v>44316</v>
      </c>
      <c r="S17" t="s">
        <v>1294</v>
      </c>
      <c r="T17" s="128">
        <v>44310</v>
      </c>
      <c r="U17">
        <v>0</v>
      </c>
      <c r="V17">
        <v>0</v>
      </c>
      <c r="W17" t="s">
        <v>262</v>
      </c>
      <c r="X17" t="s">
        <v>1295</v>
      </c>
      <c r="AA17" t="s">
        <v>4</v>
      </c>
      <c r="AB17" t="s">
        <v>1296</v>
      </c>
      <c r="AC17" s="128">
        <v>44310</v>
      </c>
      <c r="AD17" t="s">
        <v>349</v>
      </c>
      <c r="AE17" t="s">
        <v>1252</v>
      </c>
      <c r="AF17" t="s">
        <v>1103</v>
      </c>
      <c r="AG17" t="s">
        <v>0</v>
      </c>
      <c r="AH17">
        <v>1</v>
      </c>
      <c r="AI17" t="b">
        <v>0</v>
      </c>
      <c r="AK17" t="b">
        <v>0</v>
      </c>
      <c r="AM17" t="b">
        <v>0</v>
      </c>
      <c r="AN17" t="b">
        <v>0</v>
      </c>
      <c r="AO17" t="b">
        <v>0</v>
      </c>
      <c r="AP17" t="b">
        <v>0</v>
      </c>
      <c r="AQ17" t="b">
        <v>0</v>
      </c>
      <c r="AR17" t="b">
        <v>0</v>
      </c>
      <c r="AS17" t="b">
        <v>0</v>
      </c>
      <c r="AT17" t="s">
        <v>1297</v>
      </c>
      <c r="AU17">
        <v>9830288</v>
      </c>
      <c r="AV17" t="s">
        <v>734</v>
      </c>
      <c r="AW17" t="s">
        <v>943</v>
      </c>
      <c r="AX17" s="128">
        <v>44509</v>
      </c>
      <c r="AY17" t="s">
        <v>1132</v>
      </c>
      <c r="AZ17" t="s">
        <v>583</v>
      </c>
      <c r="BA17" t="s">
        <v>143</v>
      </c>
      <c r="BB17" t="s">
        <v>43</v>
      </c>
      <c r="BD17" t="s">
        <v>756</v>
      </c>
      <c r="BG17" s="128"/>
      <c r="BH17" t="b">
        <v>0</v>
      </c>
      <c r="BK17" t="s">
        <v>1120</v>
      </c>
      <c r="BL17" t="s">
        <v>1207</v>
      </c>
      <c r="CC17" s="128"/>
      <c r="CE17" s="128"/>
      <c r="CG17" s="128"/>
      <c r="CI17" s="128"/>
      <c r="CK17" s="128"/>
      <c r="CM17" s="128"/>
      <c r="CO17" s="128"/>
      <c r="CT17" s="128"/>
      <c r="CV17" s="128"/>
    </row>
    <row r="18" spans="1:100">
      <c r="A18" t="s">
        <v>1299</v>
      </c>
      <c r="B18" s="128">
        <v>44312</v>
      </c>
      <c r="C18" t="s">
        <v>1298</v>
      </c>
      <c r="D18" t="s">
        <v>364</v>
      </c>
      <c r="E18" t="s">
        <v>1101</v>
      </c>
      <c r="F18" t="s">
        <v>1102</v>
      </c>
      <c r="G18" t="s">
        <v>389</v>
      </c>
      <c r="H18" t="s">
        <v>1300</v>
      </c>
      <c r="I18" t="s">
        <v>13</v>
      </c>
      <c r="J18" t="s">
        <v>1105</v>
      </c>
      <c r="K18" t="s">
        <v>83</v>
      </c>
      <c r="L18" t="s">
        <v>1106</v>
      </c>
      <c r="M18" t="s">
        <v>346</v>
      </c>
      <c r="N18" t="s">
        <v>1301</v>
      </c>
      <c r="O18" t="s">
        <v>1302</v>
      </c>
      <c r="P18" t="s">
        <v>1303</v>
      </c>
      <c r="Q18" s="128">
        <v>44312</v>
      </c>
      <c r="R18" s="128">
        <v>44346</v>
      </c>
      <c r="S18" t="s">
        <v>1304</v>
      </c>
      <c r="T18" s="128">
        <v>44323</v>
      </c>
      <c r="U18">
        <v>0</v>
      </c>
      <c r="V18">
        <v>0</v>
      </c>
      <c r="W18" t="s">
        <v>262</v>
      </c>
      <c r="X18" t="s">
        <v>1305</v>
      </c>
      <c r="AA18" t="s">
        <v>1</v>
      </c>
      <c r="AB18" t="s">
        <v>1306</v>
      </c>
      <c r="AC18" s="128">
        <v>44323</v>
      </c>
      <c r="AD18" t="s">
        <v>349</v>
      </c>
      <c r="AE18" t="s">
        <v>1180</v>
      </c>
      <c r="AF18" t="s">
        <v>1103</v>
      </c>
      <c r="AG18" t="s">
        <v>0</v>
      </c>
      <c r="AH18">
        <v>1</v>
      </c>
      <c r="AI18" t="b">
        <v>0</v>
      </c>
      <c r="AK18" t="b">
        <v>0</v>
      </c>
      <c r="AM18" t="b">
        <v>0</v>
      </c>
      <c r="AN18" t="b">
        <v>0</v>
      </c>
      <c r="AO18" t="b">
        <v>0</v>
      </c>
      <c r="AP18" t="b">
        <v>0</v>
      </c>
      <c r="AQ18" t="b">
        <v>0</v>
      </c>
      <c r="AR18" t="b">
        <v>0</v>
      </c>
      <c r="AS18" t="b">
        <v>0</v>
      </c>
      <c r="AT18" t="s">
        <v>1307</v>
      </c>
      <c r="AU18">
        <v>9830288</v>
      </c>
      <c r="AV18" t="s">
        <v>734</v>
      </c>
      <c r="AW18" t="s">
        <v>943</v>
      </c>
      <c r="AX18" s="128">
        <v>44509</v>
      </c>
      <c r="AY18" t="s">
        <v>1132</v>
      </c>
      <c r="AZ18" t="s">
        <v>13</v>
      </c>
      <c r="BA18" t="s">
        <v>83</v>
      </c>
      <c r="BB18" t="s">
        <v>40</v>
      </c>
      <c r="BD18" t="s">
        <v>30</v>
      </c>
      <c r="BG18" s="128"/>
      <c r="BH18" t="b">
        <v>0</v>
      </c>
      <c r="BK18" t="s">
        <v>1120</v>
      </c>
      <c r="CC18" s="128"/>
      <c r="CE18" s="128"/>
      <c r="CG18" s="128"/>
      <c r="CI18" s="128"/>
      <c r="CK18" s="128"/>
      <c r="CM18" s="128"/>
      <c r="CO18" s="128"/>
      <c r="CT18" s="128"/>
      <c r="CV18" s="128"/>
    </row>
    <row r="19" spans="1:100">
      <c r="A19" t="s">
        <v>1309</v>
      </c>
      <c r="B19" s="128">
        <v>44320</v>
      </c>
      <c r="C19" t="s">
        <v>1308</v>
      </c>
      <c r="D19" t="s">
        <v>364</v>
      </c>
      <c r="E19" t="s">
        <v>1101</v>
      </c>
      <c r="F19" t="s">
        <v>1102</v>
      </c>
      <c r="G19" t="s">
        <v>389</v>
      </c>
      <c r="H19" t="s">
        <v>1300</v>
      </c>
      <c r="I19" t="s">
        <v>13</v>
      </c>
      <c r="J19" t="s">
        <v>1105</v>
      </c>
      <c r="K19" t="s">
        <v>83</v>
      </c>
      <c r="L19" t="s">
        <v>1106</v>
      </c>
      <c r="M19" t="s">
        <v>346</v>
      </c>
      <c r="N19" t="s">
        <v>1310</v>
      </c>
      <c r="O19" t="s">
        <v>1311</v>
      </c>
      <c r="P19" t="s">
        <v>1312</v>
      </c>
      <c r="Q19" s="128">
        <v>44320</v>
      </c>
      <c r="R19" s="128">
        <v>44410</v>
      </c>
      <c r="S19" t="s">
        <v>1313</v>
      </c>
      <c r="T19" s="128">
        <v>44321</v>
      </c>
      <c r="U19">
        <v>0</v>
      </c>
      <c r="V19">
        <v>0</v>
      </c>
      <c r="W19" t="s">
        <v>262</v>
      </c>
      <c r="X19" t="s">
        <v>1314</v>
      </c>
      <c r="AA19" t="s">
        <v>1</v>
      </c>
      <c r="AB19" t="s">
        <v>1315</v>
      </c>
      <c r="AC19" s="128">
        <v>44321</v>
      </c>
      <c r="AD19" t="s">
        <v>349</v>
      </c>
      <c r="AE19" t="s">
        <v>1252</v>
      </c>
      <c r="AF19" t="s">
        <v>1103</v>
      </c>
      <c r="AG19" t="s">
        <v>0</v>
      </c>
      <c r="AH19">
        <v>1</v>
      </c>
      <c r="AI19" t="b">
        <v>0</v>
      </c>
      <c r="AK19" t="b">
        <v>0</v>
      </c>
      <c r="AM19" t="b">
        <v>0</v>
      </c>
      <c r="AN19" t="b">
        <v>0</v>
      </c>
      <c r="AO19" t="b">
        <v>0</v>
      </c>
      <c r="AP19" t="b">
        <v>0</v>
      </c>
      <c r="AQ19" t="b">
        <v>0</v>
      </c>
      <c r="AR19" t="b">
        <v>0</v>
      </c>
      <c r="AS19" t="b">
        <v>0</v>
      </c>
      <c r="AT19" t="s">
        <v>1316</v>
      </c>
      <c r="AU19">
        <v>9830288</v>
      </c>
      <c r="AV19" t="s">
        <v>734</v>
      </c>
      <c r="AW19" t="s">
        <v>943</v>
      </c>
      <c r="AX19" s="128">
        <v>44509</v>
      </c>
      <c r="AY19" t="s">
        <v>1132</v>
      </c>
      <c r="AZ19" t="s">
        <v>13</v>
      </c>
      <c r="BA19" t="s">
        <v>83</v>
      </c>
      <c r="BB19" t="s">
        <v>42</v>
      </c>
      <c r="BD19" t="s">
        <v>31</v>
      </c>
      <c r="BG19" s="128"/>
      <c r="BH19" t="b">
        <v>0</v>
      </c>
      <c r="BK19" t="s">
        <v>1120</v>
      </c>
      <c r="CC19" s="128"/>
      <c r="CE19" s="128"/>
      <c r="CG19" s="128"/>
      <c r="CI19" s="128"/>
      <c r="CK19" s="128"/>
      <c r="CM19" s="128"/>
      <c r="CO19" s="128"/>
      <c r="CT19" s="128"/>
      <c r="CV19" s="128"/>
    </row>
    <row r="20" spans="1:100">
      <c r="A20" t="s">
        <v>1318</v>
      </c>
      <c r="B20" s="128">
        <v>44326</v>
      </c>
      <c r="C20" t="s">
        <v>1317</v>
      </c>
      <c r="D20" t="s">
        <v>364</v>
      </c>
      <c r="E20" t="s">
        <v>1101</v>
      </c>
      <c r="F20" t="s">
        <v>1102</v>
      </c>
      <c r="G20" t="s">
        <v>389</v>
      </c>
      <c r="H20" t="s">
        <v>1300</v>
      </c>
      <c r="I20" t="s">
        <v>13</v>
      </c>
      <c r="J20" t="s">
        <v>1105</v>
      </c>
      <c r="K20" t="s">
        <v>83</v>
      </c>
      <c r="M20" t="s">
        <v>346</v>
      </c>
      <c r="N20" t="s">
        <v>1319</v>
      </c>
      <c r="O20" t="s">
        <v>1320</v>
      </c>
      <c r="P20" t="s">
        <v>1321</v>
      </c>
      <c r="Q20" s="128">
        <v>44326</v>
      </c>
      <c r="R20" s="128">
        <v>44416</v>
      </c>
      <c r="S20" t="s">
        <v>1322</v>
      </c>
      <c r="T20" s="128">
        <v>44330</v>
      </c>
      <c r="U20">
        <v>0</v>
      </c>
      <c r="V20">
        <v>0</v>
      </c>
      <c r="W20" t="s">
        <v>262</v>
      </c>
      <c r="X20" t="s">
        <v>1323</v>
      </c>
      <c r="AA20" t="s">
        <v>5</v>
      </c>
      <c r="AB20" t="s">
        <v>1215</v>
      </c>
      <c r="AC20" s="128">
        <v>44330</v>
      </c>
      <c r="AD20" t="s">
        <v>349</v>
      </c>
      <c r="AE20" t="s">
        <v>1252</v>
      </c>
      <c r="AF20" t="s">
        <v>1103</v>
      </c>
      <c r="AG20" t="s">
        <v>0</v>
      </c>
      <c r="AH20">
        <v>1</v>
      </c>
      <c r="AI20" t="b">
        <v>0</v>
      </c>
      <c r="AK20" t="b">
        <v>0</v>
      </c>
      <c r="AM20" t="b">
        <v>0</v>
      </c>
      <c r="AN20" t="b">
        <v>0</v>
      </c>
      <c r="AO20" t="b">
        <v>0</v>
      </c>
      <c r="AP20" t="b">
        <v>0</v>
      </c>
      <c r="AQ20" t="b">
        <v>0</v>
      </c>
      <c r="AR20" t="b">
        <v>0</v>
      </c>
      <c r="AS20" t="b">
        <v>0</v>
      </c>
      <c r="AT20" t="s">
        <v>1324</v>
      </c>
      <c r="AU20">
        <v>9830288</v>
      </c>
      <c r="AV20" t="s">
        <v>734</v>
      </c>
      <c r="AW20" t="s">
        <v>943</v>
      </c>
      <c r="AX20" s="128">
        <v>44509</v>
      </c>
      <c r="AY20" t="s">
        <v>1132</v>
      </c>
      <c r="AZ20" t="s">
        <v>13</v>
      </c>
      <c r="BA20" t="s">
        <v>83</v>
      </c>
      <c r="BB20" t="s">
        <v>42</v>
      </c>
      <c r="BD20" t="s">
        <v>31</v>
      </c>
      <c r="BG20" s="128"/>
      <c r="BH20" t="b">
        <v>0</v>
      </c>
      <c r="BK20" t="s">
        <v>1120</v>
      </c>
      <c r="CC20" s="128"/>
      <c r="CE20" s="128"/>
      <c r="CG20" s="128"/>
      <c r="CI20" s="128"/>
      <c r="CK20" s="128"/>
      <c r="CM20" s="128"/>
      <c r="CO20" s="128"/>
      <c r="CT20" s="128"/>
      <c r="CV20" s="128"/>
    </row>
    <row r="21" spans="1:100">
      <c r="A21" t="s">
        <v>1326</v>
      </c>
      <c r="B21" s="128">
        <v>44331</v>
      </c>
      <c r="C21" t="s">
        <v>1325</v>
      </c>
      <c r="D21" t="s">
        <v>364</v>
      </c>
      <c r="E21" t="s">
        <v>1101</v>
      </c>
      <c r="F21" t="s">
        <v>1102</v>
      </c>
      <c r="G21" t="s">
        <v>389</v>
      </c>
      <c r="H21" t="s">
        <v>1300</v>
      </c>
      <c r="I21" t="s">
        <v>11</v>
      </c>
      <c r="J21" t="s">
        <v>1114</v>
      </c>
      <c r="K21" t="s">
        <v>81</v>
      </c>
      <c r="L21" t="s">
        <v>1115</v>
      </c>
      <c r="M21" t="s">
        <v>346</v>
      </c>
      <c r="N21" t="s">
        <v>1327</v>
      </c>
      <c r="O21" t="s">
        <v>1328</v>
      </c>
      <c r="P21" t="s">
        <v>1329</v>
      </c>
      <c r="Q21" s="128">
        <v>44331</v>
      </c>
      <c r="R21" s="128">
        <v>44377</v>
      </c>
      <c r="S21" t="s">
        <v>1330</v>
      </c>
      <c r="T21" s="128">
        <v>44333</v>
      </c>
      <c r="U21">
        <v>0</v>
      </c>
      <c r="V21">
        <v>0</v>
      </c>
      <c r="W21" t="s">
        <v>262</v>
      </c>
      <c r="X21" t="s">
        <v>1331</v>
      </c>
      <c r="AA21" t="s">
        <v>804</v>
      </c>
      <c r="AB21" t="s">
        <v>1332</v>
      </c>
      <c r="AC21" s="128">
        <v>44333</v>
      </c>
      <c r="AD21" t="s">
        <v>349</v>
      </c>
      <c r="AE21" t="s">
        <v>1169</v>
      </c>
      <c r="AF21" t="s">
        <v>1103</v>
      </c>
      <c r="AG21" t="s">
        <v>0</v>
      </c>
      <c r="AH21">
        <v>1</v>
      </c>
      <c r="AI21" t="b">
        <v>0</v>
      </c>
      <c r="AK21" t="b">
        <v>0</v>
      </c>
      <c r="AM21" t="b">
        <v>0</v>
      </c>
      <c r="AN21" t="b">
        <v>0</v>
      </c>
      <c r="AO21" t="b">
        <v>0</v>
      </c>
      <c r="AP21" t="b">
        <v>0</v>
      </c>
      <c r="AQ21" t="b">
        <v>0</v>
      </c>
      <c r="AR21" t="b">
        <v>0</v>
      </c>
      <c r="AS21" t="b">
        <v>0</v>
      </c>
      <c r="AT21" t="s">
        <v>1333</v>
      </c>
      <c r="AU21">
        <v>9830288</v>
      </c>
      <c r="AV21" t="s">
        <v>734</v>
      </c>
      <c r="AW21" t="s">
        <v>943</v>
      </c>
      <c r="AX21" s="128">
        <v>44509</v>
      </c>
      <c r="AY21" t="s">
        <v>1132</v>
      </c>
      <c r="AZ21" t="s">
        <v>11</v>
      </c>
      <c r="BA21" t="s">
        <v>81</v>
      </c>
      <c r="BB21" t="s">
        <v>42</v>
      </c>
      <c r="BD21" t="s">
        <v>31</v>
      </c>
      <c r="BG21" s="128"/>
      <c r="BH21" t="b">
        <v>0</v>
      </c>
      <c r="BK21" t="s">
        <v>1120</v>
      </c>
      <c r="CC21" s="128"/>
      <c r="CE21" s="128"/>
      <c r="CG21" s="128"/>
      <c r="CI21" s="128"/>
      <c r="CK21" s="128"/>
      <c r="CM21" s="128"/>
      <c r="CO21" s="128"/>
      <c r="CT21" s="128"/>
      <c r="CV21" s="128"/>
    </row>
    <row r="22" spans="1:100" ht="409.5">
      <c r="A22" t="s">
        <v>1334</v>
      </c>
      <c r="B22" s="128">
        <v>44357</v>
      </c>
      <c r="C22" t="s">
        <v>1335</v>
      </c>
      <c r="D22" t="s">
        <v>364</v>
      </c>
      <c r="E22" t="s">
        <v>1101</v>
      </c>
      <c r="F22" t="s">
        <v>1102</v>
      </c>
      <c r="G22" t="s">
        <v>389</v>
      </c>
      <c r="H22" t="s">
        <v>1336</v>
      </c>
      <c r="I22" t="s">
        <v>14</v>
      </c>
      <c r="J22" t="s">
        <v>1116</v>
      </c>
      <c r="K22" t="s">
        <v>98</v>
      </c>
      <c r="L22" t="s">
        <v>1337</v>
      </c>
      <c r="M22" t="s">
        <v>346</v>
      </c>
      <c r="N22" s="99" t="s">
        <v>1338</v>
      </c>
      <c r="O22" t="s">
        <v>1339</v>
      </c>
      <c r="P22" t="s">
        <v>1340</v>
      </c>
      <c r="Q22" s="128">
        <v>44357</v>
      </c>
      <c r="R22" s="128">
        <v>44447</v>
      </c>
      <c r="S22" t="s">
        <v>1341</v>
      </c>
      <c r="T22" s="128">
        <v>44357</v>
      </c>
      <c r="U22">
        <v>0</v>
      </c>
      <c r="V22">
        <v>0</v>
      </c>
      <c r="W22" t="s">
        <v>262</v>
      </c>
      <c r="X22" t="s">
        <v>1342</v>
      </c>
      <c r="AA22" t="s">
        <v>5</v>
      </c>
      <c r="AB22" t="s">
        <v>1343</v>
      </c>
      <c r="AC22" s="128">
        <v>44361</v>
      </c>
      <c r="AD22" t="s">
        <v>349</v>
      </c>
      <c r="AE22" t="s">
        <v>1252</v>
      </c>
      <c r="AF22" t="s">
        <v>1103</v>
      </c>
      <c r="AG22" t="s">
        <v>0</v>
      </c>
      <c r="AH22">
        <v>1</v>
      </c>
      <c r="AI22" t="b">
        <v>0</v>
      </c>
      <c r="AK22" t="b">
        <v>1</v>
      </c>
      <c r="AL22">
        <v>0.3</v>
      </c>
      <c r="AM22" t="b">
        <v>0</v>
      </c>
      <c r="AN22" t="b">
        <v>0</v>
      </c>
      <c r="AO22" t="b">
        <v>0</v>
      </c>
      <c r="AP22" t="b">
        <v>0</v>
      </c>
      <c r="AQ22" t="b">
        <v>0</v>
      </c>
      <c r="AR22" t="b">
        <v>0</v>
      </c>
      <c r="AS22" t="b">
        <v>0</v>
      </c>
      <c r="AT22" t="s">
        <v>1345</v>
      </c>
      <c r="AU22">
        <v>9830288</v>
      </c>
      <c r="AV22" t="s">
        <v>734</v>
      </c>
      <c r="AW22" t="s">
        <v>943</v>
      </c>
      <c r="AX22" s="128">
        <v>44509</v>
      </c>
      <c r="AY22" t="s">
        <v>1132</v>
      </c>
      <c r="AZ22" t="s">
        <v>14</v>
      </c>
      <c r="BA22" t="s">
        <v>98</v>
      </c>
      <c r="BB22" t="s">
        <v>402</v>
      </c>
      <c r="BD22" t="s">
        <v>756</v>
      </c>
      <c r="BG22" s="128"/>
      <c r="BH22" t="b">
        <v>0</v>
      </c>
      <c r="BK22" t="s">
        <v>1120</v>
      </c>
      <c r="CC22" s="128"/>
      <c r="CE22" s="128"/>
      <c r="CG22" s="128"/>
      <c r="CI22" s="128"/>
      <c r="CK22" s="128"/>
      <c r="CM22" s="128"/>
      <c r="CO22" s="128"/>
      <c r="CT22" s="128"/>
      <c r="CV22" s="128"/>
    </row>
    <row r="23" spans="1:100">
      <c r="A23" t="s">
        <v>1347</v>
      </c>
      <c r="B23" s="128">
        <v>44210</v>
      </c>
      <c r="C23" t="s">
        <v>1346</v>
      </c>
      <c r="D23" t="s">
        <v>358</v>
      </c>
      <c r="E23" t="s">
        <v>1125</v>
      </c>
      <c r="F23" t="s">
        <v>1126</v>
      </c>
      <c r="G23" t="s">
        <v>377</v>
      </c>
      <c r="I23" t="s">
        <v>360</v>
      </c>
      <c r="J23" t="s">
        <v>1127</v>
      </c>
      <c r="K23" t="s">
        <v>402</v>
      </c>
      <c r="L23" t="s">
        <v>1348</v>
      </c>
      <c r="M23" t="s">
        <v>346</v>
      </c>
      <c r="N23" t="s">
        <v>1349</v>
      </c>
      <c r="O23" t="s">
        <v>262</v>
      </c>
      <c r="P23" t="s">
        <v>262</v>
      </c>
      <c r="Q23" s="128"/>
      <c r="R23" s="128">
        <v>44210</v>
      </c>
      <c r="T23" s="128"/>
      <c r="U23">
        <v>0</v>
      </c>
      <c r="V23">
        <v>0</v>
      </c>
      <c r="W23" t="s">
        <v>262</v>
      </c>
      <c r="X23" t="s">
        <v>1350</v>
      </c>
      <c r="AB23" t="s">
        <v>262</v>
      </c>
      <c r="AC23" s="128">
        <v>44210</v>
      </c>
      <c r="AD23" t="s">
        <v>349</v>
      </c>
      <c r="AE23" t="s">
        <v>1351</v>
      </c>
      <c r="AF23" t="s">
        <v>1103</v>
      </c>
      <c r="AG23" t="s">
        <v>0</v>
      </c>
      <c r="AH23">
        <v>1</v>
      </c>
      <c r="AI23" t="b">
        <v>0</v>
      </c>
      <c r="AK23" t="b">
        <v>0</v>
      </c>
      <c r="AM23" t="b">
        <v>0</v>
      </c>
      <c r="AN23" t="b">
        <v>0</v>
      </c>
      <c r="AO23" t="b">
        <v>0</v>
      </c>
      <c r="AP23" t="b">
        <v>0</v>
      </c>
      <c r="AQ23" t="b">
        <v>0</v>
      </c>
      <c r="AR23" t="b">
        <v>0</v>
      </c>
      <c r="AS23" t="b">
        <v>0</v>
      </c>
      <c r="AT23" t="s">
        <v>1362</v>
      </c>
      <c r="AU23">
        <v>9830288</v>
      </c>
      <c r="AV23" t="s">
        <v>734</v>
      </c>
      <c r="AW23" t="s">
        <v>943</v>
      </c>
      <c r="AX23" s="128">
        <v>44509</v>
      </c>
      <c r="AY23" t="s">
        <v>1132</v>
      </c>
      <c r="BB23" t="s">
        <v>402</v>
      </c>
      <c r="BC23" t="s">
        <v>262</v>
      </c>
      <c r="BD23" t="s">
        <v>801</v>
      </c>
      <c r="BG23" s="128"/>
      <c r="BH23" t="b">
        <v>0</v>
      </c>
      <c r="BK23" t="s">
        <v>1120</v>
      </c>
      <c r="BL23" t="s">
        <v>1352</v>
      </c>
      <c r="BM23" t="s">
        <v>842</v>
      </c>
      <c r="BN23" t="s">
        <v>1353</v>
      </c>
      <c r="BO23" t="s">
        <v>1354</v>
      </c>
      <c r="BP23" t="s">
        <v>1128</v>
      </c>
      <c r="BQ23" t="s">
        <v>1129</v>
      </c>
      <c r="BR23" s="127">
        <v>933.52812500000005</v>
      </c>
      <c r="BS23" t="s">
        <v>1355</v>
      </c>
      <c r="BT23" t="s">
        <v>1356</v>
      </c>
      <c r="BU23" t="s">
        <v>1357</v>
      </c>
      <c r="BV23" t="s">
        <v>1358</v>
      </c>
      <c r="BW23" t="s">
        <v>1359</v>
      </c>
      <c r="BX23" t="s">
        <v>1360</v>
      </c>
      <c r="BY23" t="s">
        <v>1361</v>
      </c>
      <c r="BZ23" t="s">
        <v>346</v>
      </c>
      <c r="CA23" t="s">
        <v>262</v>
      </c>
      <c r="CB23" t="s">
        <v>1351</v>
      </c>
      <c r="CC23" s="128">
        <v>44210</v>
      </c>
      <c r="CD23" t="s">
        <v>341</v>
      </c>
      <c r="CE23" s="128">
        <v>44210</v>
      </c>
      <c r="CF23" t="s">
        <v>341</v>
      </c>
      <c r="CG23" s="128">
        <v>44210</v>
      </c>
      <c r="CH23" t="s">
        <v>346</v>
      </c>
      <c r="CI23" s="128"/>
      <c r="CJ23" t="s">
        <v>346</v>
      </c>
      <c r="CK23" s="128"/>
      <c r="CL23" t="s">
        <v>341</v>
      </c>
      <c r="CM23" s="128">
        <v>44210</v>
      </c>
      <c r="CN23" t="s">
        <v>341</v>
      </c>
      <c r="CO23" s="128">
        <v>44210</v>
      </c>
      <c r="CT23" s="128"/>
      <c r="CV23" s="128"/>
    </row>
    <row r="24" spans="1:100">
      <c r="A24" t="s">
        <v>1363</v>
      </c>
      <c r="B24" s="128">
        <v>44308</v>
      </c>
      <c r="C24" t="s">
        <v>1335</v>
      </c>
      <c r="D24" t="s">
        <v>358</v>
      </c>
      <c r="E24" t="s">
        <v>1125</v>
      </c>
      <c r="F24" t="s">
        <v>1126</v>
      </c>
      <c r="G24" t="s">
        <v>375</v>
      </c>
      <c r="I24" t="s">
        <v>360</v>
      </c>
      <c r="J24" t="s">
        <v>1127</v>
      </c>
      <c r="K24" t="s">
        <v>402</v>
      </c>
      <c r="L24" t="s">
        <v>1348</v>
      </c>
      <c r="M24" t="s">
        <v>346</v>
      </c>
      <c r="N24" t="s">
        <v>1349</v>
      </c>
      <c r="O24" t="s">
        <v>262</v>
      </c>
      <c r="P24" t="s">
        <v>262</v>
      </c>
      <c r="Q24" s="128"/>
      <c r="R24" s="128">
        <v>44308</v>
      </c>
      <c r="T24" s="128"/>
      <c r="U24">
        <v>0</v>
      </c>
      <c r="V24">
        <v>0</v>
      </c>
      <c r="W24" t="s">
        <v>262</v>
      </c>
      <c r="X24" t="s">
        <v>1350</v>
      </c>
      <c r="AB24" t="s">
        <v>262</v>
      </c>
      <c r="AC24" s="128">
        <v>44308</v>
      </c>
      <c r="AD24" t="s">
        <v>349</v>
      </c>
      <c r="AE24" t="s">
        <v>1364</v>
      </c>
      <c r="AF24" t="s">
        <v>1103</v>
      </c>
      <c r="AG24" t="s">
        <v>0</v>
      </c>
      <c r="AH24">
        <v>1</v>
      </c>
      <c r="AI24" t="b">
        <v>0</v>
      </c>
      <c r="AK24" t="b">
        <v>0</v>
      </c>
      <c r="AM24" t="b">
        <v>0</v>
      </c>
      <c r="AN24" t="b">
        <v>0</v>
      </c>
      <c r="AO24" t="b">
        <v>0</v>
      </c>
      <c r="AP24" t="b">
        <v>0</v>
      </c>
      <c r="AQ24" t="b">
        <v>0</v>
      </c>
      <c r="AR24" t="b">
        <v>0</v>
      </c>
      <c r="AS24" t="b">
        <v>0</v>
      </c>
      <c r="AT24" t="s">
        <v>1371</v>
      </c>
      <c r="AU24">
        <v>9830288</v>
      </c>
      <c r="AV24" t="s">
        <v>734</v>
      </c>
      <c r="AW24" t="s">
        <v>943</v>
      </c>
      <c r="AX24" s="128">
        <v>44509</v>
      </c>
      <c r="AY24" t="s">
        <v>1132</v>
      </c>
      <c r="BB24" t="s">
        <v>402</v>
      </c>
      <c r="BC24" t="s">
        <v>262</v>
      </c>
      <c r="BD24" t="s">
        <v>801</v>
      </c>
      <c r="BG24" s="128"/>
      <c r="BH24" t="b">
        <v>0</v>
      </c>
      <c r="BK24" t="s">
        <v>1120</v>
      </c>
      <c r="BL24" t="s">
        <v>1365</v>
      </c>
      <c r="BM24" t="s">
        <v>852</v>
      </c>
      <c r="BN24" t="s">
        <v>1366</v>
      </c>
      <c r="BO24" t="s">
        <v>1367</v>
      </c>
      <c r="BP24" t="s">
        <v>1128</v>
      </c>
      <c r="BQ24" t="s">
        <v>1129</v>
      </c>
      <c r="BR24" s="127">
        <v>933.52826388888889</v>
      </c>
      <c r="BS24" t="s">
        <v>1368</v>
      </c>
      <c r="BT24" t="s">
        <v>1369</v>
      </c>
      <c r="BU24" t="s">
        <v>1370</v>
      </c>
      <c r="BV24" t="s">
        <v>1358</v>
      </c>
      <c r="BW24" t="s">
        <v>1359</v>
      </c>
      <c r="BX24" t="s">
        <v>1360</v>
      </c>
      <c r="BY24" t="s">
        <v>1361</v>
      </c>
      <c r="BZ24" t="s">
        <v>346</v>
      </c>
      <c r="CA24" t="s">
        <v>262</v>
      </c>
      <c r="CB24" t="s">
        <v>1364</v>
      </c>
      <c r="CC24" s="128">
        <v>44382</v>
      </c>
      <c r="CD24" t="s">
        <v>341</v>
      </c>
      <c r="CE24" s="128">
        <v>44382</v>
      </c>
      <c r="CF24" t="s">
        <v>341</v>
      </c>
      <c r="CG24" s="128">
        <v>44382</v>
      </c>
      <c r="CH24" t="s">
        <v>262</v>
      </c>
      <c r="CI24" s="128">
        <v>44382</v>
      </c>
      <c r="CJ24" t="s">
        <v>341</v>
      </c>
      <c r="CK24" s="128">
        <v>44382</v>
      </c>
      <c r="CL24" t="s">
        <v>341</v>
      </c>
      <c r="CM24" s="128">
        <v>44382</v>
      </c>
      <c r="CN24" t="s">
        <v>346</v>
      </c>
      <c r="CO24" s="128">
        <v>44382</v>
      </c>
      <c r="CT24" s="128"/>
      <c r="CV24" s="128"/>
    </row>
    <row r="25" spans="1:100">
      <c r="A25" t="s">
        <v>1373</v>
      </c>
      <c r="B25" s="128">
        <v>44385</v>
      </c>
      <c r="C25" t="s">
        <v>1372</v>
      </c>
      <c r="D25" t="s">
        <v>358</v>
      </c>
      <c r="E25" t="s">
        <v>1125</v>
      </c>
      <c r="F25" t="s">
        <v>1126</v>
      </c>
      <c r="G25" t="s">
        <v>379</v>
      </c>
      <c r="I25" t="s">
        <v>360</v>
      </c>
      <c r="J25" t="s">
        <v>1127</v>
      </c>
      <c r="K25" t="s">
        <v>336</v>
      </c>
      <c r="L25" t="s">
        <v>1374</v>
      </c>
      <c r="M25" t="s">
        <v>346</v>
      </c>
      <c r="N25" t="s">
        <v>1375</v>
      </c>
      <c r="O25" t="s">
        <v>1376</v>
      </c>
      <c r="P25" t="s">
        <v>1377</v>
      </c>
      <c r="Q25" s="128"/>
      <c r="R25" s="128"/>
      <c r="T25" s="128"/>
      <c r="U25">
        <v>0</v>
      </c>
      <c r="V25">
        <v>0</v>
      </c>
      <c r="W25" t="s">
        <v>262</v>
      </c>
      <c r="AA25" t="s">
        <v>3</v>
      </c>
      <c r="AB25" t="s">
        <v>1378</v>
      </c>
      <c r="AC25" s="128">
        <v>44386</v>
      </c>
      <c r="AD25" t="s">
        <v>349</v>
      </c>
      <c r="AE25" t="s">
        <v>1379</v>
      </c>
      <c r="AF25" t="s">
        <v>1103</v>
      </c>
      <c r="AG25" t="s">
        <v>0</v>
      </c>
      <c r="AH25">
        <v>1</v>
      </c>
      <c r="AI25" t="b">
        <v>0</v>
      </c>
      <c r="AK25" t="b">
        <v>0</v>
      </c>
      <c r="AM25" t="b">
        <v>0</v>
      </c>
      <c r="AN25" t="b">
        <v>0</v>
      </c>
      <c r="AO25" t="b">
        <v>0</v>
      </c>
      <c r="AP25" t="b">
        <v>0</v>
      </c>
      <c r="AQ25" t="b">
        <v>0</v>
      </c>
      <c r="AR25" t="b">
        <v>0</v>
      </c>
      <c r="AS25" t="b">
        <v>0</v>
      </c>
      <c r="AT25" t="s">
        <v>1386</v>
      </c>
      <c r="AU25">
        <v>9830288</v>
      </c>
      <c r="AV25" t="s">
        <v>734</v>
      </c>
      <c r="AW25" t="s">
        <v>943</v>
      </c>
      <c r="AX25" s="128">
        <v>44509</v>
      </c>
      <c r="AY25" t="s">
        <v>1132</v>
      </c>
      <c r="AZ25" t="s">
        <v>24</v>
      </c>
      <c r="BA25" t="s">
        <v>191</v>
      </c>
      <c r="BB25" t="s">
        <v>336</v>
      </c>
      <c r="BC25">
        <v>17</v>
      </c>
      <c r="BD25" t="s">
        <v>26</v>
      </c>
      <c r="BG25" s="128"/>
      <c r="BH25" t="b">
        <v>0</v>
      </c>
      <c r="BK25" t="s">
        <v>1120</v>
      </c>
      <c r="BL25" t="s">
        <v>1381</v>
      </c>
      <c r="BM25" t="s">
        <v>849</v>
      </c>
      <c r="BN25" t="s">
        <v>1382</v>
      </c>
      <c r="BO25" t="s">
        <v>1383</v>
      </c>
      <c r="BP25" t="s">
        <v>1128</v>
      </c>
      <c r="BQ25" t="s">
        <v>1129</v>
      </c>
      <c r="BR25" s="127">
        <v>933.52840277777773</v>
      </c>
      <c r="BS25" t="s">
        <v>1384</v>
      </c>
      <c r="BT25" t="s">
        <v>1385</v>
      </c>
      <c r="BU25" t="s">
        <v>1370</v>
      </c>
      <c r="BV25" t="s">
        <v>1358</v>
      </c>
      <c r="BW25" t="s">
        <v>1359</v>
      </c>
      <c r="BX25" t="s">
        <v>1360</v>
      </c>
      <c r="BY25" t="s">
        <v>1361</v>
      </c>
      <c r="BZ25" t="s">
        <v>346</v>
      </c>
      <c r="CA25" t="s">
        <v>262</v>
      </c>
      <c r="CC25" s="128"/>
      <c r="CE25" s="128"/>
      <c r="CG25" s="128"/>
      <c r="CI25" s="128"/>
      <c r="CK25" s="128"/>
      <c r="CM25" s="128"/>
      <c r="CO25" s="128"/>
      <c r="CT25" s="128"/>
      <c r="CV25" s="128"/>
    </row>
    <row r="26" spans="1:100">
      <c r="A26" t="s">
        <v>1388</v>
      </c>
      <c r="B26" s="128">
        <v>44385</v>
      </c>
      <c r="C26" t="s">
        <v>1387</v>
      </c>
      <c r="D26" t="s">
        <v>358</v>
      </c>
      <c r="E26" t="s">
        <v>1125</v>
      </c>
      <c r="F26" t="s">
        <v>1126</v>
      </c>
      <c r="G26" t="s">
        <v>379</v>
      </c>
      <c r="I26" t="s">
        <v>360</v>
      </c>
      <c r="J26" t="s">
        <v>1127</v>
      </c>
      <c r="K26" t="s">
        <v>402</v>
      </c>
      <c r="L26" t="s">
        <v>1348</v>
      </c>
      <c r="M26" t="s">
        <v>346</v>
      </c>
      <c r="N26" t="s">
        <v>1389</v>
      </c>
      <c r="O26" t="s">
        <v>1390</v>
      </c>
      <c r="P26" t="s">
        <v>1391</v>
      </c>
      <c r="Q26" s="128"/>
      <c r="R26" s="128"/>
      <c r="T26" s="128"/>
      <c r="U26">
        <v>0</v>
      </c>
      <c r="V26">
        <v>0</v>
      </c>
      <c r="W26" t="s">
        <v>262</v>
      </c>
      <c r="AA26" t="s">
        <v>1</v>
      </c>
      <c r="AB26" t="s">
        <v>1392</v>
      </c>
      <c r="AC26" s="128">
        <v>44386</v>
      </c>
      <c r="AD26" t="s">
        <v>349</v>
      </c>
      <c r="AE26" t="s">
        <v>1393</v>
      </c>
      <c r="AF26" t="s">
        <v>1103</v>
      </c>
      <c r="AG26" t="s">
        <v>0</v>
      </c>
      <c r="AH26">
        <v>1</v>
      </c>
      <c r="AI26" t="b">
        <v>0</v>
      </c>
      <c r="AK26" t="b">
        <v>0</v>
      </c>
      <c r="AM26" t="b">
        <v>0</v>
      </c>
      <c r="AN26" t="b">
        <v>0</v>
      </c>
      <c r="AO26" t="b">
        <v>0</v>
      </c>
      <c r="AP26" t="b">
        <v>0</v>
      </c>
      <c r="AQ26" t="b">
        <v>0</v>
      </c>
      <c r="AR26" t="b">
        <v>0</v>
      </c>
      <c r="AS26" t="b">
        <v>0</v>
      </c>
      <c r="AT26" t="s">
        <v>1394</v>
      </c>
      <c r="AU26">
        <v>9830288</v>
      </c>
      <c r="AV26" t="s">
        <v>734</v>
      </c>
      <c r="AW26" t="s">
        <v>943</v>
      </c>
      <c r="AX26" s="128">
        <v>44509</v>
      </c>
      <c r="AY26" t="s">
        <v>1132</v>
      </c>
      <c r="BB26" t="s">
        <v>402</v>
      </c>
      <c r="BD26" t="s">
        <v>756</v>
      </c>
      <c r="BG26" s="128"/>
      <c r="BH26" t="b">
        <v>0</v>
      </c>
      <c r="BK26" t="s">
        <v>1120</v>
      </c>
      <c r="BL26" t="s">
        <v>1381</v>
      </c>
      <c r="BM26" t="s">
        <v>849</v>
      </c>
      <c r="BN26" t="s">
        <v>1382</v>
      </c>
      <c r="BO26" t="s">
        <v>1383</v>
      </c>
      <c r="BP26" t="s">
        <v>1128</v>
      </c>
      <c r="BQ26" t="s">
        <v>1129</v>
      </c>
      <c r="BR26" s="127">
        <v>933.52841435185189</v>
      </c>
      <c r="BS26" t="s">
        <v>1384</v>
      </c>
      <c r="BT26" t="s">
        <v>1385</v>
      </c>
      <c r="BU26" t="s">
        <v>1370</v>
      </c>
      <c r="BV26" t="s">
        <v>1358</v>
      </c>
      <c r="BW26" t="s">
        <v>1359</v>
      </c>
      <c r="BX26" t="s">
        <v>1360</v>
      </c>
      <c r="BY26" t="s">
        <v>1361</v>
      </c>
      <c r="BZ26" t="s">
        <v>346</v>
      </c>
      <c r="CA26" t="s">
        <v>262</v>
      </c>
      <c r="CC26" s="128"/>
      <c r="CE26" s="128"/>
      <c r="CG26" s="128"/>
      <c r="CI26" s="128"/>
      <c r="CK26" s="128"/>
      <c r="CM26" s="128"/>
      <c r="CO26" s="128"/>
      <c r="CT26" s="128"/>
      <c r="CV26" s="128"/>
    </row>
    <row r="27" spans="1:100" ht="247">
      <c r="A27" t="s">
        <v>1396</v>
      </c>
      <c r="B27" s="128">
        <v>44346</v>
      </c>
      <c r="C27" t="s">
        <v>1395</v>
      </c>
      <c r="D27" t="s">
        <v>364</v>
      </c>
      <c r="E27" t="s">
        <v>1101</v>
      </c>
      <c r="F27" t="s">
        <v>1102</v>
      </c>
      <c r="G27" t="s">
        <v>389</v>
      </c>
      <c r="H27" t="s">
        <v>1336</v>
      </c>
      <c r="I27" t="s">
        <v>14</v>
      </c>
      <c r="J27" t="s">
        <v>1116</v>
      </c>
      <c r="K27" t="s">
        <v>98</v>
      </c>
      <c r="L27" t="s">
        <v>1337</v>
      </c>
      <c r="M27" t="s">
        <v>346</v>
      </c>
      <c r="N27" s="99" t="s">
        <v>1397</v>
      </c>
      <c r="O27" t="s">
        <v>1398</v>
      </c>
      <c r="P27" t="s">
        <v>1399</v>
      </c>
      <c r="Q27" s="128"/>
      <c r="R27" s="128">
        <v>44436</v>
      </c>
      <c r="S27" t="s">
        <v>1400</v>
      </c>
      <c r="T27" s="128"/>
      <c r="U27">
        <v>0</v>
      </c>
      <c r="V27">
        <v>0</v>
      </c>
      <c r="W27" t="s">
        <v>262</v>
      </c>
      <c r="X27" t="s">
        <v>1401</v>
      </c>
      <c r="AA27" t="s">
        <v>5</v>
      </c>
      <c r="AB27" t="s">
        <v>1402</v>
      </c>
      <c r="AC27" s="128">
        <v>44347</v>
      </c>
      <c r="AD27" t="s">
        <v>349</v>
      </c>
      <c r="AE27" t="s">
        <v>1180</v>
      </c>
      <c r="AF27" t="s">
        <v>1103</v>
      </c>
      <c r="AG27" t="s">
        <v>0</v>
      </c>
      <c r="AH27">
        <v>1</v>
      </c>
      <c r="AI27" t="b">
        <v>0</v>
      </c>
      <c r="AK27" t="b">
        <v>0</v>
      </c>
      <c r="AM27" t="b">
        <v>0</v>
      </c>
      <c r="AN27" t="b">
        <v>0</v>
      </c>
      <c r="AO27" t="b">
        <v>0</v>
      </c>
      <c r="AP27" t="b">
        <v>0</v>
      </c>
      <c r="AQ27" t="b">
        <v>0</v>
      </c>
      <c r="AR27" t="b">
        <v>0</v>
      </c>
      <c r="AS27" t="b">
        <v>0</v>
      </c>
      <c r="AT27" t="s">
        <v>1403</v>
      </c>
      <c r="AU27">
        <v>9830288</v>
      </c>
      <c r="AV27" t="s">
        <v>734</v>
      </c>
      <c r="AW27" t="s">
        <v>943</v>
      </c>
      <c r="AX27" s="128">
        <v>44509</v>
      </c>
      <c r="AY27" t="s">
        <v>1132</v>
      </c>
      <c r="AZ27" t="s">
        <v>14</v>
      </c>
      <c r="BA27" t="s">
        <v>98</v>
      </c>
      <c r="BB27" t="s">
        <v>402</v>
      </c>
      <c r="BD27" t="s">
        <v>756</v>
      </c>
      <c r="BG27" s="128"/>
      <c r="BH27" t="b">
        <v>0</v>
      </c>
      <c r="BK27" t="s">
        <v>1120</v>
      </c>
      <c r="CC27" s="128"/>
      <c r="CE27" s="128"/>
      <c r="CG27" s="128"/>
      <c r="CI27" s="128"/>
      <c r="CK27" s="128"/>
      <c r="CM27" s="128"/>
      <c r="CO27" s="128"/>
      <c r="CT27" s="128"/>
      <c r="CV27" s="128"/>
    </row>
    <row r="28" spans="1:100" ht="409.5">
      <c r="A28" t="s">
        <v>1405</v>
      </c>
      <c r="B28" s="128">
        <v>44386</v>
      </c>
      <c r="C28" t="s">
        <v>1404</v>
      </c>
      <c r="D28" t="s">
        <v>364</v>
      </c>
      <c r="E28" t="s">
        <v>1101</v>
      </c>
      <c r="F28" t="s">
        <v>1102</v>
      </c>
      <c r="G28" t="s">
        <v>390</v>
      </c>
      <c r="H28" t="s">
        <v>1406</v>
      </c>
      <c r="I28" t="s">
        <v>12</v>
      </c>
      <c r="J28" t="s">
        <v>1118</v>
      </c>
      <c r="K28" t="s">
        <v>177</v>
      </c>
      <c r="L28" t="s">
        <v>1119</v>
      </c>
      <c r="M28" t="s">
        <v>346</v>
      </c>
      <c r="N28" t="s">
        <v>1407</v>
      </c>
      <c r="O28" s="99" t="s">
        <v>1408</v>
      </c>
      <c r="P28" s="99" t="s">
        <v>1409</v>
      </c>
      <c r="Q28" s="128">
        <v>44387</v>
      </c>
      <c r="R28" s="128">
        <v>44476</v>
      </c>
      <c r="S28" t="s">
        <v>1410</v>
      </c>
      <c r="T28" s="128">
        <v>44452</v>
      </c>
      <c r="U28">
        <v>0</v>
      </c>
      <c r="V28">
        <v>0</v>
      </c>
      <c r="W28" t="s">
        <v>262</v>
      </c>
      <c r="X28" t="s">
        <v>1411</v>
      </c>
      <c r="AA28" t="s">
        <v>167</v>
      </c>
      <c r="AB28" t="s">
        <v>1412</v>
      </c>
      <c r="AC28" s="128">
        <v>44452</v>
      </c>
      <c r="AD28" t="s">
        <v>349</v>
      </c>
      <c r="AE28" t="s">
        <v>1180</v>
      </c>
      <c r="AF28" t="s">
        <v>1103</v>
      </c>
      <c r="AG28" t="s">
        <v>0</v>
      </c>
      <c r="AH28">
        <v>1</v>
      </c>
      <c r="AI28" t="b">
        <v>0</v>
      </c>
      <c r="AK28" t="b">
        <v>0</v>
      </c>
      <c r="AM28" t="b">
        <v>0</v>
      </c>
      <c r="AN28" t="b">
        <v>1</v>
      </c>
      <c r="AO28" t="b">
        <v>0</v>
      </c>
      <c r="AP28" t="b">
        <v>0</v>
      </c>
      <c r="AQ28" t="b">
        <v>0</v>
      </c>
      <c r="AR28" t="b">
        <v>0</v>
      </c>
      <c r="AS28" t="b">
        <v>0</v>
      </c>
      <c r="AT28" t="s">
        <v>1414</v>
      </c>
      <c r="AU28">
        <v>9830288</v>
      </c>
      <c r="AV28" t="s">
        <v>734</v>
      </c>
      <c r="AW28" t="s">
        <v>943</v>
      </c>
      <c r="AX28" s="128">
        <v>44509</v>
      </c>
      <c r="AY28" t="s">
        <v>1132</v>
      </c>
      <c r="AZ28" t="s">
        <v>12</v>
      </c>
      <c r="BA28" t="s">
        <v>177</v>
      </c>
      <c r="BB28" t="s">
        <v>43</v>
      </c>
      <c r="BD28" t="s">
        <v>756</v>
      </c>
      <c r="BG28" s="128"/>
      <c r="BH28" t="b">
        <v>0</v>
      </c>
      <c r="BI28" t="s">
        <v>1413</v>
      </c>
      <c r="BK28" t="s">
        <v>1120</v>
      </c>
      <c r="CC28" s="128"/>
      <c r="CE28" s="128"/>
      <c r="CG28" s="128"/>
      <c r="CI28" s="128"/>
      <c r="CK28" s="128"/>
      <c r="CM28" s="128"/>
      <c r="CO28" s="128"/>
      <c r="CT28" s="128"/>
      <c r="CV28" s="128"/>
    </row>
    <row r="29" spans="1:100" ht="409.5">
      <c r="A29" t="s">
        <v>1416</v>
      </c>
      <c r="B29" s="128">
        <v>44392</v>
      </c>
      <c r="C29" t="s">
        <v>1415</v>
      </c>
      <c r="D29" t="s">
        <v>364</v>
      </c>
      <c r="E29" t="s">
        <v>1101</v>
      </c>
      <c r="F29" t="s">
        <v>1102</v>
      </c>
      <c r="G29" t="s">
        <v>390</v>
      </c>
      <c r="H29" t="s">
        <v>1406</v>
      </c>
      <c r="I29" t="s">
        <v>14</v>
      </c>
      <c r="J29" t="s">
        <v>1116</v>
      </c>
      <c r="K29" t="s">
        <v>98</v>
      </c>
      <c r="L29" t="s">
        <v>1337</v>
      </c>
      <c r="M29" t="s">
        <v>341</v>
      </c>
      <c r="N29" s="99" t="s">
        <v>1417</v>
      </c>
      <c r="O29" s="99" t="s">
        <v>1418</v>
      </c>
      <c r="P29" t="s">
        <v>1419</v>
      </c>
      <c r="Q29" s="128">
        <v>44393</v>
      </c>
      <c r="R29" s="128">
        <v>44482</v>
      </c>
      <c r="S29" t="s">
        <v>499</v>
      </c>
      <c r="T29" s="128">
        <v>44393</v>
      </c>
      <c r="U29">
        <v>0</v>
      </c>
      <c r="V29">
        <v>0.8</v>
      </c>
      <c r="W29" t="s">
        <v>262</v>
      </c>
      <c r="X29" t="s">
        <v>1421</v>
      </c>
      <c r="AA29" t="s">
        <v>5</v>
      </c>
      <c r="AB29" t="s">
        <v>1422</v>
      </c>
      <c r="AC29" s="128">
        <v>44392</v>
      </c>
      <c r="AD29" t="s">
        <v>349</v>
      </c>
      <c r="AE29" t="s">
        <v>1180</v>
      </c>
      <c r="AF29" t="s">
        <v>1103</v>
      </c>
      <c r="AG29" t="s">
        <v>0</v>
      </c>
      <c r="AH29">
        <v>1</v>
      </c>
      <c r="AI29" t="b">
        <v>1</v>
      </c>
      <c r="AJ29">
        <v>0.8</v>
      </c>
      <c r="AK29" t="b">
        <v>0</v>
      </c>
      <c r="AM29" t="b">
        <v>0</v>
      </c>
      <c r="AN29" t="b">
        <v>0</v>
      </c>
      <c r="AO29" t="b">
        <v>0</v>
      </c>
      <c r="AP29" t="b">
        <v>0</v>
      </c>
      <c r="AQ29" t="b">
        <v>0</v>
      </c>
      <c r="AR29" t="b">
        <v>0</v>
      </c>
      <c r="AS29" t="b">
        <v>0</v>
      </c>
      <c r="AT29" t="s">
        <v>1423</v>
      </c>
      <c r="AU29">
        <v>9830288</v>
      </c>
      <c r="AV29" t="s">
        <v>734</v>
      </c>
      <c r="AW29" t="s">
        <v>943</v>
      </c>
      <c r="AX29" s="128">
        <v>44509</v>
      </c>
      <c r="AY29" t="s">
        <v>1132</v>
      </c>
      <c r="AZ29" t="s">
        <v>14</v>
      </c>
      <c r="BA29" t="s">
        <v>98</v>
      </c>
      <c r="BB29" t="s">
        <v>43</v>
      </c>
      <c r="BD29" t="s">
        <v>756</v>
      </c>
      <c r="BG29" s="128"/>
      <c r="BH29" t="b">
        <v>0</v>
      </c>
      <c r="BI29" t="s">
        <v>499</v>
      </c>
      <c r="BK29" t="s">
        <v>1120</v>
      </c>
      <c r="CC29" s="128"/>
      <c r="CE29" s="128"/>
      <c r="CG29" s="128"/>
      <c r="CI29" s="128"/>
      <c r="CK29" s="128"/>
      <c r="CM29" s="128"/>
      <c r="CO29" s="128"/>
      <c r="CT29" s="128"/>
      <c r="CV29" s="128"/>
    </row>
    <row r="30" spans="1:100">
      <c r="A30" t="s">
        <v>1425</v>
      </c>
      <c r="B30" s="128">
        <v>44396</v>
      </c>
      <c r="C30" t="s">
        <v>1424</v>
      </c>
      <c r="D30" t="s">
        <v>364</v>
      </c>
      <c r="E30" t="s">
        <v>1101</v>
      </c>
      <c r="F30" t="s">
        <v>1102</v>
      </c>
      <c r="G30" t="s">
        <v>390</v>
      </c>
      <c r="H30" t="s">
        <v>1426</v>
      </c>
      <c r="I30" t="s">
        <v>17</v>
      </c>
      <c r="J30" t="s">
        <v>1117</v>
      </c>
      <c r="K30" t="s">
        <v>126</v>
      </c>
      <c r="L30" t="s">
        <v>1131</v>
      </c>
      <c r="M30" t="s">
        <v>346</v>
      </c>
      <c r="N30" t="s">
        <v>1427</v>
      </c>
      <c r="O30" t="s">
        <v>1428</v>
      </c>
      <c r="P30" t="s">
        <v>1429</v>
      </c>
      <c r="Q30" s="128">
        <v>44396</v>
      </c>
      <c r="R30" s="128">
        <v>44486</v>
      </c>
      <c r="S30" t="s">
        <v>1430</v>
      </c>
      <c r="T30" s="128">
        <v>44502</v>
      </c>
      <c r="U30">
        <v>0</v>
      </c>
      <c r="V30">
        <v>0</v>
      </c>
      <c r="W30" t="s">
        <v>262</v>
      </c>
      <c r="X30" t="s">
        <v>1431</v>
      </c>
      <c r="AA30" t="s">
        <v>1</v>
      </c>
      <c r="AB30" t="s">
        <v>1549</v>
      </c>
      <c r="AC30" s="128">
        <v>44502</v>
      </c>
      <c r="AD30" t="s">
        <v>349</v>
      </c>
      <c r="AE30" t="s">
        <v>1180</v>
      </c>
      <c r="AF30" t="s">
        <v>1103</v>
      </c>
      <c r="AG30" t="s">
        <v>0</v>
      </c>
      <c r="AH30">
        <v>1</v>
      </c>
      <c r="AI30" t="b">
        <v>0</v>
      </c>
      <c r="AK30" t="b">
        <v>0</v>
      </c>
      <c r="AM30" t="b">
        <v>0</v>
      </c>
      <c r="AN30" t="b">
        <v>0</v>
      </c>
      <c r="AO30" t="b">
        <v>0</v>
      </c>
      <c r="AP30" t="b">
        <v>0</v>
      </c>
      <c r="AQ30" t="b">
        <v>0</v>
      </c>
      <c r="AR30" t="b">
        <v>0</v>
      </c>
      <c r="AS30" t="b">
        <v>0</v>
      </c>
      <c r="AT30" t="s">
        <v>1551</v>
      </c>
      <c r="AU30">
        <v>9830288</v>
      </c>
      <c r="AV30" t="s">
        <v>734</v>
      </c>
      <c r="AW30" t="s">
        <v>943</v>
      </c>
      <c r="AX30" s="128">
        <v>44509</v>
      </c>
      <c r="AY30" t="s">
        <v>1132</v>
      </c>
      <c r="AZ30" t="s">
        <v>17</v>
      </c>
      <c r="BA30" t="s">
        <v>126</v>
      </c>
      <c r="BB30" t="s">
        <v>43</v>
      </c>
      <c r="BD30" t="s">
        <v>756</v>
      </c>
      <c r="BF30" t="s">
        <v>574</v>
      </c>
      <c r="BG30" s="128">
        <v>44479</v>
      </c>
      <c r="BH30" t="b">
        <v>0</v>
      </c>
      <c r="BI30" t="s">
        <v>1432</v>
      </c>
      <c r="BJ30" t="s">
        <v>1550</v>
      </c>
      <c r="BK30" t="s">
        <v>1104</v>
      </c>
      <c r="CC30" s="128"/>
      <c r="CE30" s="128"/>
      <c r="CG30" s="128"/>
      <c r="CI30" s="128"/>
      <c r="CK30" s="128"/>
      <c r="CM30" s="128"/>
      <c r="CO30" s="128"/>
      <c r="CT30" s="128"/>
      <c r="CV30" s="128"/>
    </row>
    <row r="31" spans="1:100">
      <c r="A31" t="s">
        <v>1434</v>
      </c>
      <c r="B31" s="128">
        <v>44431</v>
      </c>
      <c r="C31" t="s">
        <v>1433</v>
      </c>
      <c r="D31" t="s">
        <v>364</v>
      </c>
      <c r="E31" t="s">
        <v>1101</v>
      </c>
      <c r="F31" t="s">
        <v>1102</v>
      </c>
      <c r="G31" t="s">
        <v>390</v>
      </c>
      <c r="H31" t="s">
        <v>1406</v>
      </c>
      <c r="I31" t="s">
        <v>17</v>
      </c>
      <c r="J31" t="s">
        <v>1117</v>
      </c>
      <c r="K31" t="s">
        <v>129</v>
      </c>
      <c r="L31" t="s">
        <v>1435</v>
      </c>
      <c r="M31" t="s">
        <v>346</v>
      </c>
      <c r="N31" t="s">
        <v>1436</v>
      </c>
      <c r="O31" t="s">
        <v>1437</v>
      </c>
      <c r="P31" t="s">
        <v>1438</v>
      </c>
      <c r="Q31" s="128">
        <v>44431</v>
      </c>
      <c r="R31" s="128">
        <v>44521</v>
      </c>
      <c r="S31" t="s">
        <v>1439</v>
      </c>
      <c r="T31" s="128">
        <v>44463</v>
      </c>
      <c r="U31">
        <v>0</v>
      </c>
      <c r="V31">
        <v>0</v>
      </c>
      <c r="W31" t="s">
        <v>262</v>
      </c>
      <c r="X31" t="s">
        <v>1440</v>
      </c>
      <c r="AA31" t="s">
        <v>1</v>
      </c>
      <c r="AB31" t="s">
        <v>1441</v>
      </c>
      <c r="AC31" s="128">
        <v>44468</v>
      </c>
      <c r="AD31" t="s">
        <v>349</v>
      </c>
      <c r="AE31" t="s">
        <v>1442</v>
      </c>
      <c r="AF31" t="s">
        <v>1103</v>
      </c>
      <c r="AG31" t="s">
        <v>0</v>
      </c>
      <c r="AH31">
        <v>1</v>
      </c>
      <c r="AI31" t="b">
        <v>0</v>
      </c>
      <c r="AK31" t="b">
        <v>0</v>
      </c>
      <c r="AM31" t="b">
        <v>0</v>
      </c>
      <c r="AN31" t="b">
        <v>0</v>
      </c>
      <c r="AO31" t="b">
        <v>0</v>
      </c>
      <c r="AP31" t="b">
        <v>0</v>
      </c>
      <c r="AQ31" t="b">
        <v>0</v>
      </c>
      <c r="AR31" t="b">
        <v>0</v>
      </c>
      <c r="AS31" t="b">
        <v>0</v>
      </c>
      <c r="AT31" t="s">
        <v>1444</v>
      </c>
      <c r="AU31">
        <v>9830288</v>
      </c>
      <c r="AV31" t="s">
        <v>734</v>
      </c>
      <c r="AW31" t="s">
        <v>943</v>
      </c>
      <c r="AX31" s="128">
        <v>44509</v>
      </c>
      <c r="AY31" t="s">
        <v>1132</v>
      </c>
      <c r="AZ31" t="s">
        <v>17</v>
      </c>
      <c r="BA31" t="s">
        <v>129</v>
      </c>
      <c r="BB31" t="s">
        <v>43</v>
      </c>
      <c r="BD31" t="s">
        <v>756</v>
      </c>
      <c r="BG31" s="128"/>
      <c r="BH31" t="b">
        <v>0</v>
      </c>
      <c r="BI31" t="s">
        <v>1443</v>
      </c>
      <c r="BK31" t="s">
        <v>1120</v>
      </c>
      <c r="CC31" s="128"/>
      <c r="CE31" s="128"/>
      <c r="CG31" s="128"/>
      <c r="CI31" s="128"/>
      <c r="CK31" s="128"/>
      <c r="CM31" s="128"/>
      <c r="CO31" s="128"/>
      <c r="CT31" s="128"/>
      <c r="CV31" s="128"/>
    </row>
    <row r="32" spans="1:100" ht="409.5">
      <c r="A32" t="s">
        <v>1446</v>
      </c>
      <c r="B32" s="128">
        <v>44398</v>
      </c>
      <c r="C32" t="s">
        <v>1445</v>
      </c>
      <c r="D32" t="s">
        <v>364</v>
      </c>
      <c r="E32" t="s">
        <v>1101</v>
      </c>
      <c r="F32" t="s">
        <v>1102</v>
      </c>
      <c r="G32" t="s">
        <v>389</v>
      </c>
      <c r="H32" t="s">
        <v>1447</v>
      </c>
      <c r="I32" t="s">
        <v>13</v>
      </c>
      <c r="J32" t="s">
        <v>1105</v>
      </c>
      <c r="K32" t="s">
        <v>83</v>
      </c>
      <c r="L32" t="s">
        <v>1106</v>
      </c>
      <c r="M32" t="s">
        <v>346</v>
      </c>
      <c r="N32" t="s">
        <v>1448</v>
      </c>
      <c r="O32" t="s">
        <v>1449</v>
      </c>
      <c r="P32" s="99" t="s">
        <v>1450</v>
      </c>
      <c r="Q32" s="128">
        <v>44399</v>
      </c>
      <c r="R32" s="128">
        <v>44488</v>
      </c>
      <c r="S32" t="s">
        <v>1451</v>
      </c>
      <c r="T32" s="128">
        <v>44503</v>
      </c>
      <c r="U32">
        <v>0</v>
      </c>
      <c r="V32">
        <v>0</v>
      </c>
      <c r="W32" t="s">
        <v>262</v>
      </c>
      <c r="X32" t="s">
        <v>1452</v>
      </c>
      <c r="AA32" t="s">
        <v>2</v>
      </c>
      <c r="AB32" t="s">
        <v>1552</v>
      </c>
      <c r="AC32" s="128">
        <v>44503</v>
      </c>
      <c r="AD32" t="s">
        <v>349</v>
      </c>
      <c r="AE32" t="s">
        <v>1180</v>
      </c>
      <c r="AF32" t="s">
        <v>1103</v>
      </c>
      <c r="AG32" t="s">
        <v>0</v>
      </c>
      <c r="AH32">
        <v>1</v>
      </c>
      <c r="AI32" t="b">
        <v>0</v>
      </c>
      <c r="AK32" t="b">
        <v>0</v>
      </c>
      <c r="AM32" t="b">
        <v>0</v>
      </c>
      <c r="AN32" t="b">
        <v>0</v>
      </c>
      <c r="AO32" t="b">
        <v>0</v>
      </c>
      <c r="AP32" t="b">
        <v>0</v>
      </c>
      <c r="AQ32" t="b">
        <v>0</v>
      </c>
      <c r="AR32" t="b">
        <v>0</v>
      </c>
      <c r="AS32" t="b">
        <v>0</v>
      </c>
      <c r="AT32" t="s">
        <v>1554</v>
      </c>
      <c r="AU32">
        <v>9830288</v>
      </c>
      <c r="AV32" t="s">
        <v>734</v>
      </c>
      <c r="AW32" t="s">
        <v>943</v>
      </c>
      <c r="AX32" s="128">
        <v>44509</v>
      </c>
      <c r="AY32" t="s">
        <v>1132</v>
      </c>
      <c r="AZ32" t="s">
        <v>13</v>
      </c>
      <c r="BA32" t="s">
        <v>83</v>
      </c>
      <c r="BB32" t="s">
        <v>43</v>
      </c>
      <c r="BD32" t="s">
        <v>756</v>
      </c>
      <c r="BF32" t="s">
        <v>574</v>
      </c>
      <c r="BG32" s="128">
        <v>44484</v>
      </c>
      <c r="BH32" t="b">
        <v>0</v>
      </c>
      <c r="BI32" t="s">
        <v>1443</v>
      </c>
      <c r="BJ32" t="s">
        <v>1553</v>
      </c>
      <c r="BK32" t="s">
        <v>1104</v>
      </c>
      <c r="CC32" s="128"/>
      <c r="CE32" s="128"/>
      <c r="CG32" s="128"/>
      <c r="CI32" s="128"/>
      <c r="CK32" s="128"/>
      <c r="CM32" s="128"/>
      <c r="CO32" s="128"/>
      <c r="CT32" s="128"/>
      <c r="CV32" s="128"/>
    </row>
    <row r="33" spans="1:100" ht="351">
      <c r="A33" t="s">
        <v>1454</v>
      </c>
      <c r="B33" s="128">
        <v>44431</v>
      </c>
      <c r="C33" t="s">
        <v>1453</v>
      </c>
      <c r="D33" t="s">
        <v>364</v>
      </c>
      <c r="E33" t="s">
        <v>1101</v>
      </c>
      <c r="F33" t="s">
        <v>1102</v>
      </c>
      <c r="G33" t="s">
        <v>389</v>
      </c>
      <c r="H33" t="s">
        <v>1447</v>
      </c>
      <c r="I33" t="s">
        <v>10</v>
      </c>
      <c r="J33" t="s">
        <v>1112</v>
      </c>
      <c r="K33" t="s">
        <v>80</v>
      </c>
      <c r="L33" t="s">
        <v>1113</v>
      </c>
      <c r="M33" t="s">
        <v>346</v>
      </c>
      <c r="N33" t="s">
        <v>1455</v>
      </c>
      <c r="O33" t="s">
        <v>1456</v>
      </c>
      <c r="P33" s="99" t="s">
        <v>1457</v>
      </c>
      <c r="Q33" s="128">
        <v>44431</v>
      </c>
      <c r="R33" s="128">
        <v>44521</v>
      </c>
      <c r="S33" t="s">
        <v>1603</v>
      </c>
      <c r="T33" s="128">
        <v>44532</v>
      </c>
      <c r="U33">
        <v>0</v>
      </c>
      <c r="V33">
        <v>0</v>
      </c>
      <c r="W33" t="s">
        <v>262</v>
      </c>
      <c r="X33" t="s">
        <v>1555</v>
      </c>
      <c r="AA33" t="s">
        <v>1</v>
      </c>
      <c r="AB33" t="s">
        <v>1814</v>
      </c>
      <c r="AC33" s="128">
        <v>44532</v>
      </c>
      <c r="AD33" t="s">
        <v>349</v>
      </c>
      <c r="AE33" t="s">
        <v>1815</v>
      </c>
      <c r="AF33" t="s">
        <v>1103</v>
      </c>
      <c r="AG33" t="s">
        <v>0</v>
      </c>
      <c r="AH33">
        <v>1</v>
      </c>
      <c r="AI33" t="b">
        <v>0</v>
      </c>
      <c r="AK33" t="b">
        <v>0</v>
      </c>
      <c r="AM33" t="b">
        <v>0</v>
      </c>
      <c r="AN33" t="b">
        <v>0</v>
      </c>
      <c r="AO33" t="b">
        <v>0</v>
      </c>
      <c r="AP33" t="b">
        <v>0</v>
      </c>
      <c r="AQ33" t="b">
        <v>0</v>
      </c>
      <c r="AR33" t="b">
        <v>0</v>
      </c>
      <c r="AS33" t="b">
        <v>0</v>
      </c>
      <c r="AT33" t="s">
        <v>1825</v>
      </c>
      <c r="AU33">
        <v>9830288</v>
      </c>
      <c r="AV33" t="s">
        <v>734</v>
      </c>
      <c r="AW33" t="s">
        <v>943</v>
      </c>
      <c r="AX33" s="128">
        <v>44618</v>
      </c>
      <c r="AY33" t="s">
        <v>1586</v>
      </c>
      <c r="AZ33" t="s">
        <v>10</v>
      </c>
      <c r="BA33" t="s">
        <v>80</v>
      </c>
      <c r="BB33" t="s">
        <v>41</v>
      </c>
      <c r="BD33" t="s">
        <v>757</v>
      </c>
      <c r="BF33" t="s">
        <v>575</v>
      </c>
      <c r="BG33" s="128">
        <v>44550</v>
      </c>
      <c r="BH33" t="b">
        <v>0</v>
      </c>
      <c r="BJ33" t="s">
        <v>1824</v>
      </c>
      <c r="BK33" t="s">
        <v>1104</v>
      </c>
      <c r="CC33" s="128"/>
      <c r="CE33" s="128"/>
      <c r="CG33" s="128"/>
      <c r="CI33" s="128"/>
      <c r="CK33" s="128"/>
      <c r="CM33" s="128"/>
      <c r="CO33" s="128"/>
      <c r="CT33" s="128"/>
      <c r="CV33" s="128"/>
    </row>
    <row r="34" spans="1:100" ht="351">
      <c r="A34" t="s">
        <v>1459</v>
      </c>
      <c r="B34" s="128">
        <v>44434</v>
      </c>
      <c r="C34" t="s">
        <v>1458</v>
      </c>
      <c r="D34" t="s">
        <v>364</v>
      </c>
      <c r="E34" t="s">
        <v>1101</v>
      </c>
      <c r="F34" t="s">
        <v>1102</v>
      </c>
      <c r="G34" t="s">
        <v>389</v>
      </c>
      <c r="H34" t="s">
        <v>1447</v>
      </c>
      <c r="I34" t="s">
        <v>10</v>
      </c>
      <c r="J34" t="s">
        <v>1112</v>
      </c>
      <c r="K34" t="s">
        <v>80</v>
      </c>
      <c r="L34" t="s">
        <v>1113</v>
      </c>
      <c r="M34" t="s">
        <v>346</v>
      </c>
      <c r="N34" t="s">
        <v>1460</v>
      </c>
      <c r="O34" t="s">
        <v>1456</v>
      </c>
      <c r="P34" s="99" t="s">
        <v>1457</v>
      </c>
      <c r="Q34" s="128">
        <v>44431</v>
      </c>
      <c r="R34" s="128">
        <v>44524</v>
      </c>
      <c r="S34" t="s">
        <v>1602</v>
      </c>
      <c r="T34" s="128">
        <v>44519</v>
      </c>
      <c r="U34">
        <v>0</v>
      </c>
      <c r="V34">
        <v>0</v>
      </c>
      <c r="W34" t="s">
        <v>262</v>
      </c>
      <c r="X34" t="s">
        <v>1556</v>
      </c>
      <c r="AA34" t="s">
        <v>1</v>
      </c>
      <c r="AB34" t="s">
        <v>1812</v>
      </c>
      <c r="AC34" s="128">
        <v>44519</v>
      </c>
      <c r="AD34" t="s">
        <v>349</v>
      </c>
      <c r="AE34" t="s">
        <v>1252</v>
      </c>
      <c r="AF34" t="s">
        <v>1103</v>
      </c>
      <c r="AG34" t="s">
        <v>0</v>
      </c>
      <c r="AH34">
        <v>1</v>
      </c>
      <c r="AI34" t="b">
        <v>0</v>
      </c>
      <c r="AK34" t="b">
        <v>0</v>
      </c>
      <c r="AM34" t="b">
        <v>0</v>
      </c>
      <c r="AN34" t="b">
        <v>0</v>
      </c>
      <c r="AO34" t="b">
        <v>0</v>
      </c>
      <c r="AP34" t="b">
        <v>0</v>
      </c>
      <c r="AQ34" t="b">
        <v>0</v>
      </c>
      <c r="AR34" t="b">
        <v>0</v>
      </c>
      <c r="AS34" t="b">
        <v>0</v>
      </c>
      <c r="AT34" t="s">
        <v>1813</v>
      </c>
      <c r="AU34">
        <v>9830288</v>
      </c>
      <c r="AV34" t="s">
        <v>734</v>
      </c>
      <c r="AW34" t="s">
        <v>943</v>
      </c>
      <c r="AX34" s="128">
        <v>44612</v>
      </c>
      <c r="AY34" t="s">
        <v>1586</v>
      </c>
      <c r="AZ34" t="s">
        <v>10</v>
      </c>
      <c r="BA34" t="s">
        <v>80</v>
      </c>
      <c r="BB34" t="s">
        <v>41</v>
      </c>
      <c r="BD34" t="s">
        <v>757</v>
      </c>
      <c r="BG34" s="128"/>
      <c r="BH34" t="b">
        <v>0</v>
      </c>
      <c r="BK34" t="s">
        <v>1120</v>
      </c>
      <c r="CC34" s="128"/>
      <c r="CE34" s="128"/>
      <c r="CG34" s="128"/>
      <c r="CI34" s="128"/>
      <c r="CK34" s="128"/>
      <c r="CM34" s="128"/>
      <c r="CO34" s="128"/>
      <c r="CT34" s="128"/>
      <c r="CV34" s="128"/>
    </row>
    <row r="35" spans="1:100" ht="299">
      <c r="A35" t="s">
        <v>1462</v>
      </c>
      <c r="B35" s="128">
        <v>44434</v>
      </c>
      <c r="C35" t="s">
        <v>1461</v>
      </c>
      <c r="D35" t="s">
        <v>364</v>
      </c>
      <c r="E35" t="s">
        <v>1101</v>
      </c>
      <c r="F35" t="s">
        <v>1102</v>
      </c>
      <c r="G35" t="s">
        <v>389</v>
      </c>
      <c r="H35" t="s">
        <v>1447</v>
      </c>
      <c r="I35" t="s">
        <v>13</v>
      </c>
      <c r="J35" t="s">
        <v>1105</v>
      </c>
      <c r="K35" t="s">
        <v>83</v>
      </c>
      <c r="L35" t="s">
        <v>1106</v>
      </c>
      <c r="M35" t="s">
        <v>346</v>
      </c>
      <c r="N35" t="s">
        <v>1463</v>
      </c>
      <c r="O35" t="s">
        <v>1464</v>
      </c>
      <c r="P35" s="99" t="s">
        <v>1465</v>
      </c>
      <c r="Q35" s="128">
        <v>44431</v>
      </c>
      <c r="R35" s="128">
        <v>44524</v>
      </c>
      <c r="S35" t="s">
        <v>1601</v>
      </c>
      <c r="T35" s="128">
        <v>44522</v>
      </c>
      <c r="U35">
        <v>0</v>
      </c>
      <c r="V35">
        <v>0</v>
      </c>
      <c r="W35" t="s">
        <v>262</v>
      </c>
      <c r="X35" t="s">
        <v>1556</v>
      </c>
      <c r="AA35" t="s">
        <v>1</v>
      </c>
      <c r="AB35" t="s">
        <v>1810</v>
      </c>
      <c r="AC35" s="128">
        <v>44522</v>
      </c>
      <c r="AD35" t="s">
        <v>349</v>
      </c>
      <c r="AE35" t="s">
        <v>1252</v>
      </c>
      <c r="AF35" t="s">
        <v>1103</v>
      </c>
      <c r="AG35" t="s">
        <v>0</v>
      </c>
      <c r="AH35">
        <v>1</v>
      </c>
      <c r="AI35" t="b">
        <v>0</v>
      </c>
      <c r="AK35" t="b">
        <v>0</v>
      </c>
      <c r="AM35" t="b">
        <v>0</v>
      </c>
      <c r="AN35" t="b">
        <v>0</v>
      </c>
      <c r="AO35" t="b">
        <v>0</v>
      </c>
      <c r="AP35" t="b">
        <v>0</v>
      </c>
      <c r="AQ35" t="b">
        <v>0</v>
      </c>
      <c r="AR35" t="b">
        <v>0</v>
      </c>
      <c r="AS35" t="b">
        <v>0</v>
      </c>
      <c r="AT35" t="s">
        <v>1811</v>
      </c>
      <c r="AU35">
        <v>9830288</v>
      </c>
      <c r="AV35" t="s">
        <v>734</v>
      </c>
      <c r="AW35" t="s">
        <v>943</v>
      </c>
      <c r="AX35" s="128">
        <v>44612</v>
      </c>
      <c r="AY35" t="s">
        <v>1586</v>
      </c>
      <c r="AZ35" t="s">
        <v>13</v>
      </c>
      <c r="BA35" t="s">
        <v>83</v>
      </c>
      <c r="BB35" t="s">
        <v>52</v>
      </c>
      <c r="BD35" t="s">
        <v>757</v>
      </c>
      <c r="BG35" s="128"/>
      <c r="BH35" t="b">
        <v>0</v>
      </c>
      <c r="BK35" t="s">
        <v>1120</v>
      </c>
      <c r="CC35" s="128"/>
      <c r="CE35" s="128"/>
      <c r="CG35" s="128"/>
      <c r="CI35" s="128"/>
      <c r="CK35" s="128"/>
      <c r="CM35" s="128"/>
      <c r="CO35" s="128"/>
      <c r="CT35" s="128"/>
      <c r="CV35" s="128"/>
    </row>
    <row r="36" spans="1:100" ht="299">
      <c r="A36" t="s">
        <v>1467</v>
      </c>
      <c r="B36" s="128">
        <v>44434</v>
      </c>
      <c r="C36" t="s">
        <v>1466</v>
      </c>
      <c r="D36" t="s">
        <v>364</v>
      </c>
      <c r="E36" t="s">
        <v>1101</v>
      </c>
      <c r="F36" t="s">
        <v>1102</v>
      </c>
      <c r="G36" t="s">
        <v>389</v>
      </c>
      <c r="H36" t="s">
        <v>1447</v>
      </c>
      <c r="I36" t="s">
        <v>13</v>
      </c>
      <c r="J36" t="s">
        <v>1105</v>
      </c>
      <c r="K36" t="s">
        <v>83</v>
      </c>
      <c r="L36" t="s">
        <v>1106</v>
      </c>
      <c r="M36" t="s">
        <v>346</v>
      </c>
      <c r="N36" t="s">
        <v>1468</v>
      </c>
      <c r="O36" t="s">
        <v>1464</v>
      </c>
      <c r="P36" s="99" t="s">
        <v>1465</v>
      </c>
      <c r="Q36" s="128">
        <v>44431</v>
      </c>
      <c r="R36" s="128">
        <v>44524</v>
      </c>
      <c r="S36" t="s">
        <v>1601</v>
      </c>
      <c r="T36" s="128">
        <v>44522</v>
      </c>
      <c r="U36">
        <v>0</v>
      </c>
      <c r="V36">
        <v>0</v>
      </c>
      <c r="W36" t="s">
        <v>262</v>
      </c>
      <c r="X36" t="s">
        <v>1557</v>
      </c>
      <c r="AA36" t="s">
        <v>1</v>
      </c>
      <c r="AB36" t="s">
        <v>1242</v>
      </c>
      <c r="AC36" s="128">
        <v>44522</v>
      </c>
      <c r="AD36" t="s">
        <v>349</v>
      </c>
      <c r="AE36" t="s">
        <v>1252</v>
      </c>
      <c r="AF36" t="s">
        <v>1103</v>
      </c>
      <c r="AG36" t="s">
        <v>0</v>
      </c>
      <c r="AH36">
        <v>1</v>
      </c>
      <c r="AI36" t="b">
        <v>0</v>
      </c>
      <c r="AK36" t="b">
        <v>0</v>
      </c>
      <c r="AM36" t="b">
        <v>0</v>
      </c>
      <c r="AN36" t="b">
        <v>0</v>
      </c>
      <c r="AO36" t="b">
        <v>0</v>
      </c>
      <c r="AP36" t="b">
        <v>0</v>
      </c>
      <c r="AQ36" t="b">
        <v>0</v>
      </c>
      <c r="AR36" t="b">
        <v>0</v>
      </c>
      <c r="AS36" t="b">
        <v>0</v>
      </c>
      <c r="AT36" t="s">
        <v>1809</v>
      </c>
      <c r="AU36">
        <v>9830288</v>
      </c>
      <c r="AV36" t="s">
        <v>734</v>
      </c>
      <c r="AW36" t="s">
        <v>943</v>
      </c>
      <c r="AX36" s="128">
        <v>44612</v>
      </c>
      <c r="AY36" t="s">
        <v>1586</v>
      </c>
      <c r="AZ36" t="s">
        <v>13</v>
      </c>
      <c r="BA36" t="s">
        <v>83</v>
      </c>
      <c r="BB36" t="s">
        <v>52</v>
      </c>
      <c r="BD36" t="s">
        <v>757</v>
      </c>
      <c r="BG36" s="128"/>
      <c r="BH36" t="b">
        <v>0</v>
      </c>
      <c r="BK36" t="s">
        <v>1120</v>
      </c>
      <c r="CC36" s="128"/>
      <c r="CE36" s="128"/>
      <c r="CG36" s="128"/>
      <c r="CI36" s="128"/>
      <c r="CK36" s="128"/>
      <c r="CM36" s="128"/>
      <c r="CO36" s="128"/>
      <c r="CT36" s="128"/>
      <c r="CV36" s="128"/>
    </row>
    <row r="37" spans="1:100">
      <c r="A37" t="s">
        <v>1470</v>
      </c>
      <c r="B37" s="128">
        <v>44454</v>
      </c>
      <c r="C37" t="s">
        <v>1469</v>
      </c>
      <c r="D37" t="s">
        <v>364</v>
      </c>
      <c r="E37" t="s">
        <v>1101</v>
      </c>
      <c r="F37" t="s">
        <v>1102</v>
      </c>
      <c r="G37" t="s">
        <v>389</v>
      </c>
      <c r="H37" t="s">
        <v>1447</v>
      </c>
      <c r="I37" t="s">
        <v>11</v>
      </c>
      <c r="J37" t="s">
        <v>1114</v>
      </c>
      <c r="K37" t="s">
        <v>81</v>
      </c>
      <c r="L37" t="s">
        <v>1115</v>
      </c>
      <c r="M37" t="s">
        <v>346</v>
      </c>
      <c r="N37" t="s">
        <v>1471</v>
      </c>
      <c r="O37" t="s">
        <v>1472</v>
      </c>
      <c r="P37" t="s">
        <v>1473</v>
      </c>
      <c r="Q37" s="128">
        <v>44314</v>
      </c>
      <c r="R37" s="128">
        <v>44544</v>
      </c>
      <c r="S37" t="s">
        <v>1604</v>
      </c>
      <c r="T37" s="128">
        <v>44538</v>
      </c>
      <c r="U37">
        <v>0</v>
      </c>
      <c r="V37">
        <v>0</v>
      </c>
      <c r="W37" t="s">
        <v>262</v>
      </c>
      <c r="X37" t="s">
        <v>1572</v>
      </c>
      <c r="AA37" t="s">
        <v>4</v>
      </c>
      <c r="AB37" t="s">
        <v>1242</v>
      </c>
      <c r="AC37" s="128">
        <v>44538</v>
      </c>
      <c r="AD37" t="s">
        <v>349</v>
      </c>
      <c r="AF37" t="s">
        <v>1103</v>
      </c>
      <c r="AG37" t="s">
        <v>0</v>
      </c>
      <c r="AH37">
        <v>1</v>
      </c>
      <c r="AI37" t="b">
        <v>0</v>
      </c>
      <c r="AK37" t="b">
        <v>0</v>
      </c>
      <c r="AM37" t="b">
        <v>0</v>
      </c>
      <c r="AN37" t="b">
        <v>0</v>
      </c>
      <c r="AO37" t="b">
        <v>0</v>
      </c>
      <c r="AP37" t="b">
        <v>0</v>
      </c>
      <c r="AQ37" t="b">
        <v>0</v>
      </c>
      <c r="AR37" t="b">
        <v>0</v>
      </c>
      <c r="AS37" t="b">
        <v>0</v>
      </c>
      <c r="AT37" t="s">
        <v>1808</v>
      </c>
      <c r="AU37">
        <v>9830288</v>
      </c>
      <c r="AV37" t="s">
        <v>734</v>
      </c>
      <c r="AW37" t="s">
        <v>943</v>
      </c>
      <c r="AX37" s="128">
        <v>44612</v>
      </c>
      <c r="AY37" t="s">
        <v>1586</v>
      </c>
      <c r="AZ37" t="s">
        <v>11</v>
      </c>
      <c r="BA37" t="s">
        <v>81</v>
      </c>
      <c r="BB37" t="s">
        <v>35</v>
      </c>
      <c r="BD37" t="s">
        <v>28</v>
      </c>
      <c r="BG37" s="128"/>
      <c r="BH37" t="b">
        <v>0</v>
      </c>
      <c r="BI37" t="s">
        <v>1600</v>
      </c>
      <c r="BK37" t="s">
        <v>1120</v>
      </c>
      <c r="CC37" s="128"/>
      <c r="CE37" s="128"/>
      <c r="CG37" s="128"/>
      <c r="CI37" s="128"/>
      <c r="CK37" s="128"/>
      <c r="CM37" s="128"/>
      <c r="CO37" s="128"/>
      <c r="CT37" s="128"/>
      <c r="CV37" s="128"/>
    </row>
    <row r="38" spans="1:100">
      <c r="A38" t="s">
        <v>1475</v>
      </c>
      <c r="B38" s="128">
        <v>44456</v>
      </c>
      <c r="C38" t="s">
        <v>1474</v>
      </c>
      <c r="D38" t="s">
        <v>364</v>
      </c>
      <c r="E38" t="s">
        <v>1101</v>
      </c>
      <c r="F38" t="s">
        <v>1102</v>
      </c>
      <c r="G38" t="s">
        <v>390</v>
      </c>
      <c r="H38" t="s">
        <v>1406</v>
      </c>
      <c r="I38" t="s">
        <v>582</v>
      </c>
      <c r="J38" t="s">
        <v>1110</v>
      </c>
      <c r="K38" t="s">
        <v>65</v>
      </c>
      <c r="L38" t="s">
        <v>1124</v>
      </c>
      <c r="M38" t="s">
        <v>346</v>
      </c>
      <c r="N38" t="s">
        <v>1476</v>
      </c>
      <c r="O38" t="s">
        <v>1477</v>
      </c>
      <c r="P38" t="s">
        <v>1478</v>
      </c>
      <c r="Q38" s="128">
        <v>44459</v>
      </c>
      <c r="R38" s="128">
        <v>44546</v>
      </c>
      <c r="S38" t="s">
        <v>1479</v>
      </c>
      <c r="T38" s="128">
        <v>44462</v>
      </c>
      <c r="U38">
        <v>0</v>
      </c>
      <c r="V38">
        <v>0</v>
      </c>
      <c r="W38" t="s">
        <v>262</v>
      </c>
      <c r="X38" t="s">
        <v>1480</v>
      </c>
      <c r="AA38" t="s">
        <v>167</v>
      </c>
      <c r="AB38" t="s">
        <v>1481</v>
      </c>
      <c r="AC38" s="128">
        <v>44468</v>
      </c>
      <c r="AD38" t="s">
        <v>349</v>
      </c>
      <c r="AE38" t="s">
        <v>1180</v>
      </c>
      <c r="AF38" t="s">
        <v>1103</v>
      </c>
      <c r="AG38" t="s">
        <v>0</v>
      </c>
      <c r="AH38">
        <v>1</v>
      </c>
      <c r="AI38" t="b">
        <v>0</v>
      </c>
      <c r="AK38" t="b">
        <v>0</v>
      </c>
      <c r="AM38" t="b">
        <v>0</v>
      </c>
      <c r="AN38" t="b">
        <v>0</v>
      </c>
      <c r="AO38" t="b">
        <v>0</v>
      </c>
      <c r="AP38" t="b">
        <v>0</v>
      </c>
      <c r="AQ38" t="b">
        <v>0</v>
      </c>
      <c r="AR38" t="b">
        <v>0</v>
      </c>
      <c r="AS38" t="b">
        <v>0</v>
      </c>
      <c r="AT38" t="s">
        <v>1482</v>
      </c>
      <c r="AU38">
        <v>9830288</v>
      </c>
      <c r="AV38" t="s">
        <v>734</v>
      </c>
      <c r="AW38" t="s">
        <v>943</v>
      </c>
      <c r="AX38" s="128">
        <v>44509</v>
      </c>
      <c r="AY38" t="s">
        <v>1132</v>
      </c>
      <c r="AZ38" t="s">
        <v>582</v>
      </c>
      <c r="BA38" t="s">
        <v>65</v>
      </c>
      <c r="BB38" t="s">
        <v>40</v>
      </c>
      <c r="BD38" t="s">
        <v>30</v>
      </c>
      <c r="BG38" s="128"/>
      <c r="BH38" t="b">
        <v>0</v>
      </c>
      <c r="BI38" t="s">
        <v>499</v>
      </c>
      <c r="BK38" t="s">
        <v>1120</v>
      </c>
      <c r="CC38" s="128"/>
      <c r="CE38" s="128"/>
      <c r="CG38" s="128"/>
      <c r="CI38" s="128"/>
      <c r="CK38" s="128"/>
      <c r="CM38" s="128"/>
      <c r="CO38" s="128"/>
      <c r="CT38" s="128"/>
      <c r="CV38" s="128"/>
    </row>
    <row r="39" spans="1:100" ht="409.5">
      <c r="A39" t="s">
        <v>1484</v>
      </c>
      <c r="B39" s="128">
        <v>44471</v>
      </c>
      <c r="C39" t="s">
        <v>1483</v>
      </c>
      <c r="D39" t="s">
        <v>364</v>
      </c>
      <c r="E39" t="s">
        <v>1101</v>
      </c>
      <c r="F39" t="s">
        <v>1102</v>
      </c>
      <c r="G39" t="s">
        <v>390</v>
      </c>
      <c r="H39" t="s">
        <v>1406</v>
      </c>
      <c r="I39" t="s">
        <v>19</v>
      </c>
      <c r="J39" t="s">
        <v>1123</v>
      </c>
      <c r="K39" t="s">
        <v>189</v>
      </c>
      <c r="L39" t="s">
        <v>1485</v>
      </c>
      <c r="M39" t="s">
        <v>346</v>
      </c>
      <c r="N39" t="s">
        <v>1486</v>
      </c>
      <c r="O39" s="99" t="s">
        <v>1487</v>
      </c>
      <c r="P39" t="s">
        <v>1488</v>
      </c>
      <c r="Q39" s="128">
        <v>44467</v>
      </c>
      <c r="R39" s="128">
        <v>44558</v>
      </c>
      <c r="S39" t="s">
        <v>1805</v>
      </c>
      <c r="T39" s="128">
        <v>44540</v>
      </c>
      <c r="U39">
        <v>0</v>
      </c>
      <c r="V39">
        <v>0</v>
      </c>
      <c r="W39" t="s">
        <v>262</v>
      </c>
      <c r="X39" t="s">
        <v>1558</v>
      </c>
      <c r="AA39" t="s">
        <v>4</v>
      </c>
      <c r="AB39" t="s">
        <v>1806</v>
      </c>
      <c r="AC39" s="128">
        <v>44542</v>
      </c>
      <c r="AD39" t="s">
        <v>349</v>
      </c>
      <c r="AE39" t="s">
        <v>1252</v>
      </c>
      <c r="AF39" t="s">
        <v>1103</v>
      </c>
      <c r="AG39" t="s">
        <v>0</v>
      </c>
      <c r="AH39">
        <v>1</v>
      </c>
      <c r="AI39" t="b">
        <v>0</v>
      </c>
      <c r="AK39" t="b">
        <v>0</v>
      </c>
      <c r="AM39" t="b">
        <v>0</v>
      </c>
      <c r="AN39" t="b">
        <v>0</v>
      </c>
      <c r="AO39" t="b">
        <v>0</v>
      </c>
      <c r="AP39" t="b">
        <v>0</v>
      </c>
      <c r="AQ39" t="b">
        <v>0</v>
      </c>
      <c r="AR39" t="b">
        <v>0</v>
      </c>
      <c r="AS39" t="b">
        <v>0</v>
      </c>
      <c r="AT39" t="s">
        <v>1807</v>
      </c>
      <c r="AU39">
        <v>9830288</v>
      </c>
      <c r="AV39" t="s">
        <v>734</v>
      </c>
      <c r="AW39" t="s">
        <v>943</v>
      </c>
      <c r="AX39" s="128">
        <v>44612</v>
      </c>
      <c r="AY39" t="s">
        <v>1586</v>
      </c>
      <c r="AZ39" t="s">
        <v>19</v>
      </c>
      <c r="BA39" t="s">
        <v>189</v>
      </c>
      <c r="BB39" t="s">
        <v>43</v>
      </c>
      <c r="BD39" t="s">
        <v>756</v>
      </c>
      <c r="BG39" s="128"/>
      <c r="BH39" t="b">
        <v>0</v>
      </c>
      <c r="BI39" t="s">
        <v>1489</v>
      </c>
      <c r="BK39" t="s">
        <v>1120</v>
      </c>
      <c r="CC39" s="128"/>
      <c r="CE39" s="128"/>
      <c r="CG39" s="128"/>
      <c r="CI39" s="128"/>
      <c r="CK39" s="128"/>
      <c r="CM39" s="128"/>
      <c r="CO39" s="128"/>
      <c r="CT39" s="128"/>
      <c r="CV39" s="128"/>
    </row>
    <row r="40" spans="1:100">
      <c r="A40" t="s">
        <v>1491</v>
      </c>
      <c r="B40" s="128">
        <v>44475</v>
      </c>
      <c r="C40" t="s">
        <v>1490</v>
      </c>
      <c r="D40" t="s">
        <v>364</v>
      </c>
      <c r="E40" t="s">
        <v>1101</v>
      </c>
      <c r="F40" t="s">
        <v>1102</v>
      </c>
      <c r="G40" t="s">
        <v>390</v>
      </c>
      <c r="H40" t="s">
        <v>1406</v>
      </c>
      <c r="I40" t="s">
        <v>14</v>
      </c>
      <c r="J40" t="s">
        <v>1116</v>
      </c>
      <c r="K40" t="s">
        <v>100</v>
      </c>
      <c r="L40" t="s">
        <v>1492</v>
      </c>
      <c r="M40" t="s">
        <v>346</v>
      </c>
      <c r="N40" t="s">
        <v>1493</v>
      </c>
      <c r="O40" t="s">
        <v>1494</v>
      </c>
      <c r="P40" t="s">
        <v>1495</v>
      </c>
      <c r="Q40" s="128">
        <v>44475</v>
      </c>
      <c r="R40" s="128">
        <v>44565</v>
      </c>
      <c r="S40" t="s">
        <v>1496</v>
      </c>
      <c r="T40" s="128">
        <v>44505</v>
      </c>
      <c r="U40">
        <v>0</v>
      </c>
      <c r="V40">
        <v>0</v>
      </c>
      <c r="W40" t="s">
        <v>262</v>
      </c>
      <c r="X40" t="s">
        <v>1559</v>
      </c>
      <c r="AA40" t="s">
        <v>4</v>
      </c>
      <c r="AB40" t="s">
        <v>1560</v>
      </c>
      <c r="AC40" s="128">
        <v>44505</v>
      </c>
      <c r="AD40" t="s">
        <v>349</v>
      </c>
      <c r="AE40" t="s">
        <v>1180</v>
      </c>
      <c r="AF40" t="s">
        <v>1103</v>
      </c>
      <c r="AG40" t="s">
        <v>0</v>
      </c>
      <c r="AH40">
        <v>1</v>
      </c>
      <c r="AI40" t="b">
        <v>0</v>
      </c>
      <c r="AK40" t="b">
        <v>0</v>
      </c>
      <c r="AM40" t="b">
        <v>0</v>
      </c>
      <c r="AN40" t="b">
        <v>0</v>
      </c>
      <c r="AO40" t="b">
        <v>0</v>
      </c>
      <c r="AP40" t="b">
        <v>0</v>
      </c>
      <c r="AQ40" t="b">
        <v>0</v>
      </c>
      <c r="AR40" t="b">
        <v>0</v>
      </c>
      <c r="AS40" t="b">
        <v>0</v>
      </c>
      <c r="AT40" t="s">
        <v>1561</v>
      </c>
      <c r="AU40">
        <v>9830288</v>
      </c>
      <c r="AV40" t="s">
        <v>734</v>
      </c>
      <c r="AW40" t="s">
        <v>943</v>
      </c>
      <c r="AX40" s="128">
        <v>44509</v>
      </c>
      <c r="AY40" t="s">
        <v>1132</v>
      </c>
      <c r="AZ40" t="s">
        <v>14</v>
      </c>
      <c r="BA40" t="s">
        <v>100</v>
      </c>
      <c r="BB40" t="s">
        <v>43</v>
      </c>
      <c r="BD40" t="s">
        <v>756</v>
      </c>
      <c r="BG40" s="128"/>
      <c r="BH40" t="b">
        <v>0</v>
      </c>
      <c r="BI40" t="s">
        <v>1497</v>
      </c>
      <c r="BK40" t="s">
        <v>1120</v>
      </c>
      <c r="CC40" s="128"/>
      <c r="CE40" s="128"/>
      <c r="CG40" s="128"/>
      <c r="CI40" s="128"/>
      <c r="CK40" s="128"/>
      <c r="CM40" s="128"/>
      <c r="CO40" s="128"/>
      <c r="CT40" s="128"/>
      <c r="CV40" s="128"/>
    </row>
    <row r="41" spans="1:100">
      <c r="A41" t="s">
        <v>1499</v>
      </c>
      <c r="B41" s="128">
        <v>44477</v>
      </c>
      <c r="C41" t="s">
        <v>1498</v>
      </c>
      <c r="D41" t="s">
        <v>364</v>
      </c>
      <c r="E41" t="s">
        <v>1101</v>
      </c>
      <c r="F41" t="s">
        <v>1102</v>
      </c>
      <c r="G41" t="s">
        <v>390</v>
      </c>
      <c r="H41" t="s">
        <v>1406</v>
      </c>
      <c r="I41" t="s">
        <v>582</v>
      </c>
      <c r="J41" t="s">
        <v>1110</v>
      </c>
      <c r="K41" t="s">
        <v>69</v>
      </c>
      <c r="L41" t="s">
        <v>1111</v>
      </c>
      <c r="M41" t="s">
        <v>346</v>
      </c>
      <c r="N41" t="s">
        <v>1500</v>
      </c>
      <c r="O41" t="s">
        <v>1501</v>
      </c>
      <c r="P41" t="s">
        <v>1502</v>
      </c>
      <c r="Q41" s="128">
        <v>44482</v>
      </c>
      <c r="R41" s="128">
        <v>44567</v>
      </c>
      <c r="S41" t="s">
        <v>1503</v>
      </c>
      <c r="T41" s="128">
        <v>44499</v>
      </c>
      <c r="U41">
        <v>0</v>
      </c>
      <c r="V41">
        <v>0</v>
      </c>
      <c r="W41" t="s">
        <v>262</v>
      </c>
      <c r="X41" t="s">
        <v>1562</v>
      </c>
      <c r="AA41" t="s">
        <v>4</v>
      </c>
      <c r="AB41" t="s">
        <v>1563</v>
      </c>
      <c r="AC41" s="128">
        <v>44499</v>
      </c>
      <c r="AD41" t="s">
        <v>349</v>
      </c>
      <c r="AE41" t="s">
        <v>1180</v>
      </c>
      <c r="AF41" t="s">
        <v>1103</v>
      </c>
      <c r="AG41" t="s">
        <v>0</v>
      </c>
      <c r="AH41">
        <v>1</v>
      </c>
      <c r="AI41" t="b">
        <v>0</v>
      </c>
      <c r="AK41" t="b">
        <v>0</v>
      </c>
      <c r="AM41" t="b">
        <v>0</v>
      </c>
      <c r="AN41" t="b">
        <v>0</v>
      </c>
      <c r="AO41" t="b">
        <v>0</v>
      </c>
      <c r="AP41" t="b">
        <v>0</v>
      </c>
      <c r="AQ41" t="b">
        <v>0</v>
      </c>
      <c r="AR41" t="b">
        <v>0</v>
      </c>
      <c r="AS41" t="b">
        <v>0</v>
      </c>
      <c r="AT41" t="s">
        <v>1564</v>
      </c>
      <c r="AU41">
        <v>9830288</v>
      </c>
      <c r="AV41" t="s">
        <v>734</v>
      </c>
      <c r="AW41" t="s">
        <v>943</v>
      </c>
      <c r="AX41" s="128">
        <v>44509</v>
      </c>
      <c r="AY41" t="s">
        <v>1132</v>
      </c>
      <c r="AZ41" t="s">
        <v>582</v>
      </c>
      <c r="BA41" t="s">
        <v>69</v>
      </c>
      <c r="BB41" t="s">
        <v>40</v>
      </c>
      <c r="BD41" t="s">
        <v>30</v>
      </c>
      <c r="BG41" s="128"/>
      <c r="BH41" t="b">
        <v>0</v>
      </c>
      <c r="BI41" t="s">
        <v>1504</v>
      </c>
      <c r="BK41" t="s">
        <v>1120</v>
      </c>
      <c r="CC41" s="128"/>
      <c r="CE41" s="128"/>
      <c r="CG41" s="128"/>
      <c r="CI41" s="128"/>
      <c r="CK41" s="128"/>
      <c r="CM41" s="128"/>
      <c r="CO41" s="128"/>
      <c r="CT41" s="128"/>
      <c r="CV41" s="128"/>
    </row>
    <row r="42" spans="1:100">
      <c r="A42" t="s">
        <v>1506</v>
      </c>
      <c r="B42" s="128">
        <v>44505</v>
      </c>
      <c r="C42" t="s">
        <v>1505</v>
      </c>
      <c r="D42" t="s">
        <v>364</v>
      </c>
      <c r="E42" t="s">
        <v>1101</v>
      </c>
      <c r="F42" t="s">
        <v>1102</v>
      </c>
      <c r="G42" t="s">
        <v>390</v>
      </c>
      <c r="H42" t="s">
        <v>1406</v>
      </c>
      <c r="I42" t="s">
        <v>8</v>
      </c>
      <c r="J42" t="s">
        <v>1121</v>
      </c>
      <c r="K42" t="s">
        <v>75</v>
      </c>
      <c r="L42" t="s">
        <v>1122</v>
      </c>
      <c r="M42" t="s">
        <v>346</v>
      </c>
      <c r="N42" t="s">
        <v>1507</v>
      </c>
      <c r="O42" t="s">
        <v>1508</v>
      </c>
      <c r="P42" t="s">
        <v>1585</v>
      </c>
      <c r="Q42" s="128">
        <v>44503</v>
      </c>
      <c r="R42" s="128">
        <v>44595</v>
      </c>
      <c r="S42" t="s">
        <v>1802</v>
      </c>
      <c r="T42" s="128">
        <v>44560</v>
      </c>
      <c r="U42">
        <v>0</v>
      </c>
      <c r="V42">
        <v>0</v>
      </c>
      <c r="W42" t="s">
        <v>262</v>
      </c>
      <c r="X42" t="s">
        <v>1565</v>
      </c>
      <c r="AA42" t="s">
        <v>167</v>
      </c>
      <c r="AB42" t="s">
        <v>1803</v>
      </c>
      <c r="AC42" s="128">
        <v>44560</v>
      </c>
      <c r="AD42" t="s">
        <v>349</v>
      </c>
      <c r="AE42" t="s">
        <v>1252</v>
      </c>
      <c r="AF42" t="s">
        <v>1103</v>
      </c>
      <c r="AG42" t="s">
        <v>0</v>
      </c>
      <c r="AH42">
        <v>1</v>
      </c>
      <c r="AI42" t="b">
        <v>0</v>
      </c>
      <c r="AK42" t="b">
        <v>0</v>
      </c>
      <c r="AM42" t="b">
        <v>0</v>
      </c>
      <c r="AN42" t="b">
        <v>0</v>
      </c>
      <c r="AO42" t="b">
        <v>0</v>
      </c>
      <c r="AP42" t="b">
        <v>0</v>
      </c>
      <c r="AQ42" t="b">
        <v>0</v>
      </c>
      <c r="AR42" t="b">
        <v>0</v>
      </c>
      <c r="AS42" t="b">
        <v>0</v>
      </c>
      <c r="AT42" t="s">
        <v>1804</v>
      </c>
      <c r="AU42">
        <v>9830288</v>
      </c>
      <c r="AV42" t="s">
        <v>734</v>
      </c>
      <c r="AW42" t="s">
        <v>943</v>
      </c>
      <c r="AX42" s="128">
        <v>44612</v>
      </c>
      <c r="AY42" t="s">
        <v>1586</v>
      </c>
      <c r="AZ42" t="s">
        <v>8</v>
      </c>
      <c r="BA42" t="s">
        <v>75</v>
      </c>
      <c r="BB42" t="s">
        <v>44</v>
      </c>
      <c r="BD42" t="s">
        <v>755</v>
      </c>
      <c r="BG42" s="128"/>
      <c r="BH42" t="b">
        <v>0</v>
      </c>
      <c r="BI42" t="s">
        <v>1509</v>
      </c>
      <c r="BK42" t="s">
        <v>1120</v>
      </c>
      <c r="CC42" s="128"/>
      <c r="CE42" s="128"/>
      <c r="CG42" s="128"/>
      <c r="CI42" s="128"/>
      <c r="CK42" s="128"/>
      <c r="CM42" s="128"/>
      <c r="CO42" s="128"/>
      <c r="CT42" s="128"/>
      <c r="CV42" s="128"/>
    </row>
    <row r="43" spans="1:100">
      <c r="A43" t="s">
        <v>1511</v>
      </c>
      <c r="B43" s="128">
        <v>44494</v>
      </c>
      <c r="C43" t="s">
        <v>1510</v>
      </c>
      <c r="D43" t="s">
        <v>364</v>
      </c>
      <c r="E43" t="s">
        <v>1101</v>
      </c>
      <c r="F43" t="s">
        <v>1102</v>
      </c>
      <c r="G43" t="s">
        <v>390</v>
      </c>
      <c r="H43" t="s">
        <v>1406</v>
      </c>
      <c r="I43" t="s">
        <v>582</v>
      </c>
      <c r="J43" t="s">
        <v>1110</v>
      </c>
      <c r="K43" t="s">
        <v>69</v>
      </c>
      <c r="L43" t="s">
        <v>1111</v>
      </c>
      <c r="M43" t="s">
        <v>346</v>
      </c>
      <c r="N43" t="s">
        <v>1512</v>
      </c>
      <c r="O43" t="s">
        <v>1513</v>
      </c>
      <c r="P43" t="s">
        <v>1514</v>
      </c>
      <c r="Q43" s="128">
        <v>44494</v>
      </c>
      <c r="R43" s="128">
        <v>44584</v>
      </c>
      <c r="T43" s="128"/>
      <c r="U43">
        <v>0</v>
      </c>
      <c r="V43">
        <v>0</v>
      </c>
      <c r="W43" t="s">
        <v>262</v>
      </c>
      <c r="X43" t="s">
        <v>1566</v>
      </c>
      <c r="AA43" t="s">
        <v>4</v>
      </c>
      <c r="AB43" t="s">
        <v>1816</v>
      </c>
      <c r="AC43" s="128">
        <v>44516</v>
      </c>
      <c r="AD43" t="s">
        <v>349</v>
      </c>
      <c r="AF43" t="s">
        <v>1103</v>
      </c>
      <c r="AG43" t="s">
        <v>0</v>
      </c>
      <c r="AH43">
        <v>1</v>
      </c>
      <c r="AI43" t="b">
        <v>0</v>
      </c>
      <c r="AK43" t="b">
        <v>0</v>
      </c>
      <c r="AM43" t="b">
        <v>0</v>
      </c>
      <c r="AN43" t="b">
        <v>0</v>
      </c>
      <c r="AO43" t="b">
        <v>0</v>
      </c>
      <c r="AP43" t="b">
        <v>0</v>
      </c>
      <c r="AQ43" t="b">
        <v>0</v>
      </c>
      <c r="AR43" t="b">
        <v>0</v>
      </c>
      <c r="AS43" t="b">
        <v>0</v>
      </c>
      <c r="AT43" t="s">
        <v>1817</v>
      </c>
      <c r="AU43">
        <v>9830288</v>
      </c>
      <c r="AV43" t="s">
        <v>734</v>
      </c>
      <c r="AW43" t="s">
        <v>943</v>
      </c>
      <c r="AX43" s="128">
        <v>44612</v>
      </c>
      <c r="AY43" t="s">
        <v>1586</v>
      </c>
      <c r="AZ43" t="s">
        <v>582</v>
      </c>
      <c r="BA43" t="s">
        <v>69</v>
      </c>
      <c r="BB43" t="s">
        <v>40</v>
      </c>
      <c r="BD43" t="s">
        <v>30</v>
      </c>
      <c r="BG43" s="128"/>
      <c r="BH43" t="b">
        <v>0</v>
      </c>
      <c r="BK43" t="s">
        <v>1120</v>
      </c>
      <c r="CC43" s="128"/>
      <c r="CE43" s="128"/>
      <c r="CG43" s="128"/>
      <c r="CI43" s="128"/>
      <c r="CK43" s="128"/>
      <c r="CM43" s="128"/>
      <c r="CO43" s="128"/>
      <c r="CT43" s="128"/>
      <c r="CV43" s="128"/>
    </row>
    <row r="44" spans="1:100">
      <c r="A44" t="s">
        <v>1515</v>
      </c>
      <c r="B44" s="128">
        <v>44525</v>
      </c>
      <c r="C44" t="s">
        <v>1516</v>
      </c>
      <c r="D44" t="s">
        <v>352</v>
      </c>
      <c r="E44" t="s">
        <v>1107</v>
      </c>
      <c r="F44" t="s">
        <v>1108</v>
      </c>
      <c r="G44" t="s">
        <v>374</v>
      </c>
      <c r="H44" t="s">
        <v>1518</v>
      </c>
      <c r="I44" t="s">
        <v>354</v>
      </c>
      <c r="J44" t="s">
        <v>1109</v>
      </c>
      <c r="K44" t="s">
        <v>414</v>
      </c>
      <c r="L44" t="s">
        <v>1149</v>
      </c>
      <c r="M44" t="s">
        <v>346</v>
      </c>
      <c r="N44" t="s">
        <v>1519</v>
      </c>
      <c r="O44" t="s">
        <v>1513</v>
      </c>
      <c r="P44" t="s">
        <v>1514</v>
      </c>
      <c r="Q44" s="128">
        <v>44525</v>
      </c>
      <c r="R44" s="128">
        <v>44615</v>
      </c>
      <c r="T44" s="128"/>
      <c r="U44">
        <v>0</v>
      </c>
      <c r="V44">
        <v>0</v>
      </c>
      <c r="W44" t="s">
        <v>262</v>
      </c>
      <c r="X44" t="s">
        <v>1801</v>
      </c>
      <c r="AA44" t="s">
        <v>4</v>
      </c>
      <c r="AC44" s="128"/>
      <c r="AD44" t="s">
        <v>261</v>
      </c>
      <c r="AF44" t="s">
        <v>1103</v>
      </c>
      <c r="AG44" t="s">
        <v>0</v>
      </c>
      <c r="AH44">
        <v>1</v>
      </c>
      <c r="AI44" t="b">
        <v>0</v>
      </c>
      <c r="AK44" t="b">
        <v>0</v>
      </c>
      <c r="AM44" t="b">
        <v>0</v>
      </c>
      <c r="AN44" t="b">
        <v>0</v>
      </c>
      <c r="AO44" t="b">
        <v>0</v>
      </c>
      <c r="AP44" t="b">
        <v>0</v>
      </c>
      <c r="AQ44" t="b">
        <v>0</v>
      </c>
      <c r="AR44" t="b">
        <v>0</v>
      </c>
      <c r="AS44" t="b">
        <v>0</v>
      </c>
      <c r="AT44" t="s">
        <v>1827</v>
      </c>
      <c r="AU44">
        <v>9830288</v>
      </c>
      <c r="AV44" t="s">
        <v>734</v>
      </c>
      <c r="AW44" t="s">
        <v>943</v>
      </c>
      <c r="AX44" s="128">
        <v>44618</v>
      </c>
      <c r="AY44" t="s">
        <v>1586</v>
      </c>
      <c r="AZ44" t="s">
        <v>582</v>
      </c>
      <c r="BA44" t="s">
        <v>69</v>
      </c>
      <c r="BB44" t="s">
        <v>40</v>
      </c>
      <c r="BD44" t="s">
        <v>30</v>
      </c>
      <c r="BF44" t="s">
        <v>574</v>
      </c>
      <c r="BG44" s="128">
        <v>44635</v>
      </c>
      <c r="BH44" t="b">
        <v>0</v>
      </c>
      <c r="BJ44" t="s">
        <v>1826</v>
      </c>
      <c r="BK44" t="s">
        <v>1104</v>
      </c>
      <c r="BL44" t="s">
        <v>1517</v>
      </c>
      <c r="CC44" s="128"/>
      <c r="CE44" s="128"/>
      <c r="CG44" s="128"/>
      <c r="CI44" s="128"/>
      <c r="CK44" s="128"/>
      <c r="CM44" s="128"/>
      <c r="CO44" s="128"/>
      <c r="CT44" s="128"/>
      <c r="CV44" s="128"/>
    </row>
    <row r="45" spans="1:100">
      <c r="A45" t="s">
        <v>1520</v>
      </c>
      <c r="B45" s="128">
        <v>44505</v>
      </c>
      <c r="C45" t="s">
        <v>1521</v>
      </c>
      <c r="D45" t="s">
        <v>352</v>
      </c>
      <c r="E45" t="s">
        <v>1107</v>
      </c>
      <c r="F45" t="s">
        <v>1108</v>
      </c>
      <c r="G45" t="s">
        <v>374</v>
      </c>
      <c r="H45" t="s">
        <v>1518</v>
      </c>
      <c r="I45" t="s">
        <v>354</v>
      </c>
      <c r="J45" t="s">
        <v>1109</v>
      </c>
      <c r="K45" t="s">
        <v>412</v>
      </c>
      <c r="L45" t="s">
        <v>1130</v>
      </c>
      <c r="M45" t="s">
        <v>346</v>
      </c>
      <c r="N45" t="s">
        <v>1522</v>
      </c>
      <c r="O45" t="s">
        <v>1587</v>
      </c>
      <c r="P45" t="s">
        <v>1588</v>
      </c>
      <c r="Q45" s="128">
        <v>44505</v>
      </c>
      <c r="R45" s="128">
        <v>44515</v>
      </c>
      <c r="S45" t="s">
        <v>1599</v>
      </c>
      <c r="T45" s="128">
        <v>44507</v>
      </c>
      <c r="U45">
        <v>0</v>
      </c>
      <c r="V45">
        <v>0</v>
      </c>
      <c r="W45" t="s">
        <v>262</v>
      </c>
      <c r="X45" t="s">
        <v>1215</v>
      </c>
      <c r="AA45" t="s">
        <v>4</v>
      </c>
      <c r="AB45" t="s">
        <v>1215</v>
      </c>
      <c r="AC45" s="128">
        <v>44507</v>
      </c>
      <c r="AD45" t="s">
        <v>349</v>
      </c>
      <c r="AE45" t="s">
        <v>1252</v>
      </c>
      <c r="AF45" t="s">
        <v>1103</v>
      </c>
      <c r="AG45" t="s">
        <v>0</v>
      </c>
      <c r="AH45">
        <v>1</v>
      </c>
      <c r="AI45" t="b">
        <v>0</v>
      </c>
      <c r="AK45" t="b">
        <v>0</v>
      </c>
      <c r="AM45" t="b">
        <v>0</v>
      </c>
      <c r="AN45" t="b">
        <v>0</v>
      </c>
      <c r="AO45" t="b">
        <v>0</v>
      </c>
      <c r="AP45" t="b">
        <v>0</v>
      </c>
      <c r="AQ45" t="b">
        <v>0</v>
      </c>
      <c r="AR45" t="b">
        <v>0</v>
      </c>
      <c r="AS45" t="b">
        <v>0</v>
      </c>
      <c r="AT45" t="s">
        <v>1800</v>
      </c>
      <c r="AU45">
        <v>9830288</v>
      </c>
      <c r="AV45" t="s">
        <v>734</v>
      </c>
      <c r="AW45" t="s">
        <v>943</v>
      </c>
      <c r="AX45" s="128">
        <v>44612</v>
      </c>
      <c r="AY45" t="s">
        <v>1586</v>
      </c>
      <c r="AZ45" t="s">
        <v>13</v>
      </c>
      <c r="BA45" t="s">
        <v>83</v>
      </c>
      <c r="BB45" t="s">
        <v>38</v>
      </c>
      <c r="BD45" t="s">
        <v>28</v>
      </c>
      <c r="BG45" s="128"/>
      <c r="BH45" t="b">
        <v>0</v>
      </c>
      <c r="BK45" t="s">
        <v>1120</v>
      </c>
      <c r="BL45" t="s">
        <v>1517</v>
      </c>
      <c r="CC45" s="128"/>
      <c r="CE45" s="128"/>
      <c r="CG45" s="128"/>
      <c r="CI45" s="128"/>
      <c r="CK45" s="128"/>
      <c r="CM45" s="128"/>
      <c r="CO45" s="128"/>
      <c r="CT45" s="128"/>
      <c r="CV45" s="128"/>
    </row>
    <row r="46" spans="1:100">
      <c r="A46" t="s">
        <v>1523</v>
      </c>
      <c r="B46" s="128">
        <v>44505</v>
      </c>
      <c r="C46" t="s">
        <v>1524</v>
      </c>
      <c r="D46" t="s">
        <v>352</v>
      </c>
      <c r="E46" t="s">
        <v>1107</v>
      </c>
      <c r="F46" t="s">
        <v>1108</v>
      </c>
      <c r="G46" t="s">
        <v>374</v>
      </c>
      <c r="H46" t="s">
        <v>1518</v>
      </c>
      <c r="I46" t="s">
        <v>354</v>
      </c>
      <c r="J46" t="s">
        <v>1109</v>
      </c>
      <c r="K46" t="s">
        <v>414</v>
      </c>
      <c r="L46" t="s">
        <v>1149</v>
      </c>
      <c r="M46" t="s">
        <v>346</v>
      </c>
      <c r="N46" t="s">
        <v>1525</v>
      </c>
      <c r="O46" t="s">
        <v>1587</v>
      </c>
      <c r="P46" t="s">
        <v>1589</v>
      </c>
      <c r="Q46" s="128">
        <v>44505</v>
      </c>
      <c r="R46" s="128">
        <v>44515</v>
      </c>
      <c r="S46" t="s">
        <v>1598</v>
      </c>
      <c r="T46" s="128">
        <v>44505</v>
      </c>
      <c r="U46">
        <v>0</v>
      </c>
      <c r="V46">
        <v>0</v>
      </c>
      <c r="W46" t="s">
        <v>262</v>
      </c>
      <c r="X46" t="s">
        <v>1215</v>
      </c>
      <c r="AA46" t="s">
        <v>2</v>
      </c>
      <c r="AB46" t="s">
        <v>1215</v>
      </c>
      <c r="AC46" s="128">
        <v>44505</v>
      </c>
      <c r="AD46" t="s">
        <v>349</v>
      </c>
      <c r="AE46" t="s">
        <v>1252</v>
      </c>
      <c r="AF46" t="s">
        <v>1103</v>
      </c>
      <c r="AG46" t="s">
        <v>0</v>
      </c>
      <c r="AH46">
        <v>1</v>
      </c>
      <c r="AI46" t="b">
        <v>0</v>
      </c>
      <c r="AK46" t="b">
        <v>0</v>
      </c>
      <c r="AM46" t="b">
        <v>0</v>
      </c>
      <c r="AN46" t="b">
        <v>0</v>
      </c>
      <c r="AO46" t="b">
        <v>0</v>
      </c>
      <c r="AP46" t="b">
        <v>0</v>
      </c>
      <c r="AQ46" t="b">
        <v>0</v>
      </c>
      <c r="AR46" t="b">
        <v>0</v>
      </c>
      <c r="AS46" t="b">
        <v>0</v>
      </c>
      <c r="AT46" t="s">
        <v>1799</v>
      </c>
      <c r="AU46">
        <v>9830288</v>
      </c>
      <c r="AV46" t="s">
        <v>734</v>
      </c>
      <c r="AW46" t="s">
        <v>943</v>
      </c>
      <c r="AX46" s="128">
        <v>44612</v>
      </c>
      <c r="AY46" t="s">
        <v>1586</v>
      </c>
      <c r="AZ46" t="s">
        <v>582</v>
      </c>
      <c r="BA46" t="s">
        <v>69</v>
      </c>
      <c r="BB46" t="s">
        <v>40</v>
      </c>
      <c r="BD46" t="s">
        <v>30</v>
      </c>
      <c r="BG46" s="128"/>
      <c r="BH46" t="b">
        <v>0</v>
      </c>
      <c r="BK46" t="s">
        <v>1120</v>
      </c>
      <c r="BL46" t="s">
        <v>1517</v>
      </c>
      <c r="CC46" s="128"/>
      <c r="CE46" s="128"/>
      <c r="CG46" s="128"/>
      <c r="CI46" s="128"/>
      <c r="CK46" s="128"/>
      <c r="CM46" s="128"/>
      <c r="CO46" s="128"/>
      <c r="CT46" s="128"/>
      <c r="CV46" s="128"/>
    </row>
    <row r="47" spans="1:100">
      <c r="A47" t="s">
        <v>1526</v>
      </c>
      <c r="B47" s="128">
        <v>44505</v>
      </c>
      <c r="C47" t="s">
        <v>1527</v>
      </c>
      <c r="D47" t="s">
        <v>352</v>
      </c>
      <c r="E47" t="s">
        <v>1107</v>
      </c>
      <c r="F47" t="s">
        <v>1108</v>
      </c>
      <c r="G47" t="s">
        <v>374</v>
      </c>
      <c r="H47" t="s">
        <v>1518</v>
      </c>
      <c r="I47" t="s">
        <v>354</v>
      </c>
      <c r="J47" t="s">
        <v>1109</v>
      </c>
      <c r="K47" t="s">
        <v>412</v>
      </c>
      <c r="L47" t="s">
        <v>1130</v>
      </c>
      <c r="M47" t="s">
        <v>346</v>
      </c>
      <c r="N47" t="s">
        <v>1528</v>
      </c>
      <c r="O47" t="s">
        <v>1591</v>
      </c>
      <c r="P47" t="s">
        <v>1590</v>
      </c>
      <c r="Q47" s="128">
        <v>44505</v>
      </c>
      <c r="R47" s="128">
        <v>44566</v>
      </c>
      <c r="S47" t="s">
        <v>1796</v>
      </c>
      <c r="T47" s="128">
        <v>44553</v>
      </c>
      <c r="U47">
        <v>0</v>
      </c>
      <c r="V47">
        <v>0</v>
      </c>
      <c r="W47" t="s">
        <v>262</v>
      </c>
      <c r="X47" t="s">
        <v>1685</v>
      </c>
      <c r="AA47" t="s">
        <v>1</v>
      </c>
      <c r="AB47" t="s">
        <v>1797</v>
      </c>
      <c r="AC47" s="128">
        <v>44553</v>
      </c>
      <c r="AD47" t="s">
        <v>349</v>
      </c>
      <c r="AE47" t="s">
        <v>1252</v>
      </c>
      <c r="AF47" t="s">
        <v>1103</v>
      </c>
      <c r="AG47" t="s">
        <v>0</v>
      </c>
      <c r="AH47">
        <v>1</v>
      </c>
      <c r="AI47" t="b">
        <v>0</v>
      </c>
      <c r="AK47" t="b">
        <v>0</v>
      </c>
      <c r="AM47" t="b">
        <v>0</v>
      </c>
      <c r="AN47" t="b">
        <v>0</v>
      </c>
      <c r="AO47" t="b">
        <v>0</v>
      </c>
      <c r="AP47" t="b">
        <v>0</v>
      </c>
      <c r="AQ47" t="b">
        <v>0</v>
      </c>
      <c r="AR47" t="b">
        <v>0</v>
      </c>
      <c r="AS47" t="b">
        <v>0</v>
      </c>
      <c r="AT47" t="s">
        <v>1798</v>
      </c>
      <c r="AU47">
        <v>9830288</v>
      </c>
      <c r="AV47" t="s">
        <v>734</v>
      </c>
      <c r="AW47" t="s">
        <v>943</v>
      </c>
      <c r="AX47" s="128">
        <v>44612</v>
      </c>
      <c r="AY47" t="s">
        <v>1586</v>
      </c>
      <c r="AZ47" t="s">
        <v>13</v>
      </c>
      <c r="BA47" t="s">
        <v>83</v>
      </c>
      <c r="BB47" t="s">
        <v>38</v>
      </c>
      <c r="BD47" t="s">
        <v>28</v>
      </c>
      <c r="BG47" s="128"/>
      <c r="BH47" t="b">
        <v>0</v>
      </c>
      <c r="BK47" t="s">
        <v>1120</v>
      </c>
      <c r="BL47" t="s">
        <v>1517</v>
      </c>
      <c r="CC47" s="128"/>
      <c r="CE47" s="128"/>
      <c r="CG47" s="128"/>
      <c r="CI47" s="128"/>
      <c r="CK47" s="128"/>
      <c r="CM47" s="128"/>
      <c r="CO47" s="128"/>
      <c r="CT47" s="128"/>
      <c r="CV47" s="128"/>
    </row>
    <row r="48" spans="1:100">
      <c r="A48" t="s">
        <v>1529</v>
      </c>
      <c r="B48" s="128">
        <v>44505</v>
      </c>
      <c r="C48" t="s">
        <v>1530</v>
      </c>
      <c r="D48" t="s">
        <v>352</v>
      </c>
      <c r="E48" t="s">
        <v>1107</v>
      </c>
      <c r="F48" t="s">
        <v>1108</v>
      </c>
      <c r="G48" t="s">
        <v>374</v>
      </c>
      <c r="H48" t="s">
        <v>1518</v>
      </c>
      <c r="I48" t="s">
        <v>354</v>
      </c>
      <c r="J48" t="s">
        <v>1109</v>
      </c>
      <c r="K48" t="s">
        <v>414</v>
      </c>
      <c r="L48" t="s">
        <v>1149</v>
      </c>
      <c r="M48" t="s">
        <v>346</v>
      </c>
      <c r="N48" t="s">
        <v>1531</v>
      </c>
      <c r="O48" t="s">
        <v>1592</v>
      </c>
      <c r="P48" t="s">
        <v>1593</v>
      </c>
      <c r="Q48" s="128">
        <v>44505</v>
      </c>
      <c r="R48" s="128">
        <v>44540</v>
      </c>
      <c r="S48" t="s">
        <v>1597</v>
      </c>
      <c r="T48" s="128">
        <v>44540</v>
      </c>
      <c r="U48">
        <v>0</v>
      </c>
      <c r="V48">
        <v>0</v>
      </c>
      <c r="W48" t="s">
        <v>262</v>
      </c>
      <c r="X48" t="s">
        <v>1793</v>
      </c>
      <c r="AA48" t="s">
        <v>1</v>
      </c>
      <c r="AB48" t="s">
        <v>1794</v>
      </c>
      <c r="AC48" s="128">
        <v>44542</v>
      </c>
      <c r="AD48" t="s">
        <v>349</v>
      </c>
      <c r="AE48" t="s">
        <v>1252</v>
      </c>
      <c r="AF48" t="s">
        <v>1103</v>
      </c>
      <c r="AG48" t="s">
        <v>0</v>
      </c>
      <c r="AH48">
        <v>1</v>
      </c>
      <c r="AI48" t="b">
        <v>0</v>
      </c>
      <c r="AK48" t="b">
        <v>0</v>
      </c>
      <c r="AM48" t="b">
        <v>0</v>
      </c>
      <c r="AN48" t="b">
        <v>0</v>
      </c>
      <c r="AO48" t="b">
        <v>0</v>
      </c>
      <c r="AP48" t="b">
        <v>0</v>
      </c>
      <c r="AQ48" t="b">
        <v>0</v>
      </c>
      <c r="AR48" t="b">
        <v>0</v>
      </c>
      <c r="AS48" t="b">
        <v>0</v>
      </c>
      <c r="AT48" t="s">
        <v>1795</v>
      </c>
      <c r="AU48">
        <v>9830288</v>
      </c>
      <c r="AV48" t="s">
        <v>734</v>
      </c>
      <c r="AW48" t="s">
        <v>943</v>
      </c>
      <c r="AX48" s="128">
        <v>44612</v>
      </c>
      <c r="AY48" t="s">
        <v>1586</v>
      </c>
      <c r="AZ48" t="s">
        <v>13</v>
      </c>
      <c r="BA48" t="s">
        <v>83</v>
      </c>
      <c r="BB48" t="s">
        <v>40</v>
      </c>
      <c r="BD48" t="s">
        <v>30</v>
      </c>
      <c r="BG48" s="128"/>
      <c r="BH48" t="b">
        <v>0</v>
      </c>
      <c r="BK48" t="s">
        <v>1120</v>
      </c>
      <c r="BL48" t="s">
        <v>1517</v>
      </c>
      <c r="CC48" s="128"/>
      <c r="CE48" s="128"/>
      <c r="CG48" s="128"/>
      <c r="CI48" s="128"/>
      <c r="CK48" s="128"/>
      <c r="CM48" s="128"/>
      <c r="CO48" s="128"/>
      <c r="CT48" s="128"/>
      <c r="CV48" s="128"/>
    </row>
    <row r="49" spans="1:100">
      <c r="A49" t="s">
        <v>1532</v>
      </c>
      <c r="B49" s="128">
        <v>44505</v>
      </c>
      <c r="C49" t="s">
        <v>1533</v>
      </c>
      <c r="D49" t="s">
        <v>352</v>
      </c>
      <c r="E49" t="s">
        <v>1107</v>
      </c>
      <c r="F49" t="s">
        <v>1108</v>
      </c>
      <c r="G49" t="s">
        <v>374</v>
      </c>
      <c r="H49" t="s">
        <v>1518</v>
      </c>
      <c r="I49" t="s">
        <v>354</v>
      </c>
      <c r="J49" t="s">
        <v>1109</v>
      </c>
      <c r="K49" t="s">
        <v>414</v>
      </c>
      <c r="L49" t="s">
        <v>1149</v>
      </c>
      <c r="M49" t="s">
        <v>346</v>
      </c>
      <c r="N49" t="s">
        <v>1534</v>
      </c>
      <c r="O49" t="s">
        <v>1594</v>
      </c>
      <c r="P49" t="s">
        <v>1595</v>
      </c>
      <c r="Q49" s="128">
        <v>44505</v>
      </c>
      <c r="R49" s="128">
        <v>44515</v>
      </c>
      <c r="S49" t="s">
        <v>1596</v>
      </c>
      <c r="T49" s="128">
        <v>44529</v>
      </c>
      <c r="U49">
        <v>0</v>
      </c>
      <c r="V49">
        <v>0</v>
      </c>
      <c r="W49" t="s">
        <v>262</v>
      </c>
      <c r="X49" t="s">
        <v>1685</v>
      </c>
      <c r="AA49" t="s">
        <v>1</v>
      </c>
      <c r="AB49" t="s">
        <v>1791</v>
      </c>
      <c r="AC49" s="128">
        <v>44529</v>
      </c>
      <c r="AD49" t="s">
        <v>349</v>
      </c>
      <c r="AE49" t="s">
        <v>1252</v>
      </c>
      <c r="AF49" t="s">
        <v>1103</v>
      </c>
      <c r="AG49" t="s">
        <v>0</v>
      </c>
      <c r="AH49">
        <v>1</v>
      </c>
      <c r="AI49" t="b">
        <v>0</v>
      </c>
      <c r="AK49" t="b">
        <v>0</v>
      </c>
      <c r="AM49" t="b">
        <v>0</v>
      </c>
      <c r="AN49" t="b">
        <v>0</v>
      </c>
      <c r="AO49" t="b">
        <v>0</v>
      </c>
      <c r="AP49" t="b">
        <v>0</v>
      </c>
      <c r="AQ49" t="b">
        <v>0</v>
      </c>
      <c r="AR49" t="b">
        <v>0</v>
      </c>
      <c r="AS49" t="b">
        <v>0</v>
      </c>
      <c r="AT49" t="s">
        <v>1792</v>
      </c>
      <c r="AU49">
        <v>9830288</v>
      </c>
      <c r="AV49" t="s">
        <v>734</v>
      </c>
      <c r="AW49" t="s">
        <v>943</v>
      </c>
      <c r="AX49" s="128">
        <v>44612</v>
      </c>
      <c r="AY49" t="s">
        <v>1586</v>
      </c>
      <c r="AZ49" t="s">
        <v>584</v>
      </c>
      <c r="BA49" t="s">
        <v>82</v>
      </c>
      <c r="BB49" t="s">
        <v>40</v>
      </c>
      <c r="BD49" t="s">
        <v>30</v>
      </c>
      <c r="BG49" s="128"/>
      <c r="BH49" t="b">
        <v>0</v>
      </c>
      <c r="BK49" t="s">
        <v>1120</v>
      </c>
      <c r="BL49" t="s">
        <v>1517</v>
      </c>
      <c r="CC49" s="128"/>
      <c r="CE49" s="128"/>
      <c r="CG49" s="128"/>
      <c r="CI49" s="128"/>
      <c r="CK49" s="128"/>
      <c r="CM49" s="128"/>
      <c r="CO49" s="128"/>
      <c r="CT49" s="128"/>
      <c r="CV49" s="128"/>
    </row>
    <row r="50" spans="1:100">
      <c r="A50" t="s">
        <v>1535</v>
      </c>
      <c r="B50" s="128">
        <v>44505</v>
      </c>
      <c r="C50" t="s">
        <v>1536</v>
      </c>
      <c r="D50" t="s">
        <v>352</v>
      </c>
      <c r="E50" t="s">
        <v>1107</v>
      </c>
      <c r="F50" t="s">
        <v>1108</v>
      </c>
      <c r="G50" t="s">
        <v>374</v>
      </c>
      <c r="H50" t="s">
        <v>1518</v>
      </c>
      <c r="I50" t="s">
        <v>354</v>
      </c>
      <c r="J50" t="s">
        <v>1109</v>
      </c>
      <c r="K50" t="s">
        <v>150</v>
      </c>
      <c r="L50" t="s">
        <v>1818</v>
      </c>
      <c r="M50" t="s">
        <v>346</v>
      </c>
      <c r="N50" t="s">
        <v>1537</v>
      </c>
      <c r="O50" t="s">
        <v>1573</v>
      </c>
      <c r="P50" t="s">
        <v>1584</v>
      </c>
      <c r="Q50" s="128">
        <v>44505</v>
      </c>
      <c r="R50" s="128">
        <v>44595</v>
      </c>
      <c r="S50" t="s">
        <v>499</v>
      </c>
      <c r="T50" s="128"/>
      <c r="U50">
        <v>0</v>
      </c>
      <c r="V50">
        <v>0</v>
      </c>
      <c r="W50" t="s">
        <v>262</v>
      </c>
      <c r="X50" t="s">
        <v>1215</v>
      </c>
      <c r="AA50" t="s">
        <v>4</v>
      </c>
      <c r="AB50" t="s">
        <v>1215</v>
      </c>
      <c r="AC50" s="128">
        <v>44505</v>
      </c>
      <c r="AD50" t="s">
        <v>349</v>
      </c>
      <c r="AE50" t="s">
        <v>1252</v>
      </c>
      <c r="AF50" t="s">
        <v>1103</v>
      </c>
      <c r="AG50" t="s">
        <v>0</v>
      </c>
      <c r="AH50">
        <v>1</v>
      </c>
      <c r="AI50" t="b">
        <v>0</v>
      </c>
      <c r="AK50" t="b">
        <v>0</v>
      </c>
      <c r="AM50" t="b">
        <v>0</v>
      </c>
      <c r="AN50" t="b">
        <v>0</v>
      </c>
      <c r="AO50" t="b">
        <v>0</v>
      </c>
      <c r="AP50" t="b">
        <v>0</v>
      </c>
      <c r="AQ50" t="b">
        <v>0</v>
      </c>
      <c r="AR50" t="b">
        <v>0</v>
      </c>
      <c r="AS50" t="b">
        <v>0</v>
      </c>
      <c r="AT50" t="s">
        <v>1790</v>
      </c>
      <c r="AU50">
        <v>9830288</v>
      </c>
      <c r="AV50" t="s">
        <v>734</v>
      </c>
      <c r="AW50" t="s">
        <v>943</v>
      </c>
      <c r="AX50" s="128">
        <v>44612</v>
      </c>
      <c r="AY50" t="s">
        <v>1586</v>
      </c>
      <c r="AZ50" t="s">
        <v>16</v>
      </c>
      <c r="BA50" t="s">
        <v>120</v>
      </c>
      <c r="BB50" t="s">
        <v>43</v>
      </c>
      <c r="BD50" t="s">
        <v>756</v>
      </c>
      <c r="BG50" s="128"/>
      <c r="BH50" t="b">
        <v>0</v>
      </c>
      <c r="BI50" t="s">
        <v>499</v>
      </c>
      <c r="BK50" t="s">
        <v>1120</v>
      </c>
      <c r="BL50" t="s">
        <v>1517</v>
      </c>
      <c r="CC50" s="128"/>
      <c r="CE50" s="128"/>
      <c r="CG50" s="128"/>
      <c r="CI50" s="128"/>
      <c r="CK50" s="128"/>
      <c r="CM50" s="128"/>
      <c r="CO50" s="128"/>
      <c r="CT50" s="128"/>
      <c r="CV50" s="128"/>
    </row>
    <row r="51" spans="1:100">
      <c r="A51" t="s">
        <v>1538</v>
      </c>
      <c r="B51" s="128">
        <v>44505</v>
      </c>
      <c r="C51" t="s">
        <v>1539</v>
      </c>
      <c r="D51" t="s">
        <v>352</v>
      </c>
      <c r="E51" t="s">
        <v>1107</v>
      </c>
      <c r="F51" t="s">
        <v>1108</v>
      </c>
      <c r="G51" t="s">
        <v>374</v>
      </c>
      <c r="H51" t="s">
        <v>1518</v>
      </c>
      <c r="I51" t="s">
        <v>354</v>
      </c>
      <c r="J51" t="s">
        <v>1109</v>
      </c>
      <c r="K51" t="s">
        <v>150</v>
      </c>
      <c r="L51" t="s">
        <v>1818</v>
      </c>
      <c r="M51" t="s">
        <v>346</v>
      </c>
      <c r="N51" t="s">
        <v>1540</v>
      </c>
      <c r="O51" t="s">
        <v>1574</v>
      </c>
      <c r="P51" t="s">
        <v>1575</v>
      </c>
      <c r="Q51" s="128">
        <v>44505</v>
      </c>
      <c r="R51" s="128">
        <v>44572</v>
      </c>
      <c r="S51" t="s">
        <v>1583</v>
      </c>
      <c r="T51" s="128">
        <v>44552</v>
      </c>
      <c r="U51">
        <v>0</v>
      </c>
      <c r="V51">
        <v>0</v>
      </c>
      <c r="W51" t="s">
        <v>262</v>
      </c>
      <c r="X51" t="s">
        <v>1787</v>
      </c>
      <c r="AB51" t="s">
        <v>1788</v>
      </c>
      <c r="AC51" s="128">
        <v>44552</v>
      </c>
      <c r="AD51" t="s">
        <v>349</v>
      </c>
      <c r="AE51" t="s">
        <v>1252</v>
      </c>
      <c r="AF51" t="s">
        <v>1103</v>
      </c>
      <c r="AG51" t="s">
        <v>0</v>
      </c>
      <c r="AH51">
        <v>1</v>
      </c>
      <c r="AI51" t="b">
        <v>0</v>
      </c>
      <c r="AK51" t="b">
        <v>0</v>
      </c>
      <c r="AM51" t="b">
        <v>0</v>
      </c>
      <c r="AN51" t="b">
        <v>0</v>
      </c>
      <c r="AO51" t="b">
        <v>0</v>
      </c>
      <c r="AP51" t="b">
        <v>0</v>
      </c>
      <c r="AQ51" t="b">
        <v>0</v>
      </c>
      <c r="AR51" t="b">
        <v>0</v>
      </c>
      <c r="AS51" t="b">
        <v>0</v>
      </c>
      <c r="AT51" t="s">
        <v>1789</v>
      </c>
      <c r="AU51">
        <v>9830288</v>
      </c>
      <c r="AV51" t="s">
        <v>734</v>
      </c>
      <c r="AW51" t="s">
        <v>943</v>
      </c>
      <c r="AX51" s="128">
        <v>44612</v>
      </c>
      <c r="AY51" t="s">
        <v>1586</v>
      </c>
      <c r="AZ51" t="s">
        <v>391</v>
      </c>
      <c r="BA51" t="s">
        <v>138</v>
      </c>
      <c r="BB51" t="s">
        <v>43</v>
      </c>
      <c r="BD51" t="s">
        <v>756</v>
      </c>
      <c r="BG51" s="128"/>
      <c r="BH51" t="b">
        <v>0</v>
      </c>
      <c r="BI51" t="s">
        <v>1576</v>
      </c>
      <c r="BK51" t="s">
        <v>1120</v>
      </c>
      <c r="BL51" t="s">
        <v>1517</v>
      </c>
      <c r="CC51" s="128"/>
      <c r="CE51" s="128"/>
      <c r="CG51" s="128"/>
      <c r="CI51" s="128"/>
      <c r="CK51" s="128"/>
      <c r="CM51" s="128"/>
      <c r="CO51" s="128"/>
      <c r="CT51" s="128"/>
      <c r="CV51" s="128"/>
    </row>
    <row r="52" spans="1:100">
      <c r="A52" t="s">
        <v>1541</v>
      </c>
      <c r="B52" s="128">
        <v>44505</v>
      </c>
      <c r="C52" t="s">
        <v>1542</v>
      </c>
      <c r="D52" t="s">
        <v>352</v>
      </c>
      <c r="E52" t="s">
        <v>1107</v>
      </c>
      <c r="F52" t="s">
        <v>1108</v>
      </c>
      <c r="G52" t="s">
        <v>374</v>
      </c>
      <c r="H52" t="s">
        <v>1518</v>
      </c>
      <c r="I52" t="s">
        <v>354</v>
      </c>
      <c r="J52" t="s">
        <v>1109</v>
      </c>
      <c r="K52" t="s">
        <v>150</v>
      </c>
      <c r="L52" t="s">
        <v>1818</v>
      </c>
      <c r="M52" t="s">
        <v>346</v>
      </c>
      <c r="N52" t="s">
        <v>1543</v>
      </c>
      <c r="O52" t="s">
        <v>1577</v>
      </c>
      <c r="P52" t="s">
        <v>1580</v>
      </c>
      <c r="Q52" s="128">
        <v>44505</v>
      </c>
      <c r="R52" s="128">
        <v>44515</v>
      </c>
      <c r="S52" t="s">
        <v>499</v>
      </c>
      <c r="T52" s="128"/>
      <c r="U52">
        <v>0</v>
      </c>
      <c r="V52">
        <v>0</v>
      </c>
      <c r="W52" t="s">
        <v>262</v>
      </c>
      <c r="X52" t="s">
        <v>1215</v>
      </c>
      <c r="AA52" t="s">
        <v>2</v>
      </c>
      <c r="AB52" t="s">
        <v>1215</v>
      </c>
      <c r="AC52" s="128">
        <v>44505</v>
      </c>
      <c r="AD52" t="s">
        <v>349</v>
      </c>
      <c r="AE52" t="s">
        <v>1252</v>
      </c>
      <c r="AF52" t="s">
        <v>1103</v>
      </c>
      <c r="AG52" t="s">
        <v>0</v>
      </c>
      <c r="AH52">
        <v>1</v>
      </c>
      <c r="AI52" t="b">
        <v>0</v>
      </c>
      <c r="AK52" t="b">
        <v>0</v>
      </c>
      <c r="AM52" t="b">
        <v>0</v>
      </c>
      <c r="AN52" t="b">
        <v>0</v>
      </c>
      <c r="AO52" t="b">
        <v>0</v>
      </c>
      <c r="AP52" t="b">
        <v>0</v>
      </c>
      <c r="AQ52" t="b">
        <v>0</v>
      </c>
      <c r="AR52" t="b">
        <v>0</v>
      </c>
      <c r="AS52" t="b">
        <v>0</v>
      </c>
      <c r="AT52" t="s">
        <v>1786</v>
      </c>
      <c r="AU52">
        <v>9830288</v>
      </c>
      <c r="AV52" t="s">
        <v>734</v>
      </c>
      <c r="AW52" t="s">
        <v>943</v>
      </c>
      <c r="AX52" s="128">
        <v>44612</v>
      </c>
      <c r="AY52" t="s">
        <v>1586</v>
      </c>
      <c r="AZ52" t="s">
        <v>583</v>
      </c>
      <c r="BA52" t="s">
        <v>143</v>
      </c>
      <c r="BB52" t="s">
        <v>43</v>
      </c>
      <c r="BD52" t="s">
        <v>756</v>
      </c>
      <c r="BG52" s="128"/>
      <c r="BH52" t="b">
        <v>0</v>
      </c>
      <c r="BI52" t="s">
        <v>499</v>
      </c>
      <c r="BK52" t="s">
        <v>1120</v>
      </c>
      <c r="BL52" t="s">
        <v>1517</v>
      </c>
      <c r="CC52" s="128"/>
      <c r="CE52" s="128"/>
      <c r="CG52" s="128"/>
      <c r="CI52" s="128"/>
      <c r="CK52" s="128"/>
      <c r="CM52" s="128"/>
      <c r="CO52" s="128"/>
      <c r="CT52" s="128"/>
      <c r="CV52" s="128"/>
    </row>
    <row r="53" spans="1:100">
      <c r="A53" t="s">
        <v>1544</v>
      </c>
      <c r="B53" s="128">
        <v>44505</v>
      </c>
      <c r="C53" t="s">
        <v>1545</v>
      </c>
      <c r="D53" t="s">
        <v>352</v>
      </c>
      <c r="E53" t="s">
        <v>1107</v>
      </c>
      <c r="F53" t="s">
        <v>1108</v>
      </c>
      <c r="G53" t="s">
        <v>374</v>
      </c>
      <c r="H53" t="s">
        <v>1518</v>
      </c>
      <c r="I53" t="s">
        <v>354</v>
      </c>
      <c r="J53" t="s">
        <v>1109</v>
      </c>
      <c r="K53" t="s">
        <v>150</v>
      </c>
      <c r="L53" t="s">
        <v>1818</v>
      </c>
      <c r="M53" t="s">
        <v>346</v>
      </c>
      <c r="N53" t="s">
        <v>1546</v>
      </c>
      <c r="O53" t="s">
        <v>1578</v>
      </c>
      <c r="P53" t="s">
        <v>1579</v>
      </c>
      <c r="Q53" s="128">
        <v>44505</v>
      </c>
      <c r="R53" s="128">
        <v>44595</v>
      </c>
      <c r="S53" t="s">
        <v>1581</v>
      </c>
      <c r="T53" s="128">
        <v>44552</v>
      </c>
      <c r="U53">
        <v>0</v>
      </c>
      <c r="V53">
        <v>0</v>
      </c>
      <c r="W53" t="s">
        <v>262</v>
      </c>
      <c r="X53" t="s">
        <v>1258</v>
      </c>
      <c r="AA53" t="s">
        <v>804</v>
      </c>
      <c r="AB53" t="s">
        <v>1784</v>
      </c>
      <c r="AC53" s="128">
        <v>44552</v>
      </c>
      <c r="AD53" t="s">
        <v>349</v>
      </c>
      <c r="AE53" t="s">
        <v>1252</v>
      </c>
      <c r="AF53" t="s">
        <v>1103</v>
      </c>
      <c r="AG53" t="s">
        <v>0</v>
      </c>
      <c r="AH53">
        <v>1</v>
      </c>
      <c r="AI53" t="b">
        <v>0</v>
      </c>
      <c r="AK53" t="b">
        <v>0</v>
      </c>
      <c r="AM53" t="b">
        <v>0</v>
      </c>
      <c r="AN53" t="b">
        <v>0</v>
      </c>
      <c r="AO53" t="b">
        <v>0</v>
      </c>
      <c r="AP53" t="b">
        <v>0</v>
      </c>
      <c r="AQ53" t="b">
        <v>0</v>
      </c>
      <c r="AR53" t="b">
        <v>0</v>
      </c>
      <c r="AS53" t="b">
        <v>0</v>
      </c>
      <c r="AT53" t="s">
        <v>1785</v>
      </c>
      <c r="AU53">
        <v>9830288</v>
      </c>
      <c r="AV53" t="s">
        <v>734</v>
      </c>
      <c r="AW53" t="s">
        <v>943</v>
      </c>
      <c r="AX53" s="128">
        <v>44612</v>
      </c>
      <c r="AY53" t="s">
        <v>1586</v>
      </c>
      <c r="AZ53" t="s">
        <v>583</v>
      </c>
      <c r="BA53" t="s">
        <v>143</v>
      </c>
      <c r="BB53" t="s">
        <v>43</v>
      </c>
      <c r="BD53" t="s">
        <v>756</v>
      </c>
      <c r="BG53" s="128"/>
      <c r="BH53" t="b">
        <v>0</v>
      </c>
      <c r="BI53" t="s">
        <v>499</v>
      </c>
      <c r="BK53" t="s">
        <v>1120</v>
      </c>
      <c r="BL53" t="s">
        <v>1517</v>
      </c>
      <c r="CC53" s="128"/>
      <c r="CE53" s="128"/>
      <c r="CG53" s="128"/>
      <c r="CI53" s="128"/>
      <c r="CK53" s="128"/>
      <c r="CM53" s="128"/>
      <c r="CO53" s="128"/>
      <c r="CT53" s="128"/>
      <c r="CV53" s="128"/>
    </row>
    <row r="54" spans="1:100">
      <c r="A54" t="s">
        <v>1547</v>
      </c>
      <c r="B54" s="128">
        <v>44513</v>
      </c>
      <c r="C54" t="s">
        <v>1548</v>
      </c>
      <c r="D54" t="s">
        <v>364</v>
      </c>
      <c r="E54" t="s">
        <v>1101</v>
      </c>
      <c r="F54" t="s">
        <v>1102</v>
      </c>
      <c r="G54" t="s">
        <v>390</v>
      </c>
      <c r="H54" t="s">
        <v>1406</v>
      </c>
      <c r="I54" t="s">
        <v>19</v>
      </c>
      <c r="J54" t="s">
        <v>1123</v>
      </c>
      <c r="K54" t="s">
        <v>150</v>
      </c>
      <c r="L54" t="s">
        <v>1818</v>
      </c>
      <c r="M54" t="s">
        <v>346</v>
      </c>
      <c r="N54" t="s">
        <v>1567</v>
      </c>
      <c r="O54" t="s">
        <v>1568</v>
      </c>
      <c r="P54" t="s">
        <v>1569</v>
      </c>
      <c r="Q54" s="128">
        <v>44513</v>
      </c>
      <c r="R54" s="128">
        <v>44573</v>
      </c>
      <c r="S54" t="s">
        <v>1582</v>
      </c>
      <c r="T54" s="128">
        <v>44515</v>
      </c>
      <c r="U54">
        <v>0</v>
      </c>
      <c r="V54">
        <v>0</v>
      </c>
      <c r="W54" t="s">
        <v>262</v>
      </c>
      <c r="X54" t="s">
        <v>1780</v>
      </c>
      <c r="AA54" t="s">
        <v>4</v>
      </c>
      <c r="AB54" t="s">
        <v>1781</v>
      </c>
      <c r="AC54" s="128">
        <v>44515</v>
      </c>
      <c r="AD54" t="s">
        <v>349</v>
      </c>
      <c r="AE54" t="s">
        <v>1782</v>
      </c>
      <c r="AF54" t="s">
        <v>1103</v>
      </c>
      <c r="AG54" t="s">
        <v>0</v>
      </c>
      <c r="AH54">
        <v>3</v>
      </c>
      <c r="AI54" t="b">
        <v>0</v>
      </c>
      <c r="AK54" t="b">
        <v>0</v>
      </c>
      <c r="AM54" t="b">
        <v>0</v>
      </c>
      <c r="AN54" t="b">
        <v>1</v>
      </c>
      <c r="AO54" t="b">
        <v>0</v>
      </c>
      <c r="AP54" t="b">
        <v>0</v>
      </c>
      <c r="AQ54" t="b">
        <v>1</v>
      </c>
      <c r="AR54" t="b">
        <v>0</v>
      </c>
      <c r="AS54" t="b">
        <v>0</v>
      </c>
      <c r="AT54" t="s">
        <v>1783</v>
      </c>
      <c r="AU54">
        <v>9830288</v>
      </c>
      <c r="AV54" t="s">
        <v>734</v>
      </c>
      <c r="AW54" t="s">
        <v>943</v>
      </c>
      <c r="AX54" s="128">
        <v>44612</v>
      </c>
      <c r="AY54" t="s">
        <v>1586</v>
      </c>
      <c r="AZ54" t="s">
        <v>19</v>
      </c>
      <c r="BA54" t="s">
        <v>150</v>
      </c>
      <c r="BB54" t="s">
        <v>43</v>
      </c>
      <c r="BD54" t="s">
        <v>756</v>
      </c>
      <c r="BG54" s="128"/>
      <c r="BH54" t="b">
        <v>0</v>
      </c>
      <c r="BI54" t="s">
        <v>1571</v>
      </c>
      <c r="BK54" t="s">
        <v>1120</v>
      </c>
      <c r="BL54" t="s">
        <v>1517</v>
      </c>
      <c r="CC54" s="128"/>
      <c r="CE54" s="128"/>
      <c r="CG54" s="128"/>
      <c r="CI54" s="128"/>
      <c r="CK54" s="128"/>
      <c r="CM54" s="128"/>
      <c r="CO54" s="128"/>
      <c r="CT54" s="128"/>
      <c r="CV54" s="128"/>
    </row>
    <row r="55" spans="1:100">
      <c r="A55" t="s">
        <v>1605</v>
      </c>
      <c r="B55" s="128">
        <v>44533</v>
      </c>
      <c r="C55" t="s">
        <v>1606</v>
      </c>
      <c r="D55" t="s">
        <v>364</v>
      </c>
      <c r="E55" t="s">
        <v>1101</v>
      </c>
      <c r="F55" t="s">
        <v>1102</v>
      </c>
      <c r="G55" t="s">
        <v>389</v>
      </c>
      <c r="H55" t="s">
        <v>1586</v>
      </c>
      <c r="I55" t="s">
        <v>582</v>
      </c>
      <c r="J55" t="s">
        <v>1110</v>
      </c>
      <c r="K55" t="s">
        <v>69</v>
      </c>
      <c r="L55" t="s">
        <v>1111</v>
      </c>
      <c r="M55" t="s">
        <v>346</v>
      </c>
      <c r="N55" t="s">
        <v>1607</v>
      </c>
      <c r="O55" t="s">
        <v>1608</v>
      </c>
      <c r="P55" t="s">
        <v>1609</v>
      </c>
      <c r="Q55" s="128">
        <v>44533</v>
      </c>
      <c r="R55" s="128">
        <v>44623</v>
      </c>
      <c r="T55" s="128"/>
      <c r="U55">
        <v>0</v>
      </c>
      <c r="V55">
        <v>0</v>
      </c>
      <c r="W55" t="s">
        <v>262</v>
      </c>
      <c r="X55" t="s">
        <v>1778</v>
      </c>
      <c r="AA55" t="s">
        <v>1</v>
      </c>
      <c r="AC55" s="128"/>
      <c r="AD55" t="s">
        <v>261</v>
      </c>
      <c r="AF55" t="s">
        <v>1103</v>
      </c>
      <c r="AG55" t="s">
        <v>0</v>
      </c>
      <c r="AH55">
        <v>1</v>
      </c>
      <c r="AI55" t="b">
        <v>0</v>
      </c>
      <c r="AK55" t="b">
        <v>0</v>
      </c>
      <c r="AM55" t="b">
        <v>0</v>
      </c>
      <c r="AN55" t="b">
        <v>0</v>
      </c>
      <c r="AO55" t="b">
        <v>0</v>
      </c>
      <c r="AP55" t="b">
        <v>0</v>
      </c>
      <c r="AQ55" t="b">
        <v>0</v>
      </c>
      <c r="AR55" t="b">
        <v>0</v>
      </c>
      <c r="AS55" t="b">
        <v>0</v>
      </c>
      <c r="AT55" t="s">
        <v>1779</v>
      </c>
      <c r="AU55">
        <v>9830288</v>
      </c>
      <c r="AV55" t="s">
        <v>734</v>
      </c>
      <c r="AW55" t="s">
        <v>943</v>
      </c>
      <c r="AX55" s="128">
        <v>44611</v>
      </c>
      <c r="AY55" t="s">
        <v>1586</v>
      </c>
      <c r="AZ55" t="s">
        <v>582</v>
      </c>
      <c r="BA55" t="s">
        <v>69</v>
      </c>
      <c r="BB55" t="s">
        <v>40</v>
      </c>
      <c r="BD55" t="s">
        <v>30</v>
      </c>
      <c r="BG55" s="128"/>
      <c r="BH55" t="b">
        <v>0</v>
      </c>
      <c r="BI55" t="s">
        <v>1610</v>
      </c>
      <c r="BK55" t="s">
        <v>1120</v>
      </c>
      <c r="CC55" s="128"/>
      <c r="CE55" s="128"/>
      <c r="CG55" s="128"/>
      <c r="CI55" s="128"/>
      <c r="CK55" s="128"/>
      <c r="CM55" s="128"/>
      <c r="CO55" s="128"/>
      <c r="CT55" s="128"/>
      <c r="CV55" s="128"/>
    </row>
    <row r="56" spans="1:100">
      <c r="A56" t="s">
        <v>1611</v>
      </c>
      <c r="B56" s="128">
        <v>44545</v>
      </c>
      <c r="C56" t="s">
        <v>1612</v>
      </c>
      <c r="D56" t="s">
        <v>364</v>
      </c>
      <c r="E56" t="s">
        <v>1101</v>
      </c>
      <c r="F56" t="s">
        <v>1102</v>
      </c>
      <c r="G56" t="s">
        <v>390</v>
      </c>
      <c r="H56" t="s">
        <v>1406</v>
      </c>
      <c r="I56" t="s">
        <v>15</v>
      </c>
      <c r="J56" t="s">
        <v>1819</v>
      </c>
      <c r="K56" t="s">
        <v>179</v>
      </c>
      <c r="L56" t="s">
        <v>1820</v>
      </c>
      <c r="M56" t="s">
        <v>346</v>
      </c>
      <c r="N56" t="s">
        <v>1613</v>
      </c>
      <c r="O56" t="s">
        <v>1614</v>
      </c>
      <c r="P56" t="s">
        <v>1615</v>
      </c>
      <c r="Q56" s="128">
        <v>44545</v>
      </c>
      <c r="R56" s="128">
        <v>44635</v>
      </c>
      <c r="T56" s="128"/>
      <c r="U56">
        <v>0</v>
      </c>
      <c r="V56">
        <v>0</v>
      </c>
      <c r="W56" t="s">
        <v>262</v>
      </c>
      <c r="X56" t="s">
        <v>1776</v>
      </c>
      <c r="AA56" t="s">
        <v>167</v>
      </c>
      <c r="AC56" s="128"/>
      <c r="AD56" t="s">
        <v>261</v>
      </c>
      <c r="AF56" t="s">
        <v>1103</v>
      </c>
      <c r="AG56" t="s">
        <v>0</v>
      </c>
      <c r="AH56">
        <v>1</v>
      </c>
      <c r="AI56" t="b">
        <v>0</v>
      </c>
      <c r="AK56" t="b">
        <v>0</v>
      </c>
      <c r="AM56" t="b">
        <v>0</v>
      </c>
      <c r="AN56" t="b">
        <v>0</v>
      </c>
      <c r="AO56" t="b">
        <v>0</v>
      </c>
      <c r="AP56" t="b">
        <v>0</v>
      </c>
      <c r="AQ56" t="b">
        <v>0</v>
      </c>
      <c r="AR56" t="b">
        <v>0</v>
      </c>
      <c r="AS56" t="b">
        <v>0</v>
      </c>
      <c r="AT56" t="s">
        <v>1777</v>
      </c>
      <c r="AU56">
        <v>9830288</v>
      </c>
      <c r="AV56" t="s">
        <v>734</v>
      </c>
      <c r="AW56" t="s">
        <v>943</v>
      </c>
      <c r="AX56" s="128">
        <v>44611</v>
      </c>
      <c r="AY56" t="s">
        <v>1586</v>
      </c>
      <c r="AZ56" t="s">
        <v>15</v>
      </c>
      <c r="BA56" t="s">
        <v>179</v>
      </c>
      <c r="BB56" t="s">
        <v>43</v>
      </c>
      <c r="BD56" t="s">
        <v>756</v>
      </c>
      <c r="BG56" s="128"/>
      <c r="BH56" t="b">
        <v>0</v>
      </c>
      <c r="BI56" t="s">
        <v>1616</v>
      </c>
      <c r="BK56" t="s">
        <v>1120</v>
      </c>
      <c r="CC56" s="128"/>
      <c r="CE56" s="128"/>
      <c r="CG56" s="128"/>
      <c r="CI56" s="128"/>
      <c r="CK56" s="128"/>
      <c r="CM56" s="128"/>
      <c r="CO56" s="128"/>
      <c r="CT56" s="128"/>
      <c r="CV56" s="128"/>
    </row>
    <row r="57" spans="1:100">
      <c r="A57" t="s">
        <v>1617</v>
      </c>
      <c r="B57" s="128">
        <v>44549</v>
      </c>
      <c r="C57" t="s">
        <v>1618</v>
      </c>
      <c r="D57" t="s">
        <v>364</v>
      </c>
      <c r="E57" t="s">
        <v>1101</v>
      </c>
      <c r="F57" t="s">
        <v>1102</v>
      </c>
      <c r="G57" t="s">
        <v>390</v>
      </c>
      <c r="H57" t="s">
        <v>1406</v>
      </c>
      <c r="I57" t="s">
        <v>14</v>
      </c>
      <c r="J57" t="s">
        <v>1116</v>
      </c>
      <c r="K57" t="s">
        <v>100</v>
      </c>
      <c r="L57" t="s">
        <v>1492</v>
      </c>
      <c r="M57" t="s">
        <v>346</v>
      </c>
      <c r="N57" t="s">
        <v>1619</v>
      </c>
      <c r="O57" t="s">
        <v>1620</v>
      </c>
      <c r="P57" t="s">
        <v>1621</v>
      </c>
      <c r="Q57" s="128">
        <v>44549</v>
      </c>
      <c r="R57" s="128">
        <v>44639</v>
      </c>
      <c r="T57" s="128"/>
      <c r="U57">
        <v>0</v>
      </c>
      <c r="V57">
        <v>0</v>
      </c>
      <c r="W57" t="s">
        <v>262</v>
      </c>
      <c r="X57" t="s">
        <v>1774</v>
      </c>
      <c r="AA57" t="s">
        <v>4</v>
      </c>
      <c r="AC57" s="128"/>
      <c r="AD57" t="s">
        <v>261</v>
      </c>
      <c r="AF57" t="s">
        <v>1103</v>
      </c>
      <c r="AG57" t="s">
        <v>0</v>
      </c>
      <c r="AH57">
        <v>1</v>
      </c>
      <c r="AI57" t="b">
        <v>0</v>
      </c>
      <c r="AK57" t="b">
        <v>0</v>
      </c>
      <c r="AM57" t="b">
        <v>0</v>
      </c>
      <c r="AN57" t="b">
        <v>0</v>
      </c>
      <c r="AO57" t="b">
        <v>0</v>
      </c>
      <c r="AP57" t="b">
        <v>0</v>
      </c>
      <c r="AQ57" t="b">
        <v>0</v>
      </c>
      <c r="AR57" t="b">
        <v>0</v>
      </c>
      <c r="AS57" t="b">
        <v>0</v>
      </c>
      <c r="AT57" t="s">
        <v>1775</v>
      </c>
      <c r="AU57">
        <v>9830288</v>
      </c>
      <c r="AV57" t="s">
        <v>734</v>
      </c>
      <c r="AW57" t="s">
        <v>943</v>
      </c>
      <c r="AX57" s="128">
        <v>44611</v>
      </c>
      <c r="AY57" t="s">
        <v>1586</v>
      </c>
      <c r="AZ57" t="s">
        <v>14</v>
      </c>
      <c r="BA57" t="s">
        <v>100</v>
      </c>
      <c r="BB57" t="s">
        <v>43</v>
      </c>
      <c r="BD57" t="s">
        <v>756</v>
      </c>
      <c r="BG57" s="128"/>
      <c r="BH57" t="b">
        <v>0</v>
      </c>
      <c r="BI57" t="s">
        <v>1622</v>
      </c>
      <c r="BK57" t="s">
        <v>1120</v>
      </c>
      <c r="CC57" s="128"/>
      <c r="CE57" s="128"/>
      <c r="CG57" s="128"/>
      <c r="CI57" s="128"/>
      <c r="CK57" s="128"/>
      <c r="CM57" s="128"/>
      <c r="CO57" s="128"/>
      <c r="CT57" s="128"/>
      <c r="CV57" s="128"/>
    </row>
    <row r="58" spans="1:100">
      <c r="A58" t="s">
        <v>1623</v>
      </c>
      <c r="B58" s="128">
        <v>44599</v>
      </c>
      <c r="C58" t="s">
        <v>1624</v>
      </c>
      <c r="D58" t="s">
        <v>364</v>
      </c>
      <c r="E58" t="s">
        <v>1101</v>
      </c>
      <c r="F58" t="s">
        <v>1102</v>
      </c>
      <c r="G58" t="s">
        <v>390</v>
      </c>
      <c r="H58" t="s">
        <v>1406</v>
      </c>
      <c r="I58" t="s">
        <v>14</v>
      </c>
      <c r="J58" t="s">
        <v>1116</v>
      </c>
      <c r="K58" t="s">
        <v>100</v>
      </c>
      <c r="L58" t="s">
        <v>1492</v>
      </c>
      <c r="M58" t="s">
        <v>346</v>
      </c>
      <c r="N58" t="s">
        <v>1625</v>
      </c>
      <c r="O58" t="s">
        <v>1626</v>
      </c>
      <c r="P58" t="s">
        <v>1627</v>
      </c>
      <c r="Q58" s="128">
        <v>44599</v>
      </c>
      <c r="R58" s="128">
        <v>44659</v>
      </c>
      <c r="S58" t="s">
        <v>499</v>
      </c>
      <c r="T58" s="128"/>
      <c r="U58">
        <v>0</v>
      </c>
      <c r="V58">
        <v>0</v>
      </c>
      <c r="W58" t="s">
        <v>262</v>
      </c>
      <c r="X58" t="s">
        <v>1772</v>
      </c>
      <c r="AA58" t="s">
        <v>4</v>
      </c>
      <c r="AC58" s="128"/>
      <c r="AD58" t="s">
        <v>261</v>
      </c>
      <c r="AF58" t="s">
        <v>1103</v>
      </c>
      <c r="AG58" t="s">
        <v>0</v>
      </c>
      <c r="AH58">
        <v>2</v>
      </c>
      <c r="AI58" t="b">
        <v>0</v>
      </c>
      <c r="AK58" t="b">
        <v>1</v>
      </c>
      <c r="AL58">
        <v>3</v>
      </c>
      <c r="AM58" t="b">
        <v>0</v>
      </c>
      <c r="AN58" t="b">
        <v>0</v>
      </c>
      <c r="AO58" t="b">
        <v>0</v>
      </c>
      <c r="AP58" t="b">
        <v>0</v>
      </c>
      <c r="AQ58" t="b">
        <v>0</v>
      </c>
      <c r="AR58" t="b">
        <v>0</v>
      </c>
      <c r="AS58" t="b">
        <v>0</v>
      </c>
      <c r="AT58" t="s">
        <v>1773</v>
      </c>
      <c r="AU58">
        <v>9830288</v>
      </c>
      <c r="AV58" t="s">
        <v>734</v>
      </c>
      <c r="AW58" t="s">
        <v>943</v>
      </c>
      <c r="AX58" s="128">
        <v>44611</v>
      </c>
      <c r="AY58" t="s">
        <v>1586</v>
      </c>
      <c r="AZ58" t="s">
        <v>14</v>
      </c>
      <c r="BA58" t="s">
        <v>100</v>
      </c>
      <c r="BB58" t="s">
        <v>43</v>
      </c>
      <c r="BD58" t="s">
        <v>756</v>
      </c>
      <c r="BG58" s="128"/>
      <c r="BH58" t="b">
        <v>0</v>
      </c>
      <c r="BK58" t="s">
        <v>1120</v>
      </c>
      <c r="CC58" s="128"/>
      <c r="CE58" s="128"/>
      <c r="CG58" s="128"/>
      <c r="CI58" s="128"/>
      <c r="CK58" s="128"/>
      <c r="CM58" s="128"/>
      <c r="CO58" s="128"/>
      <c r="CT58" s="128"/>
      <c r="CV58" s="128"/>
    </row>
    <row r="59" spans="1:100">
      <c r="A59" t="s">
        <v>1630</v>
      </c>
      <c r="B59" s="128">
        <v>44522</v>
      </c>
      <c r="C59" t="s">
        <v>1631</v>
      </c>
      <c r="D59" t="s">
        <v>352</v>
      </c>
      <c r="E59" t="s">
        <v>1107</v>
      </c>
      <c r="F59" t="s">
        <v>1108</v>
      </c>
      <c r="G59" t="s">
        <v>374</v>
      </c>
      <c r="H59" t="s">
        <v>1633</v>
      </c>
      <c r="I59" t="s">
        <v>354</v>
      </c>
      <c r="J59" t="s">
        <v>1109</v>
      </c>
      <c r="K59" t="s">
        <v>408</v>
      </c>
      <c r="L59" t="s">
        <v>1200</v>
      </c>
      <c r="M59" t="s">
        <v>346</v>
      </c>
      <c r="N59" t="s">
        <v>1634</v>
      </c>
      <c r="O59" t="s">
        <v>1685</v>
      </c>
      <c r="P59" t="s">
        <v>1767</v>
      </c>
      <c r="Q59" s="128">
        <v>44523</v>
      </c>
      <c r="R59" s="128">
        <v>44525</v>
      </c>
      <c r="S59" t="s">
        <v>1768</v>
      </c>
      <c r="T59" s="128">
        <v>44525</v>
      </c>
      <c r="U59">
        <v>0</v>
      </c>
      <c r="V59">
        <v>0</v>
      </c>
      <c r="W59" t="s">
        <v>262</v>
      </c>
      <c r="X59" t="s">
        <v>1769</v>
      </c>
      <c r="AA59" t="s">
        <v>804</v>
      </c>
      <c r="AB59" t="s">
        <v>1770</v>
      </c>
      <c r="AC59" s="128">
        <v>44525</v>
      </c>
      <c r="AD59" t="s">
        <v>349</v>
      </c>
      <c r="AE59" t="s">
        <v>1442</v>
      </c>
      <c r="AF59" t="s">
        <v>1103</v>
      </c>
      <c r="AG59" t="s">
        <v>0</v>
      </c>
      <c r="AH59">
        <v>1</v>
      </c>
      <c r="AI59" t="b">
        <v>0</v>
      </c>
      <c r="AK59" t="b">
        <v>0</v>
      </c>
      <c r="AM59" t="b">
        <v>0</v>
      </c>
      <c r="AN59" t="b">
        <v>0</v>
      </c>
      <c r="AO59" t="b">
        <v>0</v>
      </c>
      <c r="AP59" t="b">
        <v>0</v>
      </c>
      <c r="AQ59" t="b">
        <v>0</v>
      </c>
      <c r="AR59" t="b">
        <v>0</v>
      </c>
      <c r="AS59" t="b">
        <v>0</v>
      </c>
      <c r="AT59" t="s">
        <v>1771</v>
      </c>
      <c r="AU59">
        <v>9830288</v>
      </c>
      <c r="AV59" t="s">
        <v>734</v>
      </c>
      <c r="AW59" t="s">
        <v>943</v>
      </c>
      <c r="AX59" s="128">
        <v>44611</v>
      </c>
      <c r="AY59" t="s">
        <v>1586</v>
      </c>
      <c r="BB59" t="s">
        <v>35</v>
      </c>
      <c r="BD59" t="s">
        <v>28</v>
      </c>
      <c r="BG59" s="128"/>
      <c r="BH59" t="b">
        <v>0</v>
      </c>
      <c r="BK59" t="s">
        <v>1120</v>
      </c>
      <c r="BL59" t="s">
        <v>1632</v>
      </c>
      <c r="CC59" s="128"/>
      <c r="CE59" s="128"/>
      <c r="CG59" s="128"/>
      <c r="CI59" s="128"/>
      <c r="CK59" s="128"/>
      <c r="CM59" s="128"/>
      <c r="CO59" s="128"/>
      <c r="CT59" s="128"/>
      <c r="CV59" s="128"/>
    </row>
    <row r="60" spans="1:100">
      <c r="A60" t="s">
        <v>1635</v>
      </c>
      <c r="B60" s="128">
        <v>44522</v>
      </c>
      <c r="C60" t="s">
        <v>1636</v>
      </c>
      <c r="D60" t="s">
        <v>352</v>
      </c>
      <c r="E60" t="s">
        <v>1107</v>
      </c>
      <c r="F60" t="s">
        <v>1108</v>
      </c>
      <c r="G60" t="s">
        <v>374</v>
      </c>
      <c r="H60" t="s">
        <v>1633</v>
      </c>
      <c r="I60" t="s">
        <v>354</v>
      </c>
      <c r="J60" t="s">
        <v>1109</v>
      </c>
      <c r="K60" t="s">
        <v>408</v>
      </c>
      <c r="L60" t="s">
        <v>1200</v>
      </c>
      <c r="M60" t="s">
        <v>346</v>
      </c>
      <c r="N60" t="s">
        <v>1637</v>
      </c>
      <c r="O60" t="s">
        <v>1685</v>
      </c>
      <c r="P60" t="s">
        <v>1762</v>
      </c>
      <c r="Q60" s="128">
        <v>44524</v>
      </c>
      <c r="R60" s="128">
        <v>44525</v>
      </c>
      <c r="S60" t="s">
        <v>1763</v>
      </c>
      <c r="T60" s="128">
        <v>44525</v>
      </c>
      <c r="U60">
        <v>0</v>
      </c>
      <c r="V60">
        <v>0</v>
      </c>
      <c r="W60" t="s">
        <v>262</v>
      </c>
      <c r="X60" t="s">
        <v>1764</v>
      </c>
      <c r="AA60" t="s">
        <v>1</v>
      </c>
      <c r="AB60" t="s">
        <v>1765</v>
      </c>
      <c r="AC60" s="128">
        <v>44525</v>
      </c>
      <c r="AD60" t="s">
        <v>349</v>
      </c>
      <c r="AE60" t="s">
        <v>1252</v>
      </c>
      <c r="AF60" t="s">
        <v>1103</v>
      </c>
      <c r="AG60" t="s">
        <v>0</v>
      </c>
      <c r="AH60">
        <v>1</v>
      </c>
      <c r="AI60" t="b">
        <v>0</v>
      </c>
      <c r="AK60" t="b">
        <v>0</v>
      </c>
      <c r="AM60" t="b">
        <v>0</v>
      </c>
      <c r="AN60" t="b">
        <v>0</v>
      </c>
      <c r="AO60" t="b">
        <v>0</v>
      </c>
      <c r="AP60" t="b">
        <v>0</v>
      </c>
      <c r="AQ60" t="b">
        <v>0</v>
      </c>
      <c r="AR60" t="b">
        <v>0</v>
      </c>
      <c r="AS60" t="b">
        <v>0</v>
      </c>
      <c r="AT60" t="s">
        <v>1766</v>
      </c>
      <c r="AU60">
        <v>9830288</v>
      </c>
      <c r="AV60" t="s">
        <v>734</v>
      </c>
      <c r="AW60" t="s">
        <v>943</v>
      </c>
      <c r="AX60" s="128">
        <v>44611</v>
      </c>
      <c r="AY60" t="s">
        <v>1586</v>
      </c>
      <c r="BB60" t="s">
        <v>35</v>
      </c>
      <c r="BD60" t="s">
        <v>28</v>
      </c>
      <c r="BG60" s="128"/>
      <c r="BH60" t="b">
        <v>0</v>
      </c>
      <c r="BK60" t="s">
        <v>1120</v>
      </c>
      <c r="BL60" t="s">
        <v>1632</v>
      </c>
      <c r="CC60" s="128"/>
      <c r="CE60" s="128"/>
      <c r="CG60" s="128"/>
      <c r="CI60" s="128"/>
      <c r="CK60" s="128"/>
      <c r="CM60" s="128"/>
      <c r="CO60" s="128"/>
      <c r="CT60" s="128"/>
      <c r="CV60" s="128"/>
    </row>
    <row r="61" spans="1:100">
      <c r="A61" t="s">
        <v>1638</v>
      </c>
      <c r="B61" s="128">
        <v>44522</v>
      </c>
      <c r="C61" t="s">
        <v>1639</v>
      </c>
      <c r="D61" t="s">
        <v>352</v>
      </c>
      <c r="E61" t="s">
        <v>1107</v>
      </c>
      <c r="F61" t="s">
        <v>1108</v>
      </c>
      <c r="G61" t="s">
        <v>374</v>
      </c>
      <c r="H61" t="s">
        <v>1633</v>
      </c>
      <c r="I61" t="s">
        <v>354</v>
      </c>
      <c r="J61" t="s">
        <v>1109</v>
      </c>
      <c r="K61" t="s">
        <v>426</v>
      </c>
      <c r="L61" t="s">
        <v>1162</v>
      </c>
      <c r="M61" t="s">
        <v>346</v>
      </c>
      <c r="N61" t="s">
        <v>1640</v>
      </c>
      <c r="O61" t="s">
        <v>1749</v>
      </c>
      <c r="P61" t="s">
        <v>1758</v>
      </c>
      <c r="Q61" s="128">
        <v>44523</v>
      </c>
      <c r="R61" s="128">
        <v>44545</v>
      </c>
      <c r="S61" t="s">
        <v>1759</v>
      </c>
      <c r="T61" s="128">
        <v>44543</v>
      </c>
      <c r="U61">
        <v>0</v>
      </c>
      <c r="V61">
        <v>0</v>
      </c>
      <c r="W61" t="s">
        <v>262</v>
      </c>
      <c r="X61" t="s">
        <v>1302</v>
      </c>
      <c r="AA61" t="s">
        <v>1</v>
      </c>
      <c r="AB61" t="s">
        <v>1760</v>
      </c>
      <c r="AC61" s="128">
        <v>44547</v>
      </c>
      <c r="AD61" t="s">
        <v>349</v>
      </c>
      <c r="AE61" t="s">
        <v>1252</v>
      </c>
      <c r="AF61" t="s">
        <v>1103</v>
      </c>
      <c r="AG61" t="s">
        <v>0</v>
      </c>
      <c r="AH61">
        <v>1</v>
      </c>
      <c r="AI61" t="b">
        <v>0</v>
      </c>
      <c r="AK61" t="b">
        <v>0</v>
      </c>
      <c r="AM61" t="b">
        <v>0</v>
      </c>
      <c r="AN61" t="b">
        <v>0</v>
      </c>
      <c r="AO61" t="b">
        <v>0</v>
      </c>
      <c r="AP61" t="b">
        <v>0</v>
      </c>
      <c r="AQ61" t="b">
        <v>0</v>
      </c>
      <c r="AR61" t="b">
        <v>0</v>
      </c>
      <c r="AS61" t="b">
        <v>0</v>
      </c>
      <c r="AT61" t="s">
        <v>1761</v>
      </c>
      <c r="AU61">
        <v>9830288</v>
      </c>
      <c r="AV61" t="s">
        <v>734</v>
      </c>
      <c r="AW61" t="s">
        <v>943</v>
      </c>
      <c r="AX61" s="128">
        <v>44611</v>
      </c>
      <c r="AY61" t="s">
        <v>1586</v>
      </c>
      <c r="BB61" t="s">
        <v>52</v>
      </c>
      <c r="BD61" t="s">
        <v>757</v>
      </c>
      <c r="BG61" s="128"/>
      <c r="BH61" t="b">
        <v>0</v>
      </c>
      <c r="BK61" t="s">
        <v>1120</v>
      </c>
      <c r="BL61" t="s">
        <v>1632</v>
      </c>
      <c r="CC61" s="128"/>
      <c r="CE61" s="128"/>
      <c r="CG61" s="128"/>
      <c r="CI61" s="128"/>
      <c r="CK61" s="128"/>
      <c r="CM61" s="128"/>
      <c r="CO61" s="128"/>
      <c r="CT61" s="128"/>
      <c r="CV61" s="128"/>
    </row>
    <row r="62" spans="1:100">
      <c r="A62" t="s">
        <v>1641</v>
      </c>
      <c r="B62" s="128">
        <v>44522</v>
      </c>
      <c r="C62" t="s">
        <v>1642</v>
      </c>
      <c r="D62" t="s">
        <v>352</v>
      </c>
      <c r="E62" t="s">
        <v>1107</v>
      </c>
      <c r="F62" t="s">
        <v>1108</v>
      </c>
      <c r="G62" t="s">
        <v>374</v>
      </c>
      <c r="H62" t="s">
        <v>1633</v>
      </c>
      <c r="I62" t="s">
        <v>354</v>
      </c>
      <c r="J62" t="s">
        <v>1109</v>
      </c>
      <c r="K62" t="s">
        <v>426</v>
      </c>
      <c r="L62" t="s">
        <v>1162</v>
      </c>
      <c r="M62" t="s">
        <v>346</v>
      </c>
      <c r="N62" t="s">
        <v>1643</v>
      </c>
      <c r="O62" t="s">
        <v>1753</v>
      </c>
      <c r="P62" t="s">
        <v>1754</v>
      </c>
      <c r="Q62" s="128">
        <v>44523</v>
      </c>
      <c r="R62" s="128">
        <v>44545</v>
      </c>
      <c r="S62" t="s">
        <v>1755</v>
      </c>
      <c r="T62" s="128">
        <v>44540</v>
      </c>
      <c r="U62">
        <v>0</v>
      </c>
      <c r="V62">
        <v>0</v>
      </c>
      <c r="W62" t="s">
        <v>262</v>
      </c>
      <c r="X62" t="s">
        <v>1302</v>
      </c>
      <c r="AA62" t="s">
        <v>1</v>
      </c>
      <c r="AB62" t="s">
        <v>1756</v>
      </c>
      <c r="AC62" s="128">
        <v>44546</v>
      </c>
      <c r="AD62" t="s">
        <v>349</v>
      </c>
      <c r="AE62" t="s">
        <v>1252</v>
      </c>
      <c r="AF62" t="s">
        <v>1103</v>
      </c>
      <c r="AG62" t="s">
        <v>0</v>
      </c>
      <c r="AH62">
        <v>1</v>
      </c>
      <c r="AI62" t="b">
        <v>0</v>
      </c>
      <c r="AK62" t="b">
        <v>0</v>
      </c>
      <c r="AM62" t="b">
        <v>0</v>
      </c>
      <c r="AN62" t="b">
        <v>0</v>
      </c>
      <c r="AO62" t="b">
        <v>0</v>
      </c>
      <c r="AP62" t="b">
        <v>0</v>
      </c>
      <c r="AQ62" t="b">
        <v>0</v>
      </c>
      <c r="AR62" t="b">
        <v>0</v>
      </c>
      <c r="AS62" t="b">
        <v>0</v>
      </c>
      <c r="AT62" t="s">
        <v>1757</v>
      </c>
      <c r="AU62">
        <v>9830288</v>
      </c>
      <c r="AV62" t="s">
        <v>734</v>
      </c>
      <c r="AW62" t="s">
        <v>943</v>
      </c>
      <c r="AX62" s="128">
        <v>44611</v>
      </c>
      <c r="AY62" t="s">
        <v>1586</v>
      </c>
      <c r="BB62" t="s">
        <v>52</v>
      </c>
      <c r="BD62" t="s">
        <v>757</v>
      </c>
      <c r="BG62" s="128"/>
      <c r="BH62" t="b">
        <v>0</v>
      </c>
      <c r="BK62" t="s">
        <v>1120</v>
      </c>
      <c r="BL62" t="s">
        <v>1632</v>
      </c>
      <c r="CC62" s="128"/>
      <c r="CE62" s="128"/>
      <c r="CG62" s="128"/>
      <c r="CI62" s="128"/>
      <c r="CK62" s="128"/>
      <c r="CM62" s="128"/>
      <c r="CO62" s="128"/>
      <c r="CT62" s="128"/>
      <c r="CV62" s="128"/>
    </row>
    <row r="63" spans="1:100">
      <c r="A63" t="s">
        <v>1644</v>
      </c>
      <c r="B63" s="128">
        <v>44522</v>
      </c>
      <c r="C63" t="s">
        <v>1645</v>
      </c>
      <c r="D63" t="s">
        <v>352</v>
      </c>
      <c r="E63" t="s">
        <v>1107</v>
      </c>
      <c r="F63" t="s">
        <v>1108</v>
      </c>
      <c r="G63" t="s">
        <v>374</v>
      </c>
      <c r="H63" t="s">
        <v>1633</v>
      </c>
      <c r="I63" t="s">
        <v>354</v>
      </c>
      <c r="J63" t="s">
        <v>1109</v>
      </c>
      <c r="K63" t="s">
        <v>426</v>
      </c>
      <c r="L63" t="s">
        <v>1162</v>
      </c>
      <c r="M63" t="s">
        <v>346</v>
      </c>
      <c r="N63" t="s">
        <v>1646</v>
      </c>
      <c r="O63" t="s">
        <v>1746</v>
      </c>
      <c r="P63" t="s">
        <v>1747</v>
      </c>
      <c r="Q63" s="128">
        <v>44523</v>
      </c>
      <c r="R63" s="128">
        <v>44550</v>
      </c>
      <c r="S63" t="s">
        <v>1748</v>
      </c>
      <c r="T63" s="128">
        <v>44538</v>
      </c>
      <c r="U63">
        <v>0</v>
      </c>
      <c r="V63">
        <v>0</v>
      </c>
      <c r="W63" t="s">
        <v>262</v>
      </c>
      <c r="X63" t="s">
        <v>1749</v>
      </c>
      <c r="AA63" t="s">
        <v>1</v>
      </c>
      <c r="AB63" t="s">
        <v>1750</v>
      </c>
      <c r="AC63" s="128">
        <v>44547</v>
      </c>
      <c r="AD63" t="s">
        <v>349</v>
      </c>
      <c r="AE63" t="s">
        <v>1751</v>
      </c>
      <c r="AF63" t="s">
        <v>1103</v>
      </c>
      <c r="AG63" t="s">
        <v>0</v>
      </c>
      <c r="AH63">
        <v>1</v>
      </c>
      <c r="AI63" t="b">
        <v>0</v>
      </c>
      <c r="AK63" t="b">
        <v>0</v>
      </c>
      <c r="AM63" t="b">
        <v>0</v>
      </c>
      <c r="AN63" t="b">
        <v>0</v>
      </c>
      <c r="AO63" t="b">
        <v>0</v>
      </c>
      <c r="AP63" t="b">
        <v>0</v>
      </c>
      <c r="AQ63" t="b">
        <v>0</v>
      </c>
      <c r="AR63" t="b">
        <v>0</v>
      </c>
      <c r="AS63" t="b">
        <v>0</v>
      </c>
      <c r="AT63" t="s">
        <v>1752</v>
      </c>
      <c r="AU63">
        <v>9830288</v>
      </c>
      <c r="AV63" t="s">
        <v>734</v>
      </c>
      <c r="AW63" t="s">
        <v>943</v>
      </c>
      <c r="AX63" s="128">
        <v>44611</v>
      </c>
      <c r="AY63" t="s">
        <v>1586</v>
      </c>
      <c r="BB63" t="s">
        <v>52</v>
      </c>
      <c r="BD63" t="s">
        <v>757</v>
      </c>
      <c r="BG63" s="128"/>
      <c r="BH63" t="b">
        <v>0</v>
      </c>
      <c r="BK63" t="s">
        <v>1120</v>
      </c>
      <c r="BL63" t="s">
        <v>1632</v>
      </c>
      <c r="CC63" s="128"/>
      <c r="CE63" s="128"/>
      <c r="CG63" s="128"/>
      <c r="CI63" s="128"/>
      <c r="CK63" s="128"/>
      <c r="CM63" s="128"/>
      <c r="CO63" s="128"/>
      <c r="CT63" s="128"/>
      <c r="CV63" s="128"/>
    </row>
    <row r="64" spans="1:100">
      <c r="A64" t="s">
        <v>1647</v>
      </c>
      <c r="B64" s="128">
        <v>44522</v>
      </c>
      <c r="C64" t="s">
        <v>1648</v>
      </c>
      <c r="D64" t="s">
        <v>352</v>
      </c>
      <c r="E64" t="s">
        <v>1107</v>
      </c>
      <c r="F64" t="s">
        <v>1108</v>
      </c>
      <c r="G64" t="s">
        <v>374</v>
      </c>
      <c r="H64" t="s">
        <v>1633</v>
      </c>
      <c r="I64" t="s">
        <v>354</v>
      </c>
      <c r="J64" t="s">
        <v>1109</v>
      </c>
      <c r="K64" t="s">
        <v>426</v>
      </c>
      <c r="L64" t="s">
        <v>1162</v>
      </c>
      <c r="M64" t="s">
        <v>346</v>
      </c>
      <c r="N64" t="s">
        <v>1649</v>
      </c>
      <c r="O64" t="s">
        <v>1258</v>
      </c>
      <c r="P64" t="s">
        <v>1741</v>
      </c>
      <c r="Q64" s="128">
        <v>44524</v>
      </c>
      <c r="R64" s="128">
        <v>44561</v>
      </c>
      <c r="S64" t="s">
        <v>1742</v>
      </c>
      <c r="T64" s="128">
        <v>44546</v>
      </c>
      <c r="U64">
        <v>0</v>
      </c>
      <c r="V64">
        <v>0</v>
      </c>
      <c r="W64" t="s">
        <v>262</v>
      </c>
      <c r="X64" t="s">
        <v>1743</v>
      </c>
      <c r="AA64" t="s">
        <v>1</v>
      </c>
      <c r="AB64" t="s">
        <v>1744</v>
      </c>
      <c r="AC64" s="128">
        <v>44547</v>
      </c>
      <c r="AD64" t="s">
        <v>349</v>
      </c>
      <c r="AE64" t="s">
        <v>1180</v>
      </c>
      <c r="AF64" t="s">
        <v>1103</v>
      </c>
      <c r="AG64" t="s">
        <v>0</v>
      </c>
      <c r="AH64">
        <v>1</v>
      </c>
      <c r="AI64" t="b">
        <v>0</v>
      </c>
      <c r="AK64" t="b">
        <v>0</v>
      </c>
      <c r="AM64" t="b">
        <v>0</v>
      </c>
      <c r="AN64" t="b">
        <v>0</v>
      </c>
      <c r="AO64" t="b">
        <v>0</v>
      </c>
      <c r="AP64" t="b">
        <v>0</v>
      </c>
      <c r="AQ64" t="b">
        <v>0</v>
      </c>
      <c r="AR64" t="b">
        <v>0</v>
      </c>
      <c r="AS64" t="b">
        <v>0</v>
      </c>
      <c r="AT64" t="s">
        <v>1745</v>
      </c>
      <c r="AU64">
        <v>9830288</v>
      </c>
      <c r="AV64" t="s">
        <v>734</v>
      </c>
      <c r="AW64" t="s">
        <v>943</v>
      </c>
      <c r="AX64" s="128">
        <v>44611</v>
      </c>
      <c r="AY64" t="s">
        <v>1586</v>
      </c>
      <c r="BB64" t="s">
        <v>52</v>
      </c>
      <c r="BD64" t="s">
        <v>757</v>
      </c>
      <c r="BG64" s="128"/>
      <c r="BH64" t="b">
        <v>0</v>
      </c>
      <c r="BK64" t="s">
        <v>1120</v>
      </c>
      <c r="BL64" t="s">
        <v>1632</v>
      </c>
      <c r="CC64" s="128"/>
      <c r="CE64" s="128"/>
      <c r="CG64" s="128"/>
      <c r="CI64" s="128"/>
      <c r="CK64" s="128"/>
      <c r="CM64" s="128"/>
      <c r="CO64" s="128"/>
      <c r="CT64" s="128"/>
      <c r="CV64" s="128"/>
    </row>
    <row r="65" spans="1:100">
      <c r="A65" t="s">
        <v>1650</v>
      </c>
      <c r="B65" s="128">
        <v>44522</v>
      </c>
      <c r="C65" t="s">
        <v>1651</v>
      </c>
      <c r="D65" t="s">
        <v>352</v>
      </c>
      <c r="E65" t="s">
        <v>1107</v>
      </c>
      <c r="F65" t="s">
        <v>1108</v>
      </c>
      <c r="G65" t="s">
        <v>374</v>
      </c>
      <c r="H65" t="s">
        <v>1633</v>
      </c>
      <c r="I65" t="s">
        <v>354</v>
      </c>
      <c r="J65" t="s">
        <v>1109</v>
      </c>
      <c r="K65" t="s">
        <v>420</v>
      </c>
      <c r="L65" t="s">
        <v>1821</v>
      </c>
      <c r="M65" t="s">
        <v>346</v>
      </c>
      <c r="N65" t="s">
        <v>1652</v>
      </c>
      <c r="O65" t="s">
        <v>1735</v>
      </c>
      <c r="P65" t="s">
        <v>1736</v>
      </c>
      <c r="Q65" s="128">
        <v>44553</v>
      </c>
      <c r="R65" s="128">
        <v>44893</v>
      </c>
      <c r="S65" t="s">
        <v>1737</v>
      </c>
      <c r="T65" s="128">
        <v>44527</v>
      </c>
      <c r="U65">
        <v>0</v>
      </c>
      <c r="V65">
        <v>0</v>
      </c>
      <c r="W65" t="s">
        <v>262</v>
      </c>
      <c r="X65" t="s">
        <v>1738</v>
      </c>
      <c r="AA65" t="s">
        <v>1</v>
      </c>
      <c r="AB65" t="s">
        <v>1739</v>
      </c>
      <c r="AC65" s="128">
        <v>44527</v>
      </c>
      <c r="AD65" t="s">
        <v>349</v>
      </c>
      <c r="AE65" t="s">
        <v>1252</v>
      </c>
      <c r="AF65" t="s">
        <v>1103</v>
      </c>
      <c r="AG65" t="s">
        <v>0</v>
      </c>
      <c r="AH65">
        <v>1</v>
      </c>
      <c r="AI65" t="b">
        <v>0</v>
      </c>
      <c r="AK65" t="b">
        <v>0</v>
      </c>
      <c r="AM65" t="b">
        <v>0</v>
      </c>
      <c r="AN65" t="b">
        <v>0</v>
      </c>
      <c r="AO65" t="b">
        <v>0</v>
      </c>
      <c r="AP65" t="b">
        <v>0</v>
      </c>
      <c r="AQ65" t="b">
        <v>0</v>
      </c>
      <c r="AR65" t="b">
        <v>0</v>
      </c>
      <c r="AS65" t="b">
        <v>0</v>
      </c>
      <c r="AT65" t="s">
        <v>1740</v>
      </c>
      <c r="AU65">
        <v>9830288</v>
      </c>
      <c r="AV65" t="s">
        <v>734</v>
      </c>
      <c r="AW65" t="s">
        <v>943</v>
      </c>
      <c r="AX65" s="128">
        <v>44611</v>
      </c>
      <c r="AY65" t="s">
        <v>1586</v>
      </c>
      <c r="BB65" t="s">
        <v>46</v>
      </c>
      <c r="BD65" t="s">
        <v>30</v>
      </c>
      <c r="BG65" s="128"/>
      <c r="BH65" t="b">
        <v>0</v>
      </c>
      <c r="BK65" t="s">
        <v>1120</v>
      </c>
      <c r="BL65" t="s">
        <v>1632</v>
      </c>
      <c r="CC65" s="128"/>
      <c r="CE65" s="128"/>
      <c r="CG65" s="128"/>
      <c r="CI65" s="128"/>
      <c r="CK65" s="128"/>
      <c r="CM65" s="128"/>
      <c r="CO65" s="128"/>
      <c r="CT65" s="128"/>
      <c r="CV65" s="128"/>
    </row>
    <row r="66" spans="1:100">
      <c r="A66" t="s">
        <v>1653</v>
      </c>
      <c r="B66" s="128">
        <v>44522</v>
      </c>
      <c r="C66" t="s">
        <v>1654</v>
      </c>
      <c r="D66" t="s">
        <v>352</v>
      </c>
      <c r="E66" t="s">
        <v>1107</v>
      </c>
      <c r="F66" t="s">
        <v>1108</v>
      </c>
      <c r="G66" t="s">
        <v>374</v>
      </c>
      <c r="H66" t="s">
        <v>1633</v>
      </c>
      <c r="I66" t="s">
        <v>354</v>
      </c>
      <c r="J66" t="s">
        <v>1109</v>
      </c>
      <c r="K66" t="s">
        <v>426</v>
      </c>
      <c r="L66" t="s">
        <v>1162</v>
      </c>
      <c r="M66" t="s">
        <v>346</v>
      </c>
      <c r="N66" t="s">
        <v>1655</v>
      </c>
      <c r="O66" t="s">
        <v>1685</v>
      </c>
      <c r="P66" t="s">
        <v>1730</v>
      </c>
      <c r="Q66" s="128">
        <v>44526</v>
      </c>
      <c r="R66" s="128">
        <v>44545</v>
      </c>
      <c r="S66" t="s">
        <v>1731</v>
      </c>
      <c r="T66" s="128">
        <v>44526</v>
      </c>
      <c r="U66">
        <v>0</v>
      </c>
      <c r="V66">
        <v>0</v>
      </c>
      <c r="W66" t="s">
        <v>262</v>
      </c>
      <c r="X66" t="s">
        <v>1732</v>
      </c>
      <c r="AA66" t="s">
        <v>2</v>
      </c>
      <c r="AB66" t="s">
        <v>1733</v>
      </c>
      <c r="AC66" s="128">
        <v>44526</v>
      </c>
      <c r="AD66" t="s">
        <v>349</v>
      </c>
      <c r="AE66" t="s">
        <v>1252</v>
      </c>
      <c r="AF66" t="s">
        <v>1103</v>
      </c>
      <c r="AG66" t="s">
        <v>0</v>
      </c>
      <c r="AH66">
        <v>1</v>
      </c>
      <c r="AI66" t="b">
        <v>0</v>
      </c>
      <c r="AK66" t="b">
        <v>0</v>
      </c>
      <c r="AM66" t="b">
        <v>0</v>
      </c>
      <c r="AN66" t="b">
        <v>0</v>
      </c>
      <c r="AO66" t="b">
        <v>0</v>
      </c>
      <c r="AP66" t="b">
        <v>0</v>
      </c>
      <c r="AQ66" t="b">
        <v>0</v>
      </c>
      <c r="AR66" t="b">
        <v>0</v>
      </c>
      <c r="AS66" t="b">
        <v>0</v>
      </c>
      <c r="AT66" t="s">
        <v>1734</v>
      </c>
      <c r="AU66">
        <v>9830288</v>
      </c>
      <c r="AV66" t="s">
        <v>734</v>
      </c>
      <c r="AW66" t="s">
        <v>943</v>
      </c>
      <c r="AX66" s="128">
        <v>44611</v>
      </c>
      <c r="AY66" t="s">
        <v>1586</v>
      </c>
      <c r="BB66" t="s">
        <v>52</v>
      </c>
      <c r="BD66" t="s">
        <v>30</v>
      </c>
      <c r="BG66" s="128"/>
      <c r="BH66" t="b">
        <v>0</v>
      </c>
      <c r="BK66" t="s">
        <v>1120</v>
      </c>
      <c r="BL66" t="s">
        <v>1632</v>
      </c>
      <c r="CC66" s="128"/>
      <c r="CE66" s="128"/>
      <c r="CG66" s="128"/>
      <c r="CI66" s="128"/>
      <c r="CK66" s="128"/>
      <c r="CM66" s="128"/>
      <c r="CO66" s="128"/>
      <c r="CT66" s="128"/>
      <c r="CV66" s="128"/>
    </row>
    <row r="67" spans="1:100">
      <c r="A67" t="s">
        <v>1656</v>
      </c>
      <c r="B67" s="128">
        <v>44522</v>
      </c>
      <c r="C67" t="s">
        <v>1657</v>
      </c>
      <c r="D67" t="s">
        <v>352</v>
      </c>
      <c r="E67" t="s">
        <v>1107</v>
      </c>
      <c r="F67" t="s">
        <v>1108</v>
      </c>
      <c r="G67" t="s">
        <v>374</v>
      </c>
      <c r="H67" t="s">
        <v>1633</v>
      </c>
      <c r="I67" t="s">
        <v>354</v>
      </c>
      <c r="J67" t="s">
        <v>1109</v>
      </c>
      <c r="K67" t="s">
        <v>409</v>
      </c>
      <c r="L67" t="s">
        <v>1822</v>
      </c>
      <c r="M67" t="s">
        <v>346</v>
      </c>
      <c r="N67" t="s">
        <v>1658</v>
      </c>
      <c r="O67" t="s">
        <v>1685</v>
      </c>
      <c r="P67" t="s">
        <v>1725</v>
      </c>
      <c r="Q67" s="128">
        <v>44523</v>
      </c>
      <c r="R67" s="128">
        <v>44523</v>
      </c>
      <c r="S67" t="s">
        <v>1726</v>
      </c>
      <c r="T67" s="128">
        <v>44523</v>
      </c>
      <c r="U67">
        <v>0</v>
      </c>
      <c r="V67">
        <v>0</v>
      </c>
      <c r="W67" t="s">
        <v>262</v>
      </c>
      <c r="X67" t="s">
        <v>1727</v>
      </c>
      <c r="AA67" t="s">
        <v>3</v>
      </c>
      <c r="AB67" t="s">
        <v>1728</v>
      </c>
      <c r="AC67" s="128">
        <v>44525</v>
      </c>
      <c r="AD67" t="s">
        <v>349</v>
      </c>
      <c r="AE67" t="s">
        <v>1180</v>
      </c>
      <c r="AF67" t="s">
        <v>1103</v>
      </c>
      <c r="AG67" t="s">
        <v>0</v>
      </c>
      <c r="AH67">
        <v>1</v>
      </c>
      <c r="AI67" t="b">
        <v>0</v>
      </c>
      <c r="AK67" t="b">
        <v>0</v>
      </c>
      <c r="AM67" t="b">
        <v>0</v>
      </c>
      <c r="AN67" t="b">
        <v>0</v>
      </c>
      <c r="AO67" t="b">
        <v>0</v>
      </c>
      <c r="AP67" t="b">
        <v>0</v>
      </c>
      <c r="AQ67" t="b">
        <v>0</v>
      </c>
      <c r="AR67" t="b">
        <v>0</v>
      </c>
      <c r="AS67" t="b">
        <v>0</v>
      </c>
      <c r="AT67" t="s">
        <v>1729</v>
      </c>
      <c r="AU67">
        <v>9830288</v>
      </c>
      <c r="AV67" t="s">
        <v>734</v>
      </c>
      <c r="AW67" t="s">
        <v>943</v>
      </c>
      <c r="AX67" s="128">
        <v>44611</v>
      </c>
      <c r="AY67" t="s">
        <v>1586</v>
      </c>
      <c r="BB67" t="s">
        <v>36</v>
      </c>
      <c r="BD67" t="s">
        <v>28</v>
      </c>
      <c r="BG67" s="128"/>
      <c r="BH67" t="b">
        <v>0</v>
      </c>
      <c r="BK67" t="s">
        <v>1120</v>
      </c>
      <c r="BL67" t="s">
        <v>1632</v>
      </c>
      <c r="CC67" s="128"/>
      <c r="CE67" s="128"/>
      <c r="CG67" s="128"/>
      <c r="CI67" s="128"/>
      <c r="CK67" s="128"/>
      <c r="CM67" s="128"/>
      <c r="CO67" s="128"/>
      <c r="CT67" s="128"/>
      <c r="CV67" s="128"/>
    </row>
    <row r="68" spans="1:100">
      <c r="A68" t="s">
        <v>1659</v>
      </c>
      <c r="B68" s="128">
        <v>44522</v>
      </c>
      <c r="C68" t="s">
        <v>1660</v>
      </c>
      <c r="D68" t="s">
        <v>352</v>
      </c>
      <c r="E68" t="s">
        <v>1107</v>
      </c>
      <c r="F68" t="s">
        <v>1108</v>
      </c>
      <c r="G68" t="s">
        <v>374</v>
      </c>
      <c r="H68" t="s">
        <v>1633</v>
      </c>
      <c r="I68" t="s">
        <v>354</v>
      </c>
      <c r="J68" t="s">
        <v>1109</v>
      </c>
      <c r="K68" t="s">
        <v>416</v>
      </c>
      <c r="L68" t="s">
        <v>1136</v>
      </c>
      <c r="M68" t="s">
        <v>346</v>
      </c>
      <c r="N68" t="s">
        <v>1661</v>
      </c>
      <c r="O68" t="s">
        <v>1720</v>
      </c>
      <c r="P68" t="s">
        <v>1721</v>
      </c>
      <c r="Q68" s="128">
        <v>44523</v>
      </c>
      <c r="R68" s="128">
        <v>44514</v>
      </c>
      <c r="S68" t="s">
        <v>1722</v>
      </c>
      <c r="T68" s="128">
        <v>44523</v>
      </c>
      <c r="U68">
        <v>0</v>
      </c>
      <c r="V68">
        <v>0</v>
      </c>
      <c r="W68" t="s">
        <v>262</v>
      </c>
      <c r="X68" t="s">
        <v>1723</v>
      </c>
      <c r="AA68" t="s">
        <v>804</v>
      </c>
      <c r="AB68" t="s">
        <v>1702</v>
      </c>
      <c r="AC68" s="128">
        <v>44523</v>
      </c>
      <c r="AD68" t="s">
        <v>349</v>
      </c>
      <c r="AE68" t="s">
        <v>1252</v>
      </c>
      <c r="AF68" t="s">
        <v>1103</v>
      </c>
      <c r="AG68" t="s">
        <v>0</v>
      </c>
      <c r="AH68">
        <v>1</v>
      </c>
      <c r="AI68" t="b">
        <v>0</v>
      </c>
      <c r="AK68" t="b">
        <v>0</v>
      </c>
      <c r="AM68" t="b">
        <v>0</v>
      </c>
      <c r="AN68" t="b">
        <v>0</v>
      </c>
      <c r="AO68" t="b">
        <v>0</v>
      </c>
      <c r="AP68" t="b">
        <v>0</v>
      </c>
      <c r="AQ68" t="b">
        <v>0</v>
      </c>
      <c r="AR68" t="b">
        <v>0</v>
      </c>
      <c r="AS68" t="b">
        <v>0</v>
      </c>
      <c r="AT68" t="s">
        <v>1724</v>
      </c>
      <c r="AU68">
        <v>9830288</v>
      </c>
      <c r="AV68" t="s">
        <v>734</v>
      </c>
      <c r="AW68" t="s">
        <v>943</v>
      </c>
      <c r="AX68" s="128">
        <v>44607</v>
      </c>
      <c r="AY68" t="s">
        <v>1586</v>
      </c>
      <c r="BB68" t="s">
        <v>42</v>
      </c>
      <c r="BD68" t="s">
        <v>31</v>
      </c>
      <c r="BG68" s="128"/>
      <c r="BH68" t="b">
        <v>0</v>
      </c>
      <c r="BK68" t="s">
        <v>1120</v>
      </c>
      <c r="BL68" t="s">
        <v>1632</v>
      </c>
      <c r="CC68" s="128"/>
      <c r="CE68" s="128"/>
      <c r="CG68" s="128"/>
      <c r="CI68" s="128"/>
      <c r="CK68" s="128"/>
      <c r="CM68" s="128"/>
      <c r="CO68" s="128"/>
      <c r="CT68" s="128"/>
      <c r="CV68" s="128"/>
    </row>
    <row r="69" spans="1:100" ht="273">
      <c r="A69" t="s">
        <v>1662</v>
      </c>
      <c r="B69" s="128">
        <v>44522</v>
      </c>
      <c r="C69" t="s">
        <v>1663</v>
      </c>
      <c r="D69" t="s">
        <v>352</v>
      </c>
      <c r="E69" t="s">
        <v>1107</v>
      </c>
      <c r="F69" t="s">
        <v>1108</v>
      </c>
      <c r="G69" t="s">
        <v>374</v>
      </c>
      <c r="H69" t="s">
        <v>1633</v>
      </c>
      <c r="I69" t="s">
        <v>354</v>
      </c>
      <c r="J69" t="s">
        <v>1109</v>
      </c>
      <c r="K69" t="s">
        <v>416</v>
      </c>
      <c r="L69" t="s">
        <v>1136</v>
      </c>
      <c r="M69" t="s">
        <v>346</v>
      </c>
      <c r="N69" t="s">
        <v>1664</v>
      </c>
      <c r="O69" t="s">
        <v>1276</v>
      </c>
      <c r="P69" t="s">
        <v>1715</v>
      </c>
      <c r="Q69" s="128">
        <v>44525</v>
      </c>
      <c r="R69" s="128">
        <v>44545</v>
      </c>
      <c r="S69" t="s">
        <v>1716</v>
      </c>
      <c r="T69" s="128">
        <v>44526</v>
      </c>
      <c r="U69">
        <v>0</v>
      </c>
      <c r="V69">
        <v>0</v>
      </c>
      <c r="W69" t="s">
        <v>262</v>
      </c>
      <c r="X69" t="s">
        <v>1717</v>
      </c>
      <c r="AA69" t="s">
        <v>1</v>
      </c>
      <c r="AB69" s="99" t="s">
        <v>1718</v>
      </c>
      <c r="AC69" s="128">
        <v>44526</v>
      </c>
      <c r="AD69" t="s">
        <v>349</v>
      </c>
      <c r="AE69" t="s">
        <v>1252</v>
      </c>
      <c r="AF69" t="s">
        <v>1103</v>
      </c>
      <c r="AG69" t="s">
        <v>0</v>
      </c>
      <c r="AH69">
        <v>1</v>
      </c>
      <c r="AI69" t="b">
        <v>0</v>
      </c>
      <c r="AK69" t="b">
        <v>0</v>
      </c>
      <c r="AM69" t="b">
        <v>0</v>
      </c>
      <c r="AN69" t="b">
        <v>0</v>
      </c>
      <c r="AO69" t="b">
        <v>0</v>
      </c>
      <c r="AP69" t="b">
        <v>0</v>
      </c>
      <c r="AQ69" t="b">
        <v>0</v>
      </c>
      <c r="AR69" t="b">
        <v>0</v>
      </c>
      <c r="AS69" t="b">
        <v>0</v>
      </c>
      <c r="AT69" t="s">
        <v>1719</v>
      </c>
      <c r="AU69">
        <v>9830288</v>
      </c>
      <c r="AV69" t="s">
        <v>734</v>
      </c>
      <c r="AW69" t="s">
        <v>943</v>
      </c>
      <c r="AX69" s="128">
        <v>44607</v>
      </c>
      <c r="AY69" t="s">
        <v>1586</v>
      </c>
      <c r="BB69" t="s">
        <v>42</v>
      </c>
      <c r="BD69" t="s">
        <v>31</v>
      </c>
      <c r="BG69" s="128"/>
      <c r="BH69" t="b">
        <v>0</v>
      </c>
      <c r="BK69" t="s">
        <v>1120</v>
      </c>
      <c r="BL69" t="s">
        <v>1632</v>
      </c>
      <c r="CC69" s="128"/>
      <c r="CE69" s="128"/>
      <c r="CG69" s="128"/>
      <c r="CI69" s="128"/>
      <c r="CK69" s="128"/>
      <c r="CM69" s="128"/>
      <c r="CO69" s="128"/>
      <c r="CT69" s="128"/>
      <c r="CV69" s="128"/>
    </row>
    <row r="70" spans="1:100" ht="221">
      <c r="A70" t="s">
        <v>1665</v>
      </c>
      <c r="B70" s="128">
        <v>44522</v>
      </c>
      <c r="C70" t="s">
        <v>1666</v>
      </c>
      <c r="D70" t="s">
        <v>352</v>
      </c>
      <c r="E70" t="s">
        <v>1107</v>
      </c>
      <c r="F70" t="s">
        <v>1108</v>
      </c>
      <c r="G70" t="s">
        <v>374</v>
      </c>
      <c r="H70" t="s">
        <v>1633</v>
      </c>
      <c r="I70" t="s">
        <v>354</v>
      </c>
      <c r="J70" t="s">
        <v>1109</v>
      </c>
      <c r="K70" t="s">
        <v>426</v>
      </c>
      <c r="L70" t="s">
        <v>1162</v>
      </c>
      <c r="M70" t="s">
        <v>346</v>
      </c>
      <c r="N70" t="s">
        <v>1667</v>
      </c>
      <c r="O70" t="s">
        <v>1685</v>
      </c>
      <c r="P70" t="s">
        <v>1707</v>
      </c>
      <c r="Q70" s="128">
        <v>44524</v>
      </c>
      <c r="R70" s="128">
        <v>44545</v>
      </c>
      <c r="S70" t="s">
        <v>1711</v>
      </c>
      <c r="T70" s="128">
        <v>44540</v>
      </c>
      <c r="U70">
        <v>0</v>
      </c>
      <c r="V70">
        <v>0</v>
      </c>
      <c r="W70" t="s">
        <v>262</v>
      </c>
      <c r="X70" t="s">
        <v>1685</v>
      </c>
      <c r="AA70" t="s">
        <v>1</v>
      </c>
      <c r="AB70" s="99" t="s">
        <v>1713</v>
      </c>
      <c r="AC70" s="128">
        <v>44540</v>
      </c>
      <c r="AD70" t="s">
        <v>349</v>
      </c>
      <c r="AE70" t="s">
        <v>1180</v>
      </c>
      <c r="AF70" t="s">
        <v>1103</v>
      </c>
      <c r="AG70" t="s">
        <v>0</v>
      </c>
      <c r="AH70">
        <v>1</v>
      </c>
      <c r="AI70" t="b">
        <v>0</v>
      </c>
      <c r="AK70" t="b">
        <v>0</v>
      </c>
      <c r="AM70" t="b">
        <v>0</v>
      </c>
      <c r="AN70" t="b">
        <v>0</v>
      </c>
      <c r="AO70" t="b">
        <v>0</v>
      </c>
      <c r="AP70" t="b">
        <v>0</v>
      </c>
      <c r="AQ70" t="b">
        <v>0</v>
      </c>
      <c r="AR70" t="b">
        <v>0</v>
      </c>
      <c r="AS70" t="b">
        <v>0</v>
      </c>
      <c r="AT70" t="s">
        <v>1714</v>
      </c>
      <c r="AU70">
        <v>9830288</v>
      </c>
      <c r="AV70" t="s">
        <v>734</v>
      </c>
      <c r="AW70" t="s">
        <v>943</v>
      </c>
      <c r="AX70" s="128">
        <v>44607</v>
      </c>
      <c r="AY70" t="s">
        <v>1586</v>
      </c>
      <c r="BB70" t="s">
        <v>52</v>
      </c>
      <c r="BD70" t="s">
        <v>757</v>
      </c>
      <c r="BG70" s="128"/>
      <c r="BH70" t="b">
        <v>0</v>
      </c>
      <c r="BK70" t="s">
        <v>1120</v>
      </c>
      <c r="BL70" t="s">
        <v>1632</v>
      </c>
      <c r="CC70" s="128"/>
      <c r="CE70" s="128"/>
      <c r="CG70" s="128"/>
      <c r="CI70" s="128"/>
      <c r="CK70" s="128"/>
      <c r="CM70" s="128"/>
      <c r="CO70" s="128"/>
      <c r="CT70" s="128"/>
      <c r="CV70" s="128"/>
    </row>
    <row r="71" spans="1:100">
      <c r="A71" t="s">
        <v>1668</v>
      </c>
      <c r="B71" s="128">
        <v>44522</v>
      </c>
      <c r="C71" t="s">
        <v>1669</v>
      </c>
      <c r="D71" t="s">
        <v>352</v>
      </c>
      <c r="E71" t="s">
        <v>1107</v>
      </c>
      <c r="F71" t="s">
        <v>1108</v>
      </c>
      <c r="G71" t="s">
        <v>374</v>
      </c>
      <c r="H71" t="s">
        <v>1633</v>
      </c>
      <c r="I71" t="s">
        <v>354</v>
      </c>
      <c r="J71" t="s">
        <v>1109</v>
      </c>
      <c r="K71" t="s">
        <v>426</v>
      </c>
      <c r="L71" t="s">
        <v>1162</v>
      </c>
      <c r="M71" t="s">
        <v>346</v>
      </c>
      <c r="N71" t="s">
        <v>1670</v>
      </c>
      <c r="O71" t="s">
        <v>1706</v>
      </c>
      <c r="P71" t="s">
        <v>1707</v>
      </c>
      <c r="Q71" s="128">
        <v>44525</v>
      </c>
      <c r="R71" s="128">
        <v>44540</v>
      </c>
      <c r="S71" t="s">
        <v>1708</v>
      </c>
      <c r="T71" s="128">
        <v>44539</v>
      </c>
      <c r="U71">
        <v>0</v>
      </c>
      <c r="V71">
        <v>0</v>
      </c>
      <c r="W71" t="s">
        <v>262</v>
      </c>
      <c r="X71" t="s">
        <v>1709</v>
      </c>
      <c r="AA71" t="s">
        <v>1</v>
      </c>
      <c r="AB71" t="s">
        <v>1710</v>
      </c>
      <c r="AC71" s="128">
        <v>44539</v>
      </c>
      <c r="AD71" t="s">
        <v>349</v>
      </c>
      <c r="AE71" t="s">
        <v>1180</v>
      </c>
      <c r="AF71" t="s">
        <v>1103</v>
      </c>
      <c r="AG71" t="s">
        <v>0</v>
      </c>
      <c r="AH71">
        <v>1</v>
      </c>
      <c r="AI71" t="b">
        <v>0</v>
      </c>
      <c r="AK71" t="b">
        <v>0</v>
      </c>
      <c r="AM71" t="b">
        <v>0</v>
      </c>
      <c r="AN71" t="b">
        <v>0</v>
      </c>
      <c r="AO71" t="b">
        <v>0</v>
      </c>
      <c r="AP71" t="b">
        <v>0</v>
      </c>
      <c r="AQ71" t="b">
        <v>0</v>
      </c>
      <c r="AR71" t="b">
        <v>0</v>
      </c>
      <c r="AS71" t="b">
        <v>0</v>
      </c>
      <c r="AT71" t="s">
        <v>1712</v>
      </c>
      <c r="AU71">
        <v>9830288</v>
      </c>
      <c r="AV71" t="s">
        <v>734</v>
      </c>
      <c r="AW71" t="s">
        <v>943</v>
      </c>
      <c r="AX71" s="128">
        <v>44607</v>
      </c>
      <c r="AY71" t="s">
        <v>1586</v>
      </c>
      <c r="BB71" t="s">
        <v>52</v>
      </c>
      <c r="BD71" t="s">
        <v>757</v>
      </c>
      <c r="BG71" s="128"/>
      <c r="BH71" t="b">
        <v>0</v>
      </c>
      <c r="BK71" t="s">
        <v>1120</v>
      </c>
      <c r="BL71" t="s">
        <v>1632</v>
      </c>
      <c r="CC71" s="128"/>
      <c r="CE71" s="128"/>
      <c r="CG71" s="128"/>
      <c r="CI71" s="128"/>
      <c r="CK71" s="128"/>
      <c r="CM71" s="128"/>
      <c r="CO71" s="128"/>
      <c r="CT71" s="128"/>
      <c r="CV71" s="128"/>
    </row>
    <row r="72" spans="1:100">
      <c r="A72" t="s">
        <v>1671</v>
      </c>
      <c r="B72" s="128">
        <v>44522</v>
      </c>
      <c r="C72" t="s">
        <v>1672</v>
      </c>
      <c r="D72" t="s">
        <v>352</v>
      </c>
      <c r="E72" t="s">
        <v>1107</v>
      </c>
      <c r="F72" t="s">
        <v>1108</v>
      </c>
      <c r="G72" t="s">
        <v>374</v>
      </c>
      <c r="H72" t="s">
        <v>1633</v>
      </c>
      <c r="I72" t="s">
        <v>354</v>
      </c>
      <c r="J72" t="s">
        <v>1109</v>
      </c>
      <c r="K72" t="s">
        <v>424</v>
      </c>
      <c r="L72" t="s">
        <v>1823</v>
      </c>
      <c r="M72" t="s">
        <v>346</v>
      </c>
      <c r="N72" t="s">
        <v>1673</v>
      </c>
      <c r="O72" t="s">
        <v>1700</v>
      </c>
      <c r="P72" t="s">
        <v>1701</v>
      </c>
      <c r="Q72" s="128">
        <v>44529</v>
      </c>
      <c r="R72" s="128">
        <v>44530</v>
      </c>
      <c r="S72" t="s">
        <v>1702</v>
      </c>
      <c r="T72" s="128">
        <v>44529</v>
      </c>
      <c r="U72">
        <v>0</v>
      </c>
      <c r="V72">
        <v>0</v>
      </c>
      <c r="W72" t="s">
        <v>262</v>
      </c>
      <c r="X72" t="s">
        <v>1703</v>
      </c>
      <c r="AA72" t="s">
        <v>804</v>
      </c>
      <c r="AB72" t="s">
        <v>1704</v>
      </c>
      <c r="AC72" s="128">
        <v>44559</v>
      </c>
      <c r="AD72" t="s">
        <v>349</v>
      </c>
      <c r="AE72" t="s">
        <v>1252</v>
      </c>
      <c r="AF72" t="s">
        <v>1103</v>
      </c>
      <c r="AG72" t="s">
        <v>0</v>
      </c>
      <c r="AH72">
        <v>1</v>
      </c>
      <c r="AI72" t="b">
        <v>0</v>
      </c>
      <c r="AK72" t="b">
        <v>0</v>
      </c>
      <c r="AM72" t="b">
        <v>0</v>
      </c>
      <c r="AN72" t="b">
        <v>0</v>
      </c>
      <c r="AO72" t="b">
        <v>0</v>
      </c>
      <c r="AP72" t="b">
        <v>0</v>
      </c>
      <c r="AQ72" t="b">
        <v>0</v>
      </c>
      <c r="AR72" t="b">
        <v>0</v>
      </c>
      <c r="AS72" t="b">
        <v>0</v>
      </c>
      <c r="AT72" t="s">
        <v>1705</v>
      </c>
      <c r="AU72">
        <v>9830288</v>
      </c>
      <c r="AV72" t="s">
        <v>734</v>
      </c>
      <c r="AW72" t="s">
        <v>943</v>
      </c>
      <c r="AX72" s="128">
        <v>44606</v>
      </c>
      <c r="AY72" t="s">
        <v>1586</v>
      </c>
      <c r="BB72" t="s">
        <v>50</v>
      </c>
      <c r="BD72" t="s">
        <v>26</v>
      </c>
      <c r="BG72" s="128"/>
      <c r="BH72" t="b">
        <v>0</v>
      </c>
      <c r="BK72" t="s">
        <v>1120</v>
      </c>
      <c r="BL72" t="s">
        <v>1632</v>
      </c>
      <c r="CC72" s="128"/>
      <c r="CE72" s="128"/>
      <c r="CG72" s="128"/>
      <c r="CI72" s="128"/>
      <c r="CK72" s="128"/>
      <c r="CM72" s="128"/>
      <c r="CO72" s="128"/>
      <c r="CT72" s="128"/>
      <c r="CV72" s="128"/>
    </row>
    <row r="73" spans="1:100">
      <c r="A73" t="s">
        <v>1674</v>
      </c>
      <c r="B73" s="128">
        <v>44522</v>
      </c>
      <c r="C73" t="s">
        <v>1675</v>
      </c>
      <c r="D73" t="s">
        <v>352</v>
      </c>
      <c r="E73" t="s">
        <v>1107</v>
      </c>
      <c r="F73" t="s">
        <v>1108</v>
      </c>
      <c r="G73" t="s">
        <v>374</v>
      </c>
      <c r="H73" t="s">
        <v>1633</v>
      </c>
      <c r="I73" t="s">
        <v>354</v>
      </c>
      <c r="J73" t="s">
        <v>1109</v>
      </c>
      <c r="K73" t="s">
        <v>424</v>
      </c>
      <c r="L73" t="s">
        <v>1823</v>
      </c>
      <c r="M73" t="s">
        <v>346</v>
      </c>
      <c r="N73" t="s">
        <v>1676</v>
      </c>
      <c r="O73" t="s">
        <v>1694</v>
      </c>
      <c r="P73" t="s">
        <v>1695</v>
      </c>
      <c r="Q73" s="128">
        <v>44523</v>
      </c>
      <c r="R73" s="128">
        <v>44524</v>
      </c>
      <c r="S73" t="s">
        <v>1696</v>
      </c>
      <c r="T73" s="128">
        <v>44523</v>
      </c>
      <c r="U73">
        <v>0</v>
      </c>
      <c r="V73">
        <v>0</v>
      </c>
      <c r="W73" t="s">
        <v>262</v>
      </c>
      <c r="X73" t="s">
        <v>1697</v>
      </c>
      <c r="AA73" t="s">
        <v>1</v>
      </c>
      <c r="AB73" t="s">
        <v>1698</v>
      </c>
      <c r="AC73" s="128">
        <v>44523</v>
      </c>
      <c r="AD73" t="s">
        <v>349</v>
      </c>
      <c r="AE73" t="s">
        <v>1252</v>
      </c>
      <c r="AF73" t="s">
        <v>1103</v>
      </c>
      <c r="AG73" t="s">
        <v>0</v>
      </c>
      <c r="AH73">
        <v>1</v>
      </c>
      <c r="AI73" t="b">
        <v>0</v>
      </c>
      <c r="AK73" t="b">
        <v>0</v>
      </c>
      <c r="AM73" t="b">
        <v>0</v>
      </c>
      <c r="AN73" t="b">
        <v>0</v>
      </c>
      <c r="AO73" t="b">
        <v>0</v>
      </c>
      <c r="AP73" t="b">
        <v>0</v>
      </c>
      <c r="AQ73" t="b">
        <v>0</v>
      </c>
      <c r="AR73" t="b">
        <v>0</v>
      </c>
      <c r="AS73" t="b">
        <v>0</v>
      </c>
      <c r="AT73" t="s">
        <v>1699</v>
      </c>
      <c r="AU73">
        <v>9830288</v>
      </c>
      <c r="AV73" t="s">
        <v>734</v>
      </c>
      <c r="AW73" t="s">
        <v>943</v>
      </c>
      <c r="AX73" s="128">
        <v>44606</v>
      </c>
      <c r="AY73" t="s">
        <v>1586</v>
      </c>
      <c r="AZ73" t="s">
        <v>17</v>
      </c>
      <c r="BA73" t="s">
        <v>188</v>
      </c>
      <c r="BB73" t="s">
        <v>50</v>
      </c>
      <c r="BD73" t="s">
        <v>29</v>
      </c>
      <c r="BG73" s="128"/>
      <c r="BH73" t="b">
        <v>0</v>
      </c>
      <c r="BK73" t="s">
        <v>1120</v>
      </c>
      <c r="BL73" t="s">
        <v>1632</v>
      </c>
      <c r="CC73" s="128"/>
      <c r="CE73" s="128"/>
      <c r="CG73" s="128"/>
      <c r="CI73" s="128"/>
      <c r="CK73" s="128"/>
      <c r="CM73" s="128"/>
      <c r="CO73" s="128"/>
      <c r="CT73" s="128"/>
      <c r="CV73" s="128"/>
    </row>
    <row r="74" spans="1:100">
      <c r="A74" t="s">
        <v>1677</v>
      </c>
      <c r="B74" s="128">
        <v>44522</v>
      </c>
      <c r="C74" t="s">
        <v>1678</v>
      </c>
      <c r="D74" t="s">
        <v>352</v>
      </c>
      <c r="E74" t="s">
        <v>1107</v>
      </c>
      <c r="F74" t="s">
        <v>1108</v>
      </c>
      <c r="G74" t="s">
        <v>374</v>
      </c>
      <c r="H74" t="s">
        <v>1633</v>
      </c>
      <c r="I74" t="s">
        <v>354</v>
      </c>
      <c r="J74" t="s">
        <v>1109</v>
      </c>
      <c r="K74" t="s">
        <v>412</v>
      </c>
      <c r="L74" t="s">
        <v>1130</v>
      </c>
      <c r="M74" t="s">
        <v>346</v>
      </c>
      <c r="N74" t="s">
        <v>1679</v>
      </c>
      <c r="O74" t="s">
        <v>1688</v>
      </c>
      <c r="P74" t="s">
        <v>1689</v>
      </c>
      <c r="Q74" s="128">
        <v>44522</v>
      </c>
      <c r="R74" s="128">
        <v>44523</v>
      </c>
      <c r="S74" t="s">
        <v>1690</v>
      </c>
      <c r="T74" s="128"/>
      <c r="U74">
        <v>0</v>
      </c>
      <c r="V74">
        <v>0</v>
      </c>
      <c r="W74" t="s">
        <v>262</v>
      </c>
      <c r="X74" t="s">
        <v>1691</v>
      </c>
      <c r="AA74" t="s">
        <v>804</v>
      </c>
      <c r="AB74" t="s">
        <v>1692</v>
      </c>
      <c r="AC74" s="128">
        <v>44522</v>
      </c>
      <c r="AD74" t="s">
        <v>349</v>
      </c>
      <c r="AE74" t="s">
        <v>1252</v>
      </c>
      <c r="AF74" t="s">
        <v>1103</v>
      </c>
      <c r="AG74" t="s">
        <v>0</v>
      </c>
      <c r="AH74">
        <v>1</v>
      </c>
      <c r="AI74" t="b">
        <v>0</v>
      </c>
      <c r="AK74" t="b">
        <v>0</v>
      </c>
      <c r="AM74" t="b">
        <v>0</v>
      </c>
      <c r="AN74" t="b">
        <v>0</v>
      </c>
      <c r="AO74" t="b">
        <v>0</v>
      </c>
      <c r="AP74" t="b">
        <v>0</v>
      </c>
      <c r="AQ74" t="b">
        <v>0</v>
      </c>
      <c r="AR74" t="b">
        <v>0</v>
      </c>
      <c r="AS74" t="b">
        <v>0</v>
      </c>
      <c r="AT74" t="s">
        <v>1693</v>
      </c>
      <c r="AU74">
        <v>9830288</v>
      </c>
      <c r="AV74" t="s">
        <v>734</v>
      </c>
      <c r="AW74" t="s">
        <v>943</v>
      </c>
      <c r="AX74" s="128">
        <v>44606</v>
      </c>
      <c r="AY74" t="s">
        <v>1586</v>
      </c>
      <c r="BB74" t="s">
        <v>38</v>
      </c>
      <c r="BD74" t="s">
        <v>28</v>
      </c>
      <c r="BG74" s="128"/>
      <c r="BH74" t="b">
        <v>0</v>
      </c>
      <c r="BK74" t="s">
        <v>1120</v>
      </c>
      <c r="BL74" t="s">
        <v>1632</v>
      </c>
      <c r="CC74" s="128"/>
      <c r="CE74" s="128"/>
      <c r="CG74" s="128"/>
      <c r="CI74" s="128"/>
      <c r="CK74" s="128"/>
      <c r="CM74" s="128"/>
      <c r="CO74" s="128"/>
      <c r="CT74" s="128"/>
      <c r="CV74" s="128"/>
    </row>
    <row r="75" spans="1:100">
      <c r="A75" t="s">
        <v>1680</v>
      </c>
      <c r="B75" s="128">
        <v>44522</v>
      </c>
      <c r="C75" t="s">
        <v>1681</v>
      </c>
      <c r="D75" t="s">
        <v>352</v>
      </c>
      <c r="E75" t="s">
        <v>1107</v>
      </c>
      <c r="F75" t="s">
        <v>1108</v>
      </c>
      <c r="G75" t="s">
        <v>374</v>
      </c>
      <c r="H75" t="s">
        <v>1633</v>
      </c>
      <c r="I75" t="s">
        <v>354</v>
      </c>
      <c r="J75" t="s">
        <v>1109</v>
      </c>
      <c r="K75" t="s">
        <v>426</v>
      </c>
      <c r="L75" t="s">
        <v>1162</v>
      </c>
      <c r="M75" t="s">
        <v>346</v>
      </c>
      <c r="N75" t="s">
        <v>1682</v>
      </c>
      <c r="O75" t="s">
        <v>499</v>
      </c>
      <c r="P75" t="s">
        <v>1683</v>
      </c>
      <c r="Q75" s="128">
        <v>44524</v>
      </c>
      <c r="R75" s="128">
        <v>44545</v>
      </c>
      <c r="S75" t="s">
        <v>1684</v>
      </c>
      <c r="T75" s="128">
        <v>44539</v>
      </c>
      <c r="U75">
        <v>0</v>
      </c>
      <c r="V75">
        <v>0</v>
      </c>
      <c r="W75" t="s">
        <v>262</v>
      </c>
      <c r="X75" t="s">
        <v>1685</v>
      </c>
      <c r="AA75" t="s">
        <v>1</v>
      </c>
      <c r="AB75" t="s">
        <v>1686</v>
      </c>
      <c r="AC75" s="128">
        <v>44545</v>
      </c>
      <c r="AD75" t="s">
        <v>349</v>
      </c>
      <c r="AF75" t="s">
        <v>1103</v>
      </c>
      <c r="AG75" t="s">
        <v>0</v>
      </c>
      <c r="AH75">
        <v>1</v>
      </c>
      <c r="AI75" t="b">
        <v>0</v>
      </c>
      <c r="AK75" t="b">
        <v>0</v>
      </c>
      <c r="AM75" t="b">
        <v>0</v>
      </c>
      <c r="AN75" t="b">
        <v>0</v>
      </c>
      <c r="AO75" t="b">
        <v>0</v>
      </c>
      <c r="AP75" t="b">
        <v>0</v>
      </c>
      <c r="AQ75" t="b">
        <v>0</v>
      </c>
      <c r="AR75" t="b">
        <v>0</v>
      </c>
      <c r="AS75" t="b">
        <v>0</v>
      </c>
      <c r="AT75" t="s">
        <v>1687</v>
      </c>
      <c r="AU75">
        <v>9830288</v>
      </c>
      <c r="AV75" t="s">
        <v>734</v>
      </c>
      <c r="AW75" t="s">
        <v>943</v>
      </c>
      <c r="AX75" s="128">
        <v>44606</v>
      </c>
      <c r="AY75" t="s">
        <v>1586</v>
      </c>
      <c r="BB75" t="s">
        <v>52</v>
      </c>
      <c r="BD75" t="s">
        <v>756</v>
      </c>
      <c r="BG75" s="128"/>
      <c r="BH75" t="b">
        <v>0</v>
      </c>
      <c r="BK75" t="s">
        <v>1120</v>
      </c>
      <c r="BL75" t="s">
        <v>1632</v>
      </c>
      <c r="CC75" s="128"/>
      <c r="CE75" s="128"/>
      <c r="CG75" s="128"/>
      <c r="CI75" s="128"/>
      <c r="CK75" s="128"/>
      <c r="CM75" s="128"/>
      <c r="CO75" s="128"/>
      <c r="CT75" s="128"/>
      <c r="CV75" s="12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453125" defaultRowHeight="15" customHeight="1"/>
  <cols>
    <col min="1" max="1" width="12.453125" style="52" customWidth="1"/>
    <col min="2" max="2" width="27" style="53" customWidth="1"/>
    <col min="3" max="5" width="23.08984375" style="53" customWidth="1"/>
    <col min="6" max="6" width="13.26953125" style="53" customWidth="1"/>
    <col min="7" max="7" width="24.6328125" style="53" customWidth="1"/>
    <col min="8" max="8" width="16.453125" style="53" customWidth="1"/>
    <col min="9" max="9" width="12.26953125" style="53" customWidth="1"/>
    <col min="10" max="16384" width="9.453125" style="53"/>
  </cols>
  <sheetData>
    <row r="1" spans="1:10" ht="29">
      <c r="A1" s="106" t="s">
        <v>1042</v>
      </c>
      <c r="B1" s="106" t="s">
        <v>1031</v>
      </c>
      <c r="C1" s="106" t="s">
        <v>1032</v>
      </c>
      <c r="D1" s="106" t="s">
        <v>1038</v>
      </c>
      <c r="E1" s="106" t="s">
        <v>1037</v>
      </c>
      <c r="F1" s="106" t="s">
        <v>1036</v>
      </c>
      <c r="G1" s="106" t="s">
        <v>1033</v>
      </c>
      <c r="H1" s="106" t="s">
        <v>1034</v>
      </c>
      <c r="I1" s="106" t="s">
        <v>1035</v>
      </c>
    </row>
    <row r="2" spans="1:10" ht="72.5">
      <c r="A2" s="105" t="s">
        <v>992</v>
      </c>
      <c r="B2" s="105" t="s">
        <v>993</v>
      </c>
      <c r="C2" s="105" t="s">
        <v>994</v>
      </c>
      <c r="D2" s="104" t="s">
        <v>1039</v>
      </c>
      <c r="E2" s="104" t="s">
        <v>1040</v>
      </c>
      <c r="F2" s="105" t="s">
        <v>995</v>
      </c>
      <c r="G2" s="105" t="s">
        <v>996</v>
      </c>
      <c r="H2" s="105" t="s">
        <v>997</v>
      </c>
      <c r="I2" s="105" t="s">
        <v>998</v>
      </c>
    </row>
    <row r="3" spans="1:10" ht="116">
      <c r="A3" s="105" t="s">
        <v>999</v>
      </c>
      <c r="B3" s="105" t="s">
        <v>1000</v>
      </c>
      <c r="C3" s="105" t="s">
        <v>1001</v>
      </c>
      <c r="D3" s="104" t="s">
        <v>1021</v>
      </c>
      <c r="E3" s="105" t="s">
        <v>1002</v>
      </c>
      <c r="F3" s="104" t="s">
        <v>1022</v>
      </c>
      <c r="G3" s="105" t="s">
        <v>996</v>
      </c>
      <c r="H3" s="104" t="s">
        <v>1023</v>
      </c>
      <c r="I3" s="105" t="s">
        <v>998</v>
      </c>
    </row>
    <row r="4" spans="1:10" ht="87">
      <c r="A4" s="105" t="s">
        <v>1003</v>
      </c>
      <c r="B4" s="104" t="s">
        <v>1024</v>
      </c>
      <c r="C4" s="105" t="s">
        <v>1004</v>
      </c>
      <c r="D4" s="104" t="s">
        <v>1041</v>
      </c>
      <c r="E4" s="104" t="s">
        <v>1025</v>
      </c>
      <c r="F4" s="104" t="s">
        <v>1026</v>
      </c>
      <c r="G4" s="105" t="s">
        <v>1005</v>
      </c>
      <c r="H4" s="104" t="s">
        <v>1027</v>
      </c>
      <c r="I4" s="105" t="s">
        <v>1006</v>
      </c>
    </row>
    <row r="5" spans="1:10" ht="101.5">
      <c r="A5" s="105" t="s">
        <v>1007</v>
      </c>
      <c r="B5" s="105" t="s">
        <v>1008</v>
      </c>
      <c r="C5" s="104" t="s">
        <v>1028</v>
      </c>
      <c r="D5" s="104" t="s">
        <v>1019</v>
      </c>
      <c r="E5" s="104" t="s">
        <v>1029</v>
      </c>
      <c r="F5" s="104" t="s">
        <v>1020</v>
      </c>
      <c r="G5" s="105" t="s">
        <v>1009</v>
      </c>
      <c r="H5" s="105" t="s">
        <v>1010</v>
      </c>
      <c r="I5" s="105" t="s">
        <v>1011</v>
      </c>
    </row>
    <row r="6" spans="1:10" ht="43.5">
      <c r="A6" s="105" t="s">
        <v>1012</v>
      </c>
      <c r="B6" s="105" t="s">
        <v>1013</v>
      </c>
      <c r="C6" s="105" t="s">
        <v>1014</v>
      </c>
      <c r="D6" s="104" t="s">
        <v>1030</v>
      </c>
      <c r="E6" s="105" t="s">
        <v>1015</v>
      </c>
      <c r="F6" s="105" t="s">
        <v>1016</v>
      </c>
      <c r="G6" s="105" t="s">
        <v>1017</v>
      </c>
      <c r="H6" s="105" t="s">
        <v>1010</v>
      </c>
      <c r="I6" s="105" t="s">
        <v>1018</v>
      </c>
    </row>
    <row r="7" spans="1:10" ht="15" customHeight="1">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2695312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2695312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c r="B39" s="110" t="s">
        <v>291</v>
      </c>
      <c r="C39" s="14" t="s">
        <v>292</v>
      </c>
      <c r="E39" s="17"/>
      <c r="F39" s="17"/>
      <c r="K39" s="35" t="s">
        <v>41</v>
      </c>
      <c r="L39" s="39"/>
      <c r="N39" s="80" t="s">
        <v>732</v>
      </c>
      <c r="O39" s="81">
        <v>9254252</v>
      </c>
      <c r="P39" s="81" t="s">
        <v>731</v>
      </c>
      <c r="Q39" s="81" t="s">
        <v>950</v>
      </c>
      <c r="AM39" s="14" t="s">
        <v>650</v>
      </c>
      <c r="AN39" s="14" t="s">
        <v>649</v>
      </c>
    </row>
    <row r="40" spans="2:47" ht="15">
      <c r="B40" s="110" t="s">
        <v>216</v>
      </c>
      <c r="C40" s="14" t="s">
        <v>215</v>
      </c>
      <c r="E40" s="17"/>
      <c r="K40" s="35" t="s">
        <v>42</v>
      </c>
      <c r="L40" s="39"/>
      <c r="N40" s="80" t="s">
        <v>642</v>
      </c>
      <c r="O40" s="80">
        <v>9687746</v>
      </c>
      <c r="P40" s="80" t="s">
        <v>641</v>
      </c>
      <c r="Q40" s="80" t="s">
        <v>916</v>
      </c>
      <c r="AM40" s="14" t="s">
        <v>652</v>
      </c>
      <c r="AN40" s="14" t="s">
        <v>651</v>
      </c>
    </row>
    <row r="41" spans="2:47" ht="15">
      <c r="B41" s="110" t="s">
        <v>218</v>
      </c>
      <c r="C41" s="14" t="s">
        <v>217</v>
      </c>
      <c r="E41" s="17"/>
      <c r="G41" s="17"/>
      <c r="K41" s="35" t="s">
        <v>43</v>
      </c>
      <c r="L41" s="39"/>
      <c r="N41" s="80" t="s">
        <v>644</v>
      </c>
      <c r="O41" s="80">
        <v>9565053</v>
      </c>
      <c r="P41" s="80" t="s">
        <v>643</v>
      </c>
      <c r="Q41" s="80" t="s">
        <v>294</v>
      </c>
      <c r="AM41" s="14" t="s">
        <v>654</v>
      </c>
      <c r="AN41" s="14" t="s">
        <v>653</v>
      </c>
    </row>
    <row r="42" spans="2:47" ht="15">
      <c r="B42" s="110" t="s">
        <v>258</v>
      </c>
      <c r="C42" s="14" t="s">
        <v>257</v>
      </c>
      <c r="E42" s="17"/>
      <c r="G42" s="17"/>
      <c r="K42" s="35" t="s">
        <v>44</v>
      </c>
      <c r="L42" s="39"/>
      <c r="N42" s="80" t="s">
        <v>683</v>
      </c>
      <c r="O42" s="80">
        <v>9561277</v>
      </c>
      <c r="P42" s="80" t="s">
        <v>682</v>
      </c>
      <c r="Q42" s="80" t="s">
        <v>932</v>
      </c>
      <c r="AM42" s="14" t="s">
        <v>656</v>
      </c>
      <c r="AN42" s="14" t="s">
        <v>655</v>
      </c>
    </row>
    <row r="43" spans="2:47" ht="15">
      <c r="B43" s="110" t="s">
        <v>210</v>
      </c>
      <c r="C43" s="14" t="s">
        <v>209</v>
      </c>
      <c r="E43" s="17"/>
      <c r="G43" s="17"/>
      <c r="K43" s="35" t="s">
        <v>45</v>
      </c>
      <c r="L43" s="39"/>
      <c r="N43" s="80" t="s">
        <v>646</v>
      </c>
      <c r="O43" s="80">
        <v>9547001</v>
      </c>
      <c r="P43" s="80" t="s">
        <v>645</v>
      </c>
      <c r="Q43" s="80" t="s">
        <v>953</v>
      </c>
      <c r="AM43" s="14" t="s">
        <v>254</v>
      </c>
      <c r="AN43" s="14" t="s">
        <v>657</v>
      </c>
    </row>
    <row r="44" spans="2:47" ht="15">
      <c r="B44" s="110" t="s">
        <v>226</v>
      </c>
      <c r="C44" s="14" t="s">
        <v>225</v>
      </c>
      <c r="E44" s="17"/>
      <c r="K44" s="35" t="s">
        <v>46</v>
      </c>
      <c r="L44" s="39"/>
      <c r="N44" s="80" t="s">
        <v>1088</v>
      </c>
      <c r="O44" s="80">
        <v>9902093</v>
      </c>
      <c r="P44" s="80" t="s">
        <v>1089</v>
      </c>
      <c r="Q44" s="80" t="s">
        <v>1090</v>
      </c>
      <c r="AM44" s="14" t="s">
        <v>675</v>
      </c>
      <c r="AN44" s="14" t="s">
        <v>674</v>
      </c>
    </row>
    <row r="45" spans="2:47" ht="15">
      <c r="B45" s="110" t="s">
        <v>399</v>
      </c>
      <c r="C45" s="14" t="s">
        <v>284</v>
      </c>
      <c r="E45" s="17"/>
      <c r="K45" s="35" t="s">
        <v>47</v>
      </c>
      <c r="L45" s="39"/>
      <c r="N45" s="80" t="s">
        <v>734</v>
      </c>
      <c r="O45" s="81">
        <v>9830288</v>
      </c>
      <c r="P45" s="81" t="s">
        <v>733</v>
      </c>
      <c r="Q45" s="81" t="s">
        <v>943</v>
      </c>
      <c r="AM45" s="14" t="s">
        <v>659</v>
      </c>
      <c r="AN45" s="14" t="s">
        <v>658</v>
      </c>
    </row>
    <row r="46" spans="2:47" ht="15">
      <c r="B46" s="110" t="s">
        <v>232</v>
      </c>
      <c r="C46" s="14" t="s">
        <v>231</v>
      </c>
      <c r="E46" s="17"/>
      <c r="K46" s="35" t="s">
        <v>48</v>
      </c>
      <c r="L46" s="39"/>
      <c r="N46" s="80" t="s">
        <v>736</v>
      </c>
      <c r="O46" s="81">
        <v>9426283</v>
      </c>
      <c r="P46" s="81" t="s">
        <v>735</v>
      </c>
      <c r="Q46" s="81" t="s">
        <v>286</v>
      </c>
      <c r="AM46" s="14" t="s">
        <v>687</v>
      </c>
      <c r="AN46" s="14" t="s">
        <v>686</v>
      </c>
    </row>
    <row r="47" spans="2:47" ht="15">
      <c r="B47" s="110" t="s">
        <v>260</v>
      </c>
      <c r="C47" s="14" t="s">
        <v>259</v>
      </c>
      <c r="E47" s="17"/>
      <c r="K47" s="35" t="s">
        <v>49</v>
      </c>
      <c r="L47" s="39"/>
      <c r="N47" s="80" t="s">
        <v>738</v>
      </c>
      <c r="O47" s="81">
        <v>9830290</v>
      </c>
      <c r="P47" s="81" t="s">
        <v>737</v>
      </c>
      <c r="Q47" s="81" t="s">
        <v>944</v>
      </c>
      <c r="AM47" s="14" t="s">
        <v>702</v>
      </c>
      <c r="AN47" s="14" t="s">
        <v>701</v>
      </c>
    </row>
    <row r="48" spans="2:47">
      <c r="B48" s="110" t="s">
        <v>202</v>
      </c>
      <c r="C48" s="14" t="s">
        <v>201</v>
      </c>
      <c r="E48" s="17"/>
      <c r="K48" s="35" t="s">
        <v>50</v>
      </c>
      <c r="L48" s="39"/>
      <c r="N48" s="14" t="s">
        <v>1048</v>
      </c>
      <c r="O48" s="14">
        <v>9863223</v>
      </c>
      <c r="P48" s="14" t="s">
        <v>1049</v>
      </c>
      <c r="Q48" s="14" t="s">
        <v>1050</v>
      </c>
      <c r="AM48" s="14" t="s">
        <v>661</v>
      </c>
      <c r="AN48" s="14" t="s">
        <v>660</v>
      </c>
    </row>
    <row r="49" spans="2:40" ht="15">
      <c r="B49" s="110" t="s">
        <v>197</v>
      </c>
      <c r="C49" s="14" t="s">
        <v>196</v>
      </c>
      <c r="E49" s="17"/>
      <c r="K49" s="35" t="s">
        <v>51</v>
      </c>
      <c r="L49" s="39"/>
      <c r="N49" s="80" t="s">
        <v>1075</v>
      </c>
      <c r="O49" s="80">
        <v>9442524</v>
      </c>
      <c r="P49" s="80" t="s">
        <v>1076</v>
      </c>
      <c r="Q49" s="80" t="s">
        <v>1077</v>
      </c>
      <c r="AM49" s="14" t="s">
        <v>689</v>
      </c>
      <c r="AN49" s="14" t="s">
        <v>688</v>
      </c>
    </row>
    <row r="50" spans="2:40" ht="15">
      <c r="B50" s="110" t="s">
        <v>224</v>
      </c>
      <c r="C50" s="14" t="s">
        <v>223</v>
      </c>
      <c r="E50" s="17"/>
      <c r="K50" s="35" t="s">
        <v>52</v>
      </c>
      <c r="L50" s="39"/>
      <c r="N50" s="80" t="s">
        <v>899</v>
      </c>
      <c r="O50" s="80">
        <v>9774862</v>
      </c>
      <c r="P50" s="80" t="s">
        <v>647</v>
      </c>
      <c r="Q50" s="80" t="s">
        <v>917</v>
      </c>
      <c r="AM50" s="14" t="s">
        <v>663</v>
      </c>
      <c r="AN50" s="14" t="s">
        <v>662</v>
      </c>
    </row>
    <row r="51" spans="2:40" ht="15">
      <c r="B51" s="110" t="s">
        <v>400</v>
      </c>
      <c r="C51" s="14" t="s">
        <v>401</v>
      </c>
      <c r="E51" s="17"/>
      <c r="K51" s="35" t="s">
        <v>402</v>
      </c>
      <c r="L51" s="39"/>
      <c r="N51" s="80" t="s">
        <v>1078</v>
      </c>
      <c r="O51" s="80">
        <v>9760471</v>
      </c>
      <c r="P51" s="80" t="s">
        <v>1079</v>
      </c>
      <c r="Q51" s="80" t="s">
        <v>1080</v>
      </c>
      <c r="AM51" s="14" t="s">
        <v>740</v>
      </c>
      <c r="AN51" s="14" t="s">
        <v>739</v>
      </c>
    </row>
    <row r="52" spans="2:40" ht="15">
      <c r="B52" s="110" t="s">
        <v>206</v>
      </c>
      <c r="C52" s="14" t="s">
        <v>205</v>
      </c>
      <c r="E52" s="17"/>
      <c r="K52" s="32" t="s">
        <v>335</v>
      </c>
      <c r="L52" s="39"/>
      <c r="N52" s="80" t="s">
        <v>685</v>
      </c>
      <c r="O52" s="80">
        <v>9403217</v>
      </c>
      <c r="P52" s="80" t="s">
        <v>684</v>
      </c>
      <c r="Q52" s="80" t="s">
        <v>933</v>
      </c>
      <c r="AM52" s="14" t="s">
        <v>742</v>
      </c>
      <c r="AN52" s="14" t="s">
        <v>741</v>
      </c>
    </row>
    <row r="53" spans="2:40" ht="15">
      <c r="B53" s="110" t="s">
        <v>403</v>
      </c>
      <c r="C53" s="14" t="s">
        <v>404</v>
      </c>
      <c r="E53" s="17"/>
      <c r="K53" s="32" t="s">
        <v>405</v>
      </c>
      <c r="L53" s="39"/>
      <c r="N53" s="80" t="s">
        <v>252</v>
      </c>
      <c r="O53" s="80">
        <v>9236066</v>
      </c>
      <c r="P53" s="80" t="s">
        <v>648</v>
      </c>
      <c r="Q53" s="80" t="s">
        <v>251</v>
      </c>
      <c r="AM53" s="14" t="s">
        <v>665</v>
      </c>
      <c r="AN53" s="14" t="s">
        <v>664</v>
      </c>
    </row>
    <row r="54" spans="2:40" ht="15">
      <c r="B54" s="110" t="s">
        <v>246</v>
      </c>
      <c r="C54" s="14" t="s">
        <v>245</v>
      </c>
      <c r="E54" s="17"/>
      <c r="K54" s="32" t="s">
        <v>170</v>
      </c>
      <c r="L54" s="39"/>
      <c r="N54" s="80" t="s">
        <v>650</v>
      </c>
      <c r="O54" s="80">
        <v>9424106</v>
      </c>
      <c r="P54" s="80" t="s">
        <v>649</v>
      </c>
      <c r="Q54" s="80" t="s">
        <v>918</v>
      </c>
      <c r="AM54" s="14" t="s">
        <v>667</v>
      </c>
      <c r="AN54" s="14" t="s">
        <v>666</v>
      </c>
    </row>
    <row r="55" spans="2:40" ht="15">
      <c r="B55" s="110" t="s">
        <v>195</v>
      </c>
      <c r="C55" s="14" t="s">
        <v>194</v>
      </c>
      <c r="E55" s="17"/>
      <c r="K55" s="32" t="s">
        <v>406</v>
      </c>
      <c r="L55" s="39"/>
      <c r="N55" s="80" t="s">
        <v>652</v>
      </c>
      <c r="O55" s="80">
        <v>9276767</v>
      </c>
      <c r="P55" s="80" t="s">
        <v>651</v>
      </c>
      <c r="Q55" s="80" t="s">
        <v>919</v>
      </c>
      <c r="AM55" s="14" t="s">
        <v>258</v>
      </c>
      <c r="AN55" s="14" t="s">
        <v>690</v>
      </c>
    </row>
    <row r="56" spans="2:40" ht="15">
      <c r="B56" s="110" t="s">
        <v>193</v>
      </c>
      <c r="C56" s="14" t="s">
        <v>192</v>
      </c>
      <c r="E56" s="17"/>
      <c r="K56" s="32" t="s">
        <v>407</v>
      </c>
      <c r="L56" s="39"/>
      <c r="N56" s="80" t="s">
        <v>654</v>
      </c>
      <c r="O56" s="80">
        <v>9310006</v>
      </c>
      <c r="P56" s="80" t="s">
        <v>653</v>
      </c>
      <c r="Q56" s="80" t="s">
        <v>920</v>
      </c>
      <c r="AM56" s="14" t="s">
        <v>669</v>
      </c>
      <c r="AN56" s="14" t="s">
        <v>668</v>
      </c>
    </row>
    <row r="57" spans="2:40" ht="15">
      <c r="B57" s="110" t="s">
        <v>244</v>
      </c>
      <c r="C57" s="14" t="s">
        <v>243</v>
      </c>
      <c r="E57" s="17"/>
      <c r="K57" s="32" t="s">
        <v>408</v>
      </c>
      <c r="L57" s="39"/>
      <c r="N57" s="80" t="s">
        <v>656</v>
      </c>
      <c r="O57" s="80">
        <v>9246293</v>
      </c>
      <c r="P57" s="80" t="s">
        <v>906</v>
      </c>
      <c r="Q57" s="80" t="s">
        <v>908</v>
      </c>
      <c r="AM57" s="14" t="s">
        <v>744</v>
      </c>
      <c r="AN57" s="14" t="s">
        <v>743</v>
      </c>
    </row>
    <row r="58" spans="2:40" ht="15">
      <c r="B58" s="110" t="s">
        <v>208</v>
      </c>
      <c r="C58" s="14" t="s">
        <v>207</v>
      </c>
      <c r="E58" s="17"/>
      <c r="K58" s="32" t="s">
        <v>409</v>
      </c>
      <c r="L58" s="39"/>
      <c r="N58" s="80" t="s">
        <v>254</v>
      </c>
      <c r="O58" s="80">
        <v>9156759</v>
      </c>
      <c r="P58" s="80" t="s">
        <v>657</v>
      </c>
      <c r="Q58" s="80" t="s">
        <v>253</v>
      </c>
      <c r="AM58" s="14" t="s">
        <v>692</v>
      </c>
      <c r="AN58" s="14" t="s">
        <v>691</v>
      </c>
    </row>
    <row r="59" spans="2:40" ht="15">
      <c r="B59" s="110" t="s">
        <v>279</v>
      </c>
      <c r="C59" s="14" t="s">
        <v>280</v>
      </c>
      <c r="E59" s="17"/>
      <c r="K59" s="32" t="s">
        <v>410</v>
      </c>
      <c r="L59" s="39"/>
      <c r="N59" s="80" t="s">
        <v>675</v>
      </c>
      <c r="O59" s="80">
        <v>9316945</v>
      </c>
      <c r="P59" s="80" t="s">
        <v>674</v>
      </c>
      <c r="Q59" s="80" t="s">
        <v>921</v>
      </c>
      <c r="AM59" s="14" t="s">
        <v>671</v>
      </c>
      <c r="AN59" s="14" t="s">
        <v>670</v>
      </c>
    </row>
    <row r="60" spans="2:40" ht="15">
      <c r="B60" s="110" t="s">
        <v>411</v>
      </c>
      <c r="C60" s="14" t="s">
        <v>268</v>
      </c>
      <c r="E60" s="17"/>
      <c r="K60" s="32" t="s">
        <v>412</v>
      </c>
      <c r="L60" s="39"/>
      <c r="N60" s="80" t="s">
        <v>900</v>
      </c>
      <c r="O60" s="80">
        <v>9788679</v>
      </c>
      <c r="P60" s="80" t="s">
        <v>901</v>
      </c>
      <c r="Q60" s="80" t="s">
        <v>922</v>
      </c>
      <c r="AM60" s="14" t="s">
        <v>673</v>
      </c>
      <c r="AN60" s="14" t="s">
        <v>672</v>
      </c>
    </row>
    <row r="61" spans="2:40" ht="15">
      <c r="K61" s="32" t="s">
        <v>413</v>
      </c>
      <c r="L61" s="39"/>
      <c r="N61" s="80" t="s">
        <v>902</v>
      </c>
      <c r="O61" s="80">
        <v>9788681</v>
      </c>
      <c r="P61" s="80" t="s">
        <v>903</v>
      </c>
      <c r="Q61" s="80" t="s">
        <v>923</v>
      </c>
      <c r="AM61" s="14" t="s">
        <v>260</v>
      </c>
      <c r="AN61" s="14" t="s">
        <v>747</v>
      </c>
    </row>
    <row r="62" spans="2:40" ht="15">
      <c r="K62" s="32" t="s">
        <v>414</v>
      </c>
      <c r="L62" s="39"/>
      <c r="N62" s="80" t="s">
        <v>659</v>
      </c>
      <c r="O62" s="80">
        <v>9668051</v>
      </c>
      <c r="P62" s="80" t="s">
        <v>658</v>
      </c>
      <c r="Q62" s="80" t="s">
        <v>924</v>
      </c>
      <c r="AM62" s="14" t="s">
        <v>749</v>
      </c>
      <c r="AN62" s="14" t="s">
        <v>748</v>
      </c>
    </row>
    <row r="63" spans="2:40" ht="15">
      <c r="K63" s="32" t="s">
        <v>415</v>
      </c>
      <c r="L63" s="39"/>
      <c r="N63" s="80" t="s">
        <v>687</v>
      </c>
      <c r="O63" s="80">
        <v>9110107</v>
      </c>
      <c r="P63" s="80" t="s">
        <v>686</v>
      </c>
      <c r="Q63" s="80" t="s">
        <v>219</v>
      </c>
      <c r="AM63" s="14" t="s">
        <v>752</v>
      </c>
      <c r="AN63" s="14" t="s">
        <v>745</v>
      </c>
    </row>
    <row r="64" spans="2:40" ht="15">
      <c r="K64" s="32" t="s">
        <v>416</v>
      </c>
      <c r="L64" s="39"/>
      <c r="N64" s="80" t="s">
        <v>702</v>
      </c>
      <c r="O64" s="81">
        <v>9760782</v>
      </c>
      <c r="P64" s="81" t="s">
        <v>701</v>
      </c>
      <c r="Q64" s="81" t="s">
        <v>936</v>
      </c>
      <c r="AM64" s="14" t="s">
        <v>753</v>
      </c>
      <c r="AN64" s="14" t="s">
        <v>746</v>
      </c>
    </row>
    <row r="65" spans="5:40">
      <c r="K65" s="32" t="s">
        <v>417</v>
      </c>
      <c r="L65" s="39"/>
      <c r="N65" s="14" t="s">
        <v>1061</v>
      </c>
      <c r="O65" s="14">
        <v>9520376</v>
      </c>
      <c r="P65" s="14" t="s">
        <v>1062</v>
      </c>
      <c r="Q65" s="14" t="s">
        <v>1063</v>
      </c>
      <c r="AM65" s="14" t="s">
        <v>246</v>
      </c>
      <c r="AN65" s="14" t="s">
        <v>703</v>
      </c>
    </row>
    <row r="66" spans="5:40">
      <c r="K66" s="32" t="s">
        <v>418</v>
      </c>
      <c r="L66" s="39"/>
      <c r="N66" s="14" t="s">
        <v>1065</v>
      </c>
      <c r="O66" s="14">
        <v>9425277</v>
      </c>
      <c r="P66" s="14" t="s">
        <v>1064</v>
      </c>
      <c r="Q66" s="14" t="s">
        <v>1066</v>
      </c>
      <c r="AM66" s="14" t="s">
        <v>705</v>
      </c>
      <c r="AN66" s="14" t="s">
        <v>704</v>
      </c>
    </row>
    <row r="67" spans="5:40" ht="15">
      <c r="E67" s="17"/>
      <c r="K67" s="32" t="s">
        <v>419</v>
      </c>
      <c r="L67" s="39"/>
      <c r="N67" s="80" t="s">
        <v>661</v>
      </c>
      <c r="O67" s="80">
        <v>9696797</v>
      </c>
      <c r="P67" s="80" t="s">
        <v>660</v>
      </c>
      <c r="Q67" s="80" t="s">
        <v>925</v>
      </c>
      <c r="AM67" s="14" t="s">
        <v>707</v>
      </c>
      <c r="AN67" s="14" t="s">
        <v>706</v>
      </c>
    </row>
    <row r="68" spans="5:40" ht="15">
      <c r="E68" s="17"/>
      <c r="K68" s="32" t="s">
        <v>420</v>
      </c>
      <c r="L68" s="39"/>
      <c r="N68" s="80" t="s">
        <v>689</v>
      </c>
      <c r="O68" s="80">
        <v>9460887</v>
      </c>
      <c r="P68" s="80" t="s">
        <v>688</v>
      </c>
      <c r="Q68" s="80" t="s">
        <v>284</v>
      </c>
      <c r="AM68" s="14" t="s">
        <v>244</v>
      </c>
      <c r="AN68" s="14" t="s">
        <v>708</v>
      </c>
    </row>
    <row r="69" spans="5:40" ht="15">
      <c r="E69" s="17"/>
      <c r="K69" s="32" t="s">
        <v>421</v>
      </c>
      <c r="L69" s="39"/>
      <c r="N69" s="80" t="s">
        <v>663</v>
      </c>
      <c r="O69" s="80">
        <v>9514391</v>
      </c>
      <c r="P69" s="80" t="s">
        <v>662</v>
      </c>
      <c r="Q69" s="80" t="s">
        <v>292</v>
      </c>
      <c r="AM69" s="14" t="s">
        <v>279</v>
      </c>
      <c r="AN69" s="14" t="s">
        <v>709</v>
      </c>
    </row>
    <row r="70" spans="5:40" ht="15">
      <c r="E70" s="17"/>
      <c r="K70" s="32" t="s">
        <v>422</v>
      </c>
      <c r="L70" s="39"/>
      <c r="N70" s="80" t="s">
        <v>740</v>
      </c>
      <c r="O70" s="81">
        <v>9793375</v>
      </c>
      <c r="P70" s="81" t="s">
        <v>739</v>
      </c>
      <c r="Q70" s="81" t="s">
        <v>945</v>
      </c>
    </row>
    <row r="71" spans="5:40" ht="15">
      <c r="E71" s="17"/>
      <c r="K71" s="32" t="s">
        <v>423</v>
      </c>
      <c r="L71" s="39"/>
      <c r="N71" s="80" t="s">
        <v>742</v>
      </c>
      <c r="O71" s="81">
        <v>9793387</v>
      </c>
      <c r="P71" s="81" t="s">
        <v>741</v>
      </c>
      <c r="Q71" s="81" t="s">
        <v>946</v>
      </c>
    </row>
    <row r="72" spans="5:40" ht="15">
      <c r="E72" s="17"/>
      <c r="K72" s="32" t="s">
        <v>424</v>
      </c>
      <c r="L72" s="39"/>
      <c r="N72" s="80" t="s">
        <v>665</v>
      </c>
      <c r="O72" s="80">
        <v>9552331</v>
      </c>
      <c r="P72" s="80" t="s">
        <v>664</v>
      </c>
      <c r="Q72" s="80" t="s">
        <v>926</v>
      </c>
    </row>
    <row r="73" spans="5:40" ht="15">
      <c r="K73" s="32" t="s">
        <v>425</v>
      </c>
      <c r="L73" s="39"/>
      <c r="N73" s="80" t="s">
        <v>667</v>
      </c>
      <c r="O73" s="80">
        <v>9621247</v>
      </c>
      <c r="P73" s="80" t="s">
        <v>666</v>
      </c>
      <c r="Q73" s="80" t="s">
        <v>927</v>
      </c>
    </row>
    <row r="74" spans="5:40" ht="15">
      <c r="K74" s="32" t="s">
        <v>426</v>
      </c>
      <c r="L74" s="39"/>
      <c r="N74" s="80" t="s">
        <v>258</v>
      </c>
      <c r="O74" s="80">
        <v>9293648</v>
      </c>
      <c r="P74" s="80" t="s">
        <v>690</v>
      </c>
      <c r="Q74" s="80" t="s">
        <v>257</v>
      </c>
    </row>
    <row r="75" spans="5:40" ht="15">
      <c r="K75" s="32" t="s">
        <v>803</v>
      </c>
      <c r="L75" s="39"/>
      <c r="N75" s="80" t="s">
        <v>1081</v>
      </c>
      <c r="O75" s="80">
        <v>9894480</v>
      </c>
      <c r="P75" s="80" t="s">
        <v>1082</v>
      </c>
      <c r="Q75" s="80" t="s">
        <v>1083</v>
      </c>
    </row>
    <row r="76" spans="5:40" ht="15">
      <c r="K76" s="37" t="s">
        <v>334</v>
      </c>
      <c r="L76" s="39"/>
      <c r="N76" s="80" t="s">
        <v>669</v>
      </c>
      <c r="O76" s="80">
        <v>9806768</v>
      </c>
      <c r="P76" s="80" t="s">
        <v>668</v>
      </c>
      <c r="Q76" s="80" t="s">
        <v>928</v>
      </c>
    </row>
    <row r="77" spans="5:40" ht="15">
      <c r="K77" s="37" t="s">
        <v>427</v>
      </c>
      <c r="L77" s="39"/>
      <c r="N77" s="80" t="s">
        <v>744</v>
      </c>
      <c r="O77" s="81">
        <v>9771028</v>
      </c>
      <c r="P77" s="81" t="s">
        <v>907</v>
      </c>
      <c r="Q77" s="81" t="s">
        <v>952</v>
      </c>
    </row>
    <row r="78" spans="5:40" ht="15">
      <c r="K78" s="37" t="s">
        <v>171</v>
      </c>
      <c r="L78" s="39"/>
      <c r="N78" s="80" t="s">
        <v>692</v>
      </c>
      <c r="O78" s="80">
        <v>9267687</v>
      </c>
      <c r="P78" s="80" t="s">
        <v>691</v>
      </c>
      <c r="Q78" s="80" t="s">
        <v>225</v>
      </c>
    </row>
    <row r="79" spans="5:40" ht="15">
      <c r="K79" s="37" t="s">
        <v>428</v>
      </c>
      <c r="L79" s="39"/>
      <c r="N79" s="80" t="s">
        <v>1084</v>
      </c>
      <c r="O79" s="80">
        <v>9767467</v>
      </c>
      <c r="P79" s="80" t="s">
        <v>1085</v>
      </c>
      <c r="Q79" s="80" t="s">
        <v>1086</v>
      </c>
    </row>
    <row r="80" spans="5:40" ht="15">
      <c r="K80" s="37" t="s">
        <v>429</v>
      </c>
      <c r="L80" s="39"/>
      <c r="N80" s="80" t="s">
        <v>671</v>
      </c>
      <c r="O80" s="80">
        <v>9666510</v>
      </c>
      <c r="P80" s="80" t="s">
        <v>670</v>
      </c>
      <c r="Q80" s="80" t="s">
        <v>929</v>
      </c>
    </row>
    <row r="81" spans="11:17" ht="15">
      <c r="K81" s="37" t="s">
        <v>430</v>
      </c>
      <c r="L81" s="39"/>
      <c r="N81" s="80" t="s">
        <v>969</v>
      </c>
      <c r="O81" s="81">
        <v>9859181</v>
      </c>
      <c r="P81" s="81" t="s">
        <v>970</v>
      </c>
      <c r="Q81" s="81" t="s">
        <v>971</v>
      </c>
    </row>
    <row r="82" spans="11:17" ht="15">
      <c r="K82" s="37" t="s">
        <v>431</v>
      </c>
      <c r="L82" s="39"/>
      <c r="N82" s="80" t="s">
        <v>673</v>
      </c>
      <c r="O82" s="80">
        <v>9748124</v>
      </c>
      <c r="P82" s="80" t="s">
        <v>672</v>
      </c>
      <c r="Q82" s="80" t="s">
        <v>930</v>
      </c>
    </row>
    <row r="83" spans="11:17" ht="15">
      <c r="K83" s="37" t="s">
        <v>432</v>
      </c>
      <c r="L83" s="39"/>
      <c r="N83" s="80" t="s">
        <v>260</v>
      </c>
      <c r="O83" s="80">
        <v>9123934</v>
      </c>
      <c r="P83" s="80" t="s">
        <v>747</v>
      </c>
      <c r="Q83" s="80" t="s">
        <v>259</v>
      </c>
    </row>
    <row r="84" spans="11:17" ht="15">
      <c r="K84" s="37" t="s">
        <v>433</v>
      </c>
      <c r="L84" s="39"/>
      <c r="N84" s="80" t="s">
        <v>981</v>
      </c>
      <c r="O84" s="81">
        <v>9882425</v>
      </c>
      <c r="P84" s="81" t="s">
        <v>988</v>
      </c>
      <c r="Q84" s="81" t="s">
        <v>1053</v>
      </c>
    </row>
    <row r="85" spans="11:17" ht="15">
      <c r="K85" s="37" t="s">
        <v>434</v>
      </c>
      <c r="L85" s="39"/>
      <c r="N85" s="80" t="s">
        <v>977</v>
      </c>
      <c r="O85" s="81">
        <v>9882396</v>
      </c>
      <c r="P85" s="81" t="s">
        <v>984</v>
      </c>
      <c r="Q85" s="81" t="s">
        <v>1054</v>
      </c>
    </row>
    <row r="86" spans="11:17" ht="15">
      <c r="K86" s="37" t="s">
        <v>435</v>
      </c>
      <c r="L86" s="39"/>
      <c r="N86" s="80" t="s">
        <v>979</v>
      </c>
      <c r="O86" s="81">
        <v>9882413</v>
      </c>
      <c r="P86" s="81" t="s">
        <v>986</v>
      </c>
      <c r="Q86" s="81" t="s">
        <v>1055</v>
      </c>
    </row>
    <row r="87" spans="11:17" ht="15">
      <c r="K87" s="37" t="s">
        <v>436</v>
      </c>
      <c r="L87" s="39"/>
      <c r="N87" s="80" t="s">
        <v>978</v>
      </c>
      <c r="O87" s="81">
        <v>9882401</v>
      </c>
      <c r="P87" s="81" t="s">
        <v>985</v>
      </c>
      <c r="Q87" s="81" t="s">
        <v>1056</v>
      </c>
    </row>
    <row r="88" spans="11:17" ht="15">
      <c r="K88" s="37" t="s">
        <v>437</v>
      </c>
      <c r="L88" s="39"/>
      <c r="N88" s="80" t="s">
        <v>749</v>
      </c>
      <c r="O88" s="80">
        <v>9344071</v>
      </c>
      <c r="P88" s="80" t="s">
        <v>748</v>
      </c>
      <c r="Q88" s="80" t="s">
        <v>401</v>
      </c>
    </row>
    <row r="89" spans="11:17" ht="15">
      <c r="K89" s="37" t="s">
        <v>438</v>
      </c>
      <c r="L89" s="39"/>
      <c r="N89" s="80" t="s">
        <v>964</v>
      </c>
      <c r="O89" s="81">
        <v>9790361</v>
      </c>
      <c r="P89" s="81" t="s">
        <v>745</v>
      </c>
      <c r="Q89" s="81" t="s">
        <v>947</v>
      </c>
    </row>
    <row r="90" spans="11:17" ht="15">
      <c r="K90" s="37" t="s">
        <v>439</v>
      </c>
      <c r="L90" s="39"/>
      <c r="N90" s="80" t="s">
        <v>963</v>
      </c>
      <c r="O90" s="81">
        <v>9790373</v>
      </c>
      <c r="P90" s="81" t="s">
        <v>746</v>
      </c>
      <c r="Q90" s="81" t="s">
        <v>948</v>
      </c>
    </row>
    <row r="91" spans="11:17" ht="15">
      <c r="K91" s="37" t="s">
        <v>440</v>
      </c>
      <c r="L91" s="39"/>
      <c r="N91" s="80" t="s">
        <v>246</v>
      </c>
      <c r="O91" s="81">
        <v>9339973</v>
      </c>
      <c r="P91" s="81" t="s">
        <v>703</v>
      </c>
      <c r="Q91" s="81" t="s">
        <v>245</v>
      </c>
    </row>
    <row r="92" spans="11:17" ht="15">
      <c r="K92" s="37" t="s">
        <v>441</v>
      </c>
      <c r="L92" s="39"/>
      <c r="N92" s="80" t="s">
        <v>705</v>
      </c>
      <c r="O92" s="81">
        <v>9770696</v>
      </c>
      <c r="P92" s="81" t="s">
        <v>704</v>
      </c>
      <c r="Q92" s="81" t="s">
        <v>937</v>
      </c>
    </row>
    <row r="93" spans="11:17" ht="15">
      <c r="K93" s="37" t="s">
        <v>442</v>
      </c>
      <c r="L93" s="39"/>
      <c r="N93" s="80" t="s">
        <v>707</v>
      </c>
      <c r="O93" s="81">
        <v>9787754</v>
      </c>
      <c r="P93" s="81" t="s">
        <v>706</v>
      </c>
      <c r="Q93" s="81" t="s">
        <v>938</v>
      </c>
    </row>
    <row r="94" spans="11:17" ht="15">
      <c r="K94" s="37" t="s">
        <v>443</v>
      </c>
      <c r="L94" s="39"/>
      <c r="N94" s="80" t="s">
        <v>244</v>
      </c>
      <c r="O94" s="81">
        <v>9311270</v>
      </c>
      <c r="P94" s="81" t="s">
        <v>708</v>
      </c>
      <c r="Q94" s="81" t="s">
        <v>243</v>
      </c>
    </row>
    <row r="95" spans="11:17" ht="15">
      <c r="K95" s="37" t="s">
        <v>444</v>
      </c>
      <c r="L95" s="39"/>
      <c r="N95" s="80" t="s">
        <v>279</v>
      </c>
      <c r="O95" s="81">
        <v>9387267</v>
      </c>
      <c r="P95" s="81" t="s">
        <v>709</v>
      </c>
      <c r="Q95" s="81" t="s">
        <v>280</v>
      </c>
    </row>
    <row r="96" spans="11:17" ht="15">
      <c r="K96" s="37" t="s">
        <v>445</v>
      </c>
      <c r="L96" s="39"/>
      <c r="N96" s="80" t="s">
        <v>1093</v>
      </c>
      <c r="O96" s="80">
        <v>9875226</v>
      </c>
      <c r="P96" s="80" t="s">
        <v>1091</v>
      </c>
      <c r="Q96" s="80" t="s">
        <v>1092</v>
      </c>
    </row>
    <row r="97" spans="11:17" ht="15">
      <c r="K97" s="37" t="s">
        <v>446</v>
      </c>
      <c r="L97" s="39"/>
      <c r="N97" s="114" t="s">
        <v>1098</v>
      </c>
      <c r="O97" s="80">
        <v>9903140</v>
      </c>
      <c r="P97" s="14" t="s">
        <v>1100</v>
      </c>
      <c r="Q97" s="116" t="s">
        <v>1099</v>
      </c>
    </row>
    <row r="98" spans="11:17">
      <c r="K98" s="37" t="s">
        <v>447</v>
      </c>
      <c r="L98" s="39"/>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101"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112" customWidth="1"/>
    <col min="2" max="2" width="6.26953125" style="112" bestFit="1" customWidth="1"/>
    <col min="3" max="3" width="89.08984375" style="112" bestFit="1" customWidth="1"/>
    <col min="4" max="16384" width="9" style="112"/>
  </cols>
  <sheetData>
    <row r="1" spans="2:3">
      <c r="B1" s="112" t="s">
        <v>510</v>
      </c>
      <c r="C1" s="112" t="s">
        <v>511</v>
      </c>
    </row>
    <row r="2" spans="2:3">
      <c r="C2" s="112" t="s">
        <v>567</v>
      </c>
    </row>
    <row r="3" spans="2:3">
      <c r="C3" s="112" t="s">
        <v>569</v>
      </c>
    </row>
    <row r="4" spans="2:3">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2022-04-16T15:13:29Z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