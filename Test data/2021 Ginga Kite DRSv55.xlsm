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mms_svr01\DRsender\Tanker_DR\DR sender 2021 V55\"/>
    </mc:Choice>
  </mc:AlternateContent>
  <xr:revisionPtr revIDLastSave="0" documentId="13_ncr:1_{5C19163D-253D-40E0-A20A-71BE93759141}" xr6:coauthVersionLast="47" xr6:coauthVersionMax="47" xr10:uidLastSave="{00000000-0000-0000-0000-000000000000}"/>
  <bookViews>
    <workbookView xWindow="-110" yWindow="-110" windowWidth="29020" windowHeight="15850" tabRatio="601" activeTab="1" xr2:uid="{00000000-000D-0000-FFFF-FFFF00000000}"/>
  </bookViews>
  <sheets>
    <sheet name="Instructions" sheetId="14" r:id="rId1"/>
    <sheet name="DRSEND" sheetId="9" r:id="rId2"/>
    <sheet name="csv" sheetId="15" state="hidden" r:id="rId3"/>
    <sheet name="Severity Matrix" sheetId="16" r:id="rId4"/>
    <sheet name="ListInfo" sheetId="10" state="hidden" r:id="rId5"/>
    <sheet name="Changelog" sheetId="11" state="hidden" r:id="rId6"/>
  </sheets>
  <functionGroups builtInGroupCount="19"/>
  <definedNames>
    <definedName name="_xlnm._FilterDatabase" localSheetId="1" hidden="1">DRSEND!$B$6:$AE$6</definedName>
    <definedName name="ACC">ListInfo!$K$124:$K$130</definedName>
    <definedName name="AEQ">ListInfo!$K$201:$K$221</definedName>
    <definedName name="ahoge">ListInfo!$I$2</definedName>
    <definedName name="amoge">ListInfo!$G$2:$G$9</definedName>
    <definedName name="batPath">ListInfo!$BA$2</definedName>
    <definedName name="bhoge">ListInfo!$I$3</definedName>
    <definedName name="BLR">ListInfo!$K$194:$K$200</definedName>
    <definedName name="bmoge">ListInfo!$G$11:$G$13</definedName>
    <definedName name="choge">ListInfo!$I$4</definedName>
    <definedName name="CLS">ListInfo!$K$76:$K$99</definedName>
    <definedName name="cmoge">ListInfo!$G$14</definedName>
    <definedName name="combo1data">DRSEND!#REF!</definedName>
    <definedName name="copyline">DRSEND!$A$7:$CV$7</definedName>
    <definedName name="CRG">ListInfo!$K$138:$K$147</definedName>
    <definedName name="CRT">ListInfo!$K$15:$K$27</definedName>
    <definedName name="csvSavePath">ListInfo!$BA$3</definedName>
    <definedName name="DCK">ListInfo!$K$131:$K$137</definedName>
    <definedName name="DCR">ListInfo!$K$261:$K$262</definedName>
    <definedName name="Deatail4">ListInfo!$K$75</definedName>
    <definedName name="DefCode1">ListInfo!$I$2</definedName>
    <definedName name="DefCode2">ListInfo!$I$3</definedName>
    <definedName name="DefCode3">ListInfo!$I$4</definedName>
    <definedName name="DefCode4">ListInfo!$I$5</definedName>
    <definedName name="DefCode5">ListInfo!$I$6</definedName>
    <definedName name="DefCode6">ListInfo!$I$8:$I$33</definedName>
    <definedName name="DefCode7">ListInfo!$I$7</definedName>
    <definedName name="Detail1">ListInfo!$K$2:$K$14</definedName>
    <definedName name="Detail2">ListInfo!$K$15:$K$27</definedName>
    <definedName name="Detail3">ListInfo!$K$52:$K$75</definedName>
    <definedName name="Detail4">ListInfo!$K$28:$K$51</definedName>
    <definedName name="Detail5">ListInfo!$K$76:$K$99</definedName>
    <definedName name="Detail6">ListInfo!$K$124:$K$272</definedName>
    <definedName name="Detail7">ListInfo!$K$100:$K$123</definedName>
    <definedName name="dhoge">ListInfo!$I$5</definedName>
    <definedName name="dmoge">ListInfo!$G$15:$G$17</definedName>
    <definedName name="DSH">ListInfo!$K$257:$K$260</definedName>
    <definedName name="ehoge">ListInfo!$I$6</definedName>
    <definedName name="ELC">ListInfo!$K$232:$K$239</definedName>
    <definedName name="emoge">ListInfo!$G$19:$G$22</definedName>
    <definedName name="ext">ListInfo!$AH$2:$AH$8</definedName>
    <definedName name="FFA">ListInfo!$K$158</definedName>
    <definedName name="fhoge">ListInfo!$I$8:$I$33</definedName>
    <definedName name="FitUnfit">ListInfo!$W$2:$W$4</definedName>
    <definedName name="fmoge">ListInfo!$G$24:$G$25</definedName>
    <definedName name="fullDefCode">ListInfo!$I$1:$I$33</definedName>
    <definedName name="fullList">ListInfo!$K$1:$K$272</definedName>
    <definedName name="GEN">ListInfo!$K$179:$K$193</definedName>
    <definedName name="ghoge">ListInfo!$I$7</definedName>
    <definedName name="gmoge">ListInfo!$G$27:$G$30</definedName>
    <definedName name="HAC">ListInfo!$K$230</definedName>
    <definedName name="IGS">ListInfo!$K$251:$K$256</definedName>
    <definedName name="ILL">ListInfo!$K$268:$K$272</definedName>
    <definedName name="INJ">ListInfo!$K$263:$K$267</definedName>
    <definedName name="Inspector1">ListInfo!$G$2:$G$9</definedName>
    <definedName name="Inspector2">ListInfo!$G$10:$G$13</definedName>
    <definedName name="Inspector3">ListInfo!$G$14</definedName>
    <definedName name="Inspector4">ListInfo!$G$15:$G$17</definedName>
    <definedName name="Inspector5">ListInfo!$G$18:$G$22</definedName>
    <definedName name="Inspector6">ListInfo!$G$23:$G$25</definedName>
    <definedName name="Inspector7">ListInfo!$G$26:$G$30</definedName>
    <definedName name="LLE">ListInfo!$K$156</definedName>
    <definedName name="LSA">ListInfo!$K$157</definedName>
    <definedName name="MacBrk">ListInfo!$M$2:$M$3</definedName>
    <definedName name="MajMin">ListInfo!$Y$2:$Y$3</definedName>
    <definedName name="MEN">ListInfo!$K$161:$K$178</definedName>
    <definedName name="MMS">ListInfo!$K$52:$K$75</definedName>
    <definedName name="MPR">ListInfo!$K$222:$K$229</definedName>
    <definedName name="NEQ">ListInfo!$K$148:$K$152</definedName>
    <definedName name="NIL">ListInfo!$K$263</definedName>
    <definedName name="ODD">ListInfo!$K$160</definedName>
    <definedName name="orgcode">DRSEND!$A$7</definedName>
    <definedName name="OTR">ListInfo!$K$100:$K$123</definedName>
    <definedName name="PAE">ListInfo!$K$231</definedName>
    <definedName name="pasteline">DRSEND!$A$123</definedName>
    <definedName name="PAV">ListInfo!$K$159</definedName>
    <definedName name="_xlnm.Print_Area" localSheetId="1">DRSEND!$A$1:$AE$6</definedName>
    <definedName name="PSC">ListInfo!$K$28:$K$51</definedName>
    <definedName name="Reason">ListInfo!$AA$2:$AA$8</definedName>
    <definedName name="RepBy">ListInfo!$D$2:$D$8</definedName>
    <definedName name="severity">ListInfo!$AY$2:$AY$6</definedName>
    <definedName name="SHF">ListInfo!$K$240:$K$245</definedName>
    <definedName name="shipname">ListInfo!$N$5:$N$97</definedName>
    <definedName name="Status">ListInfo!$AD$2:$AD$3</definedName>
    <definedName name="STR">ListInfo!$K$246:$K$250</definedName>
    <definedName name="threelettershipcode">ListInfo!$AN$2:$AN$69</definedName>
    <definedName name="vesseldata">ListInfo!$N$5:$Q$97</definedName>
    <definedName name="VET">ListInfo!$K$2:$K$14</definedName>
    <definedName name="vettingeq">ListInfo!$AQ$2:$AS$38</definedName>
    <definedName name="WAR">ListInfo!$K$153:$K$155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22" i="9" l="1"/>
  <c r="J122" i="9"/>
  <c r="F122" i="9"/>
  <c r="E122" i="9"/>
  <c r="L121" i="9" l="1"/>
  <c r="J121" i="9"/>
  <c r="F121" i="9"/>
  <c r="E121" i="9"/>
  <c r="L120" i="9"/>
  <c r="J120" i="9"/>
  <c r="F120" i="9"/>
  <c r="E120" i="9"/>
  <c r="L119" i="9"/>
  <c r="J119" i="9"/>
  <c r="F119" i="9"/>
  <c r="E119" i="9"/>
  <c r="L118" i="9"/>
  <c r="J118" i="9"/>
  <c r="F118" i="9"/>
  <c r="E118" i="9"/>
  <c r="L117" i="9" l="1"/>
  <c r="J117" i="9"/>
  <c r="F117" i="9"/>
  <c r="E117" i="9"/>
  <c r="L116" i="9"/>
  <c r="J116" i="9"/>
  <c r="F116" i="9"/>
  <c r="E116" i="9"/>
  <c r="L115" i="9"/>
  <c r="J115" i="9"/>
  <c r="F115" i="9"/>
  <c r="E115" i="9"/>
  <c r="L114" i="9"/>
  <c r="J114" i="9"/>
  <c r="F114" i="9"/>
  <c r="E114" i="9"/>
  <c r="L113" i="9"/>
  <c r="J113" i="9"/>
  <c r="F113" i="9"/>
  <c r="E113" i="9"/>
  <c r="L112" i="9"/>
  <c r="J112" i="9"/>
  <c r="F112" i="9"/>
  <c r="E112" i="9"/>
  <c r="L111" i="9" l="1"/>
  <c r="J111" i="9"/>
  <c r="F111" i="9"/>
  <c r="E111" i="9"/>
  <c r="L110" i="9"/>
  <c r="J110" i="9"/>
  <c r="F110" i="9"/>
  <c r="E110" i="9"/>
  <c r="L109" i="9"/>
  <c r="J109" i="9"/>
  <c r="F109" i="9"/>
  <c r="E109" i="9"/>
  <c r="L108" i="9"/>
  <c r="J108" i="9"/>
  <c r="F108" i="9"/>
  <c r="E108" i="9"/>
  <c r="L107" i="9"/>
  <c r="J107" i="9"/>
  <c r="F107" i="9"/>
  <c r="E107" i="9"/>
  <c r="L106" i="9"/>
  <c r="J106" i="9"/>
  <c r="F106" i="9"/>
  <c r="E106" i="9"/>
  <c r="L105" i="9"/>
  <c r="J105" i="9"/>
  <c r="F105" i="9"/>
  <c r="E105" i="9"/>
  <c r="L104" i="9"/>
  <c r="J104" i="9"/>
  <c r="F104" i="9"/>
  <c r="E104" i="9"/>
  <c r="L103" i="9"/>
  <c r="J103" i="9"/>
  <c r="F103" i="9"/>
  <c r="E103" i="9"/>
  <c r="L102" i="9"/>
  <c r="J102" i="9"/>
  <c r="F102" i="9"/>
  <c r="E102" i="9"/>
  <c r="L101" i="9"/>
  <c r="J101" i="9"/>
  <c r="F101" i="9"/>
  <c r="E101" i="9"/>
  <c r="L100" i="9"/>
  <c r="J100" i="9"/>
  <c r="F100" i="9"/>
  <c r="E100" i="9"/>
  <c r="D1" i="9"/>
  <c r="C5" i="9"/>
  <c r="C2" i="9"/>
  <c r="C3" i="9"/>
  <c r="AW7" i="9" l="1"/>
  <c r="AX7" i="9"/>
  <c r="AY7" i="9"/>
  <c r="AV7" i="9"/>
  <c r="L7" i="9"/>
  <c r="J7" i="9"/>
  <c r="F7" i="9"/>
  <c r="E7" i="9"/>
  <c r="AU7" i="9" l="1"/>
</calcChain>
</file>

<file path=xl/sharedStrings.xml><?xml version="1.0" encoding="utf-8"?>
<sst xmlns="http://schemas.openxmlformats.org/spreadsheetml/2006/main" count="9991" uniqueCount="2233">
  <si>
    <t>NG</t>
  </si>
  <si>
    <t>S1 Maintenance Deficiency</t>
  </si>
  <si>
    <t>S2 Improper Handling</t>
  </si>
  <si>
    <t>S3 Lack of Knowledge</t>
  </si>
  <si>
    <t>S6 Material/Process</t>
  </si>
  <si>
    <t>S7 Others</t>
  </si>
  <si>
    <t>Root cause</t>
  </si>
  <si>
    <t>ACC Accident</t>
  </si>
  <si>
    <t>NEQ Nav. Equipment</t>
  </si>
  <si>
    <t>WAR Wire &amp; Rope</t>
  </si>
  <si>
    <t>LLE Load Line Equipment</t>
  </si>
  <si>
    <t>LSA Life Saving Appliance</t>
  </si>
  <si>
    <t>FFA Fire Fighting Appliance</t>
  </si>
  <si>
    <t>ODD Others Deck dept.</t>
  </si>
  <si>
    <t>MEN M/E</t>
  </si>
  <si>
    <t>GEN G/E</t>
  </si>
  <si>
    <t>BLR Boiler</t>
  </si>
  <si>
    <t>AEQ Aux. Equipment</t>
  </si>
  <si>
    <t>HAC Heater and Cooler (Except M/E &amp; G/E)</t>
  </si>
  <si>
    <t>ELC Electric</t>
  </si>
  <si>
    <t>SHF Shaft</t>
  </si>
  <si>
    <t>STR Steering</t>
  </si>
  <si>
    <t>IGS IG System</t>
  </si>
  <si>
    <t>DSH Documents Ship</t>
  </si>
  <si>
    <t>DCR Documents Crew</t>
  </si>
  <si>
    <t>ILL Crew Illness</t>
  </si>
  <si>
    <t>VET02 Certification and Documentation</t>
  </si>
  <si>
    <t>VET03 Crew Management</t>
  </si>
  <si>
    <t>VET05 Safety Management</t>
  </si>
  <si>
    <t>VET06 Pollution Prevention</t>
  </si>
  <si>
    <t>VET08 Cargo and Ballast Systems</t>
  </si>
  <si>
    <t>VET09 Mooring</t>
  </si>
  <si>
    <t>PSC02 Crew</t>
  </si>
  <si>
    <t>PSC04 Food and Catering</t>
  </si>
  <si>
    <t>PSC05 Working Space</t>
  </si>
  <si>
    <t>PSC06 Life Saving Appliances</t>
  </si>
  <si>
    <t>PSC07 Fire Fighting Appliances</t>
  </si>
  <si>
    <t>PSC08 Accident Prevention</t>
  </si>
  <si>
    <t>PSC09 Safety in General</t>
  </si>
  <si>
    <t>PSC10 Alarms - signals</t>
  </si>
  <si>
    <t>PSC11 Cargo</t>
  </si>
  <si>
    <t>PSC12 Load Lines</t>
  </si>
  <si>
    <t>PSC13 Mooring Arrangements</t>
  </si>
  <si>
    <t>PSC14 Propulsion &amp; Aux. Machinery</t>
  </si>
  <si>
    <t>PSC15 Navigation</t>
  </si>
  <si>
    <t>PSC16 Radio</t>
  </si>
  <si>
    <t>PSC17 Marine Pollution - Annex I</t>
  </si>
  <si>
    <t>PSC18 Tankers (def. Specify for)</t>
  </si>
  <si>
    <t>PSC19 Marine Pollution - Annex II</t>
  </si>
  <si>
    <t>PSC20 SOLAS Related Operational</t>
  </si>
  <si>
    <t>PSC21 MARPOL Related Operational</t>
  </si>
  <si>
    <t>PSC22 Marine Pollution - Annex III</t>
  </si>
  <si>
    <t>PSC23 Other</t>
  </si>
  <si>
    <t>ACC01 Collision</t>
  </si>
  <si>
    <t>ACC02 Fire</t>
  </si>
  <si>
    <t>ACC03 Oil Spill</t>
  </si>
  <si>
    <t>ACC04 Grounding</t>
  </si>
  <si>
    <t>ACC05 Bottom Touch</t>
  </si>
  <si>
    <t>ACC06 Contact Berth and foreign object</t>
  </si>
  <si>
    <t>ACC07 Hull Structure</t>
  </si>
  <si>
    <t>DCK03 Hatch Cover Opening system(Bulker,WCC)</t>
  </si>
  <si>
    <t>DCK04 Deck Crane (Bulker, WCC)</t>
  </si>
  <si>
    <t>DCK05 Hose Handling Crane (Tanker)</t>
  </si>
  <si>
    <t>DCK06 Other Cranes.</t>
  </si>
  <si>
    <t>DCK07 Grabs (Bulker, WCC)</t>
  </si>
  <si>
    <t>CRG02 C.O.P (Tanker)</t>
  </si>
  <si>
    <t>CRG03 Ballast Pump (Tanker)</t>
  </si>
  <si>
    <t>CRG04 AUS (Tanker)</t>
  </si>
  <si>
    <t>CRG05 ODMCS (Tanker)</t>
  </si>
  <si>
    <t>CRG06 Cargo Operation system(Tanker)</t>
  </si>
  <si>
    <t>CRG08 Loading Computer</t>
  </si>
  <si>
    <t>CRG09 Hold Fan (PCC)</t>
  </si>
  <si>
    <t>NEQ01 Steering Gear Auto Pilot</t>
  </si>
  <si>
    <t>NEQ02 Gyro Compass</t>
  </si>
  <si>
    <t>NEQ03 Speed Log</t>
  </si>
  <si>
    <t>NEQ04 Others of Navigation Equipments</t>
  </si>
  <si>
    <t>NEQ05 Radio Equipments</t>
  </si>
  <si>
    <t>WAR01 Mooring Wires and Hawsers</t>
  </si>
  <si>
    <t>WAR02 Cargo Wire and Rope</t>
  </si>
  <si>
    <t>WAR03 Other Wire and Rope</t>
  </si>
  <si>
    <t>LLE01 Load Line Equipment</t>
  </si>
  <si>
    <t>LSA01 Life Saving Appliance</t>
  </si>
  <si>
    <t>PAV01 Piping and Valves all Kinds(Except E/R)</t>
  </si>
  <si>
    <t>ODD01 Others Deck dept related</t>
  </si>
  <si>
    <t>MEN01 ME cyl Cover</t>
  </si>
  <si>
    <t>MEN02 ME Liner</t>
  </si>
  <si>
    <t>MEN03 ME Piston</t>
  </si>
  <si>
    <t>MEN04 ME Bearings</t>
  </si>
  <si>
    <t>MEN05 ME Fuel Injector</t>
  </si>
  <si>
    <t>MEN06 ME Starting valve</t>
  </si>
  <si>
    <t>MEN07 ME Safety valve</t>
  </si>
  <si>
    <t>MEN08 ME Exhaust valve</t>
  </si>
  <si>
    <t>MEN09 ME F.O Injection Pump</t>
  </si>
  <si>
    <t>MEN10 ME Indicator valve</t>
  </si>
  <si>
    <t>MEN11 ME Turbo charger</t>
  </si>
  <si>
    <t>MEN12 ME Aux. Blower</t>
  </si>
  <si>
    <t>MEN13 ME Air inter cooler</t>
  </si>
  <si>
    <t>MEN14 ME Governor</t>
  </si>
  <si>
    <t>MEN15 ME Control system (Electrical)</t>
  </si>
  <si>
    <t>MEN17 ME Construction</t>
  </si>
  <si>
    <t>MEN18 ME Others</t>
  </si>
  <si>
    <t>GEN01 GE cyl Cover</t>
  </si>
  <si>
    <t>GEN02 GE cyl Liner</t>
  </si>
  <si>
    <t>GEN03 GE Piston</t>
  </si>
  <si>
    <t>GEN04 GE Bearings</t>
  </si>
  <si>
    <t>GEN05 GE Fuel Injector</t>
  </si>
  <si>
    <t>GEN06 GE Starting v/v and devices</t>
  </si>
  <si>
    <t>GEN07 GE Safety Valve</t>
  </si>
  <si>
    <t>GEN08 GE Exh, and Intake valve</t>
  </si>
  <si>
    <t>GEN09 GE Exhaust valve</t>
  </si>
  <si>
    <t>GEN10 GE F.O Injection Pump</t>
  </si>
  <si>
    <t>GEN11 GE Governor</t>
  </si>
  <si>
    <t>GEN12 GE Turbo charger</t>
  </si>
  <si>
    <t>GEN13 GE Air intercooler</t>
  </si>
  <si>
    <t>GEN15 GE Others</t>
  </si>
  <si>
    <t>BLR01 Boiler construction</t>
  </si>
  <si>
    <t>BLR02 Safety valve and mounting valves</t>
  </si>
  <si>
    <t>BLR03 Burner units</t>
  </si>
  <si>
    <t>BLR04 ACC related</t>
  </si>
  <si>
    <t>BLR05 F.D.Fan</t>
  </si>
  <si>
    <t>BLR06 Water Gauge and other fittings</t>
  </si>
  <si>
    <t>BLR07 Boiler Others</t>
  </si>
  <si>
    <t>AEQ01 Air Compressor cyl cover ,Liner &amp; Piston</t>
  </si>
  <si>
    <t>AEQ02 HP &amp; LP valves</t>
  </si>
  <si>
    <t>AEQ03 Unloader system</t>
  </si>
  <si>
    <t>AEQ04 Safety devices</t>
  </si>
  <si>
    <t>AEQ06 Air compressor Others</t>
  </si>
  <si>
    <t>AEQ10 Air Cond, Heating unit</t>
  </si>
  <si>
    <t>AEQ12 FWG, Evaporator</t>
  </si>
  <si>
    <t>AEQ14 FWG, Ejector Pump</t>
  </si>
  <si>
    <t>AEQ15 FWG, Water Ejector</t>
  </si>
  <si>
    <t>AEQ16 FWG, Others</t>
  </si>
  <si>
    <t>AEQ17 Purifier, Construction</t>
  </si>
  <si>
    <t>AEQ20 Purifier, Others</t>
  </si>
  <si>
    <t>MPR01 Bilge separator</t>
  </si>
  <si>
    <t>MPR02 OCM</t>
  </si>
  <si>
    <t>MPR03 Bilge Separator. Others.</t>
  </si>
  <si>
    <t>MPR04 Incinerator, Burner Unit</t>
  </si>
  <si>
    <t>MPR05 Incinerator, Furnace</t>
  </si>
  <si>
    <t>MPR06 Incinerator, Safety devices</t>
  </si>
  <si>
    <t>MPR07 Incinerator Operation system</t>
  </si>
  <si>
    <t>MPR08 Incinerator, Others</t>
  </si>
  <si>
    <t>HAC01 Heater and Cooler (except ME &amp; GE)</t>
  </si>
  <si>
    <t>PAE01 Piping &amp; Valves. (E/R)</t>
  </si>
  <si>
    <t>ELC01 Electrical- Main switch board</t>
  </si>
  <si>
    <t>ELC02 Electrical-Other switch board</t>
  </si>
  <si>
    <t>ELC03 Electrical Wiring (Power and Lighting)</t>
  </si>
  <si>
    <t>ELC04 Electrical control &amp; operation system</t>
  </si>
  <si>
    <t>ELC05 Alarm system</t>
  </si>
  <si>
    <t>ELC07 Motors</t>
  </si>
  <si>
    <t>ELC08 Electrical Others</t>
  </si>
  <si>
    <t>SHF01 Shafting, Propeller</t>
  </si>
  <si>
    <t>SHF02 Shafting, Tail shaft</t>
  </si>
  <si>
    <t>SHF03 Shafting, Intermediate shaft</t>
  </si>
  <si>
    <t>SHF04 Shafting, Intermediate Bearing</t>
  </si>
  <si>
    <t>SHF05 Shafting, Sealing device</t>
  </si>
  <si>
    <t>SHF06 Shafting, Others</t>
  </si>
  <si>
    <t>IGS01 IGS-Blower</t>
  </si>
  <si>
    <t>IGS02 IGS-Piping and valves</t>
  </si>
  <si>
    <t>IGS03 IGS-Safety devices</t>
  </si>
  <si>
    <t>IGS04 IGS-Operation system</t>
  </si>
  <si>
    <t>IGS05 PV valves, Scrubber.etc</t>
  </si>
  <si>
    <t>IGS06 IGS-Others</t>
  </si>
  <si>
    <t>DSH02 Circular</t>
  </si>
  <si>
    <t>DSH03 SQEMS Documents</t>
  </si>
  <si>
    <t>DSH04 Other</t>
  </si>
  <si>
    <t>DCR02 Other</t>
  </si>
  <si>
    <t>S5 Design Deficient</t>
  </si>
  <si>
    <t>PSC03 Accommodation</t>
  </si>
  <si>
    <t>INJ Crew Injury</t>
  </si>
  <si>
    <t>MMS03 Accommodation</t>
  </si>
  <si>
    <t>CLS03 Accommodation</t>
  </si>
  <si>
    <t>DCK01 Windlass (Inc Hydro system)</t>
  </si>
  <si>
    <t>DCK02 Winch (Inc Hydro system)</t>
  </si>
  <si>
    <t>CRG01 Unloader system (WCC)</t>
  </si>
  <si>
    <t>CRG07 Cargo Monitoring system(Tanker)</t>
  </si>
  <si>
    <t>CRG10 Car Ramp Related</t>
  </si>
  <si>
    <t>FFA01 Fire Fighting Appliance</t>
  </si>
  <si>
    <t>MEN16 ME control system (Air)</t>
  </si>
  <si>
    <t>GEN14 GE Operation mechanism (Air &amp; Electrical)</t>
  </si>
  <si>
    <t>AEQ05 Operation mechanism</t>
  </si>
  <si>
    <t>AEQ07 Reefer &amp; Air Cond, and ECR A/C Compressor</t>
  </si>
  <si>
    <t>AEQ08 Reefer &amp; Air Cond, and ECR safety devices</t>
  </si>
  <si>
    <t>AEQ09 Reefer &amp; Air Cond, and ECR Lines</t>
  </si>
  <si>
    <t>AEQ11 Reefer &amp; Air Cond, and ECR A/C Others</t>
  </si>
  <si>
    <t>AEQ13 FWG, Condenser</t>
  </si>
  <si>
    <t>AEQ18 Purifier, Safety Devices</t>
  </si>
  <si>
    <t>AEQ19 Purifier, Operation system</t>
  </si>
  <si>
    <t>AEQ21 Pumps, except Hydro pump</t>
  </si>
  <si>
    <t>ELC06 Monitoring system</t>
  </si>
  <si>
    <t>DSH01 Trading Certificate</t>
  </si>
  <si>
    <t>DCR01 License &amp; Certificate</t>
  </si>
  <si>
    <t>TC1996001</t>
  </si>
  <si>
    <t>TM HARMONY</t>
  </si>
  <si>
    <t>TC1999002</t>
  </si>
  <si>
    <t>TAKASE</t>
  </si>
  <si>
    <t>TC2003003</t>
  </si>
  <si>
    <t>SINGAPORE VOYAGER</t>
  </si>
  <si>
    <t>TP1997001</t>
  </si>
  <si>
    <t>TP2000003</t>
  </si>
  <si>
    <t>MIKOM BRAVE</t>
  </si>
  <si>
    <t>TP2003004</t>
  </si>
  <si>
    <t>SILVER LINING</t>
  </si>
  <si>
    <t>CB1995002</t>
  </si>
  <si>
    <t>ATOYAC</t>
  </si>
  <si>
    <t>CB1999003</t>
  </si>
  <si>
    <t>SPRINGDRAKE</t>
  </si>
  <si>
    <t>CB2003004</t>
  </si>
  <si>
    <t>TRITON EAGLE</t>
  </si>
  <si>
    <t>CB2001009</t>
  </si>
  <si>
    <t>PAX PHOENIX</t>
  </si>
  <si>
    <t>CB2002010</t>
  </si>
  <si>
    <t>LEGEND PHOENIX</t>
  </si>
  <si>
    <t>CP1983002</t>
  </si>
  <si>
    <t>OCEAN ACE</t>
  </si>
  <si>
    <t>CP1977003</t>
  </si>
  <si>
    <t>OLIVE ACE</t>
  </si>
  <si>
    <t>CP1983004</t>
  </si>
  <si>
    <t>PALMA</t>
  </si>
  <si>
    <t>CP1996005</t>
  </si>
  <si>
    <t>LUMINOUS ACE</t>
  </si>
  <si>
    <t>CP2000006</t>
  </si>
  <si>
    <t>COMET ACE</t>
  </si>
  <si>
    <t>CP1980007</t>
  </si>
  <si>
    <t>SOUTHERN ACE</t>
  </si>
  <si>
    <t>CP2003008</t>
  </si>
  <si>
    <t>PROGRESS ACE</t>
  </si>
  <si>
    <t>CW1998001</t>
  </si>
  <si>
    <t>DAIO CREACION</t>
  </si>
  <si>
    <t>CW1996002</t>
  </si>
  <si>
    <t>DAIO COPIHUE</t>
  </si>
  <si>
    <t>CW1994003</t>
  </si>
  <si>
    <t>SALIGNA</t>
  </si>
  <si>
    <t>TP2005001</t>
  </si>
  <si>
    <t>Challenge Plus</t>
  </si>
  <si>
    <t>TC2006001</t>
  </si>
  <si>
    <t>Esteem Brilliance</t>
  </si>
  <si>
    <t>TC2004001</t>
  </si>
  <si>
    <t>Esteem Splendour</t>
  </si>
  <si>
    <t>TC2004002</t>
  </si>
  <si>
    <t>Eternal Diligence</t>
  </si>
  <si>
    <t>TC2004003</t>
  </si>
  <si>
    <t>Eternal Pride</t>
  </si>
  <si>
    <t>TC2004004</t>
  </si>
  <si>
    <t>Tokio</t>
  </si>
  <si>
    <t>TC2007001</t>
  </si>
  <si>
    <t>Taiga</t>
  </si>
  <si>
    <t>CB2005001</t>
  </si>
  <si>
    <t>Fleet Phoenix</t>
  </si>
  <si>
    <t>CB2004001</t>
  </si>
  <si>
    <t>Gaia Celeris</t>
  </si>
  <si>
    <t>CB2001001</t>
  </si>
  <si>
    <t>Ken Goh</t>
  </si>
  <si>
    <t>CB1997001</t>
  </si>
  <si>
    <t>Ken San</t>
  </si>
  <si>
    <t>CB2006001</t>
  </si>
  <si>
    <t>Ken Un</t>
  </si>
  <si>
    <t>CP2004001</t>
  </si>
  <si>
    <t>Paradise Ace</t>
  </si>
  <si>
    <t>CW1994001</t>
  </si>
  <si>
    <t>Siam Ocean</t>
  </si>
  <si>
    <t>OPEN</t>
  </si>
  <si>
    <t>N/A</t>
  </si>
  <si>
    <t>Astro Venus</t>
  </si>
  <si>
    <t>CP1982001</t>
  </si>
  <si>
    <t>Challenge Pacific</t>
  </si>
  <si>
    <t>TP2007001</t>
  </si>
  <si>
    <t>Nord Annapolis</t>
  </si>
  <si>
    <t>CW1995001</t>
  </si>
  <si>
    <t>CHIJIN</t>
  </si>
  <si>
    <t>MAERSK MISUMI</t>
  </si>
  <si>
    <t>TP2008001</t>
  </si>
  <si>
    <t>CP1982002</t>
  </si>
  <si>
    <t>Crystal Pioneer</t>
  </si>
  <si>
    <t>CW2008001</t>
  </si>
  <si>
    <t xml:space="preserve">Eagle Sapporo </t>
  </si>
  <si>
    <t>TC2008001</t>
  </si>
  <si>
    <t>Maersk Matsuyama</t>
  </si>
  <si>
    <t>TP2008002</t>
  </si>
  <si>
    <t>Tsushima</t>
  </si>
  <si>
    <t>TC2008002</t>
  </si>
  <si>
    <t>TG2009001</t>
  </si>
  <si>
    <t>CLIPPER POLARIS</t>
  </si>
  <si>
    <t>CB2009001</t>
  </si>
  <si>
    <t>CP2009001</t>
  </si>
  <si>
    <t>FREJA NORDICA</t>
  </si>
  <si>
    <t>TP2010002</t>
  </si>
  <si>
    <t>FREJA SCANDIA</t>
  </si>
  <si>
    <t>TP2010001</t>
  </si>
  <si>
    <t>OCEAN CHALLENGER</t>
  </si>
  <si>
    <t>CP2009002</t>
  </si>
  <si>
    <t>OCEAN PHOENIX</t>
  </si>
  <si>
    <t>CB2009002</t>
  </si>
  <si>
    <t>GLOBAL PHOENIX</t>
  </si>
  <si>
    <t>CB2010001</t>
  </si>
  <si>
    <t>0</t>
  </si>
  <si>
    <t>Last Check:</t>
  </si>
  <si>
    <t>Ship Code:</t>
  </si>
  <si>
    <t>Report Date:</t>
  </si>
  <si>
    <t>Last Import:</t>
  </si>
  <si>
    <t>Master:</t>
  </si>
  <si>
    <t>COMPANY USE ONLY</t>
  </si>
  <si>
    <t>Code</t>
  </si>
  <si>
    <t>Date Occurred</t>
  </si>
  <si>
    <t>Serial Number</t>
  </si>
  <si>
    <t>Reported by</t>
  </si>
  <si>
    <t>Inspector
/Auditor</t>
  </si>
  <si>
    <t>Detail of Inspector, etc.</t>
  </si>
  <si>
    <t>Deficiency Code</t>
  </si>
  <si>
    <t>Detail of Item</t>
  </si>
  <si>
    <t>Dose this report include machinery/ equipment breakdown, malfunction or trouble?
(Yes/No)</t>
  </si>
  <si>
    <t>Detail of NC
(Description)</t>
  </si>
  <si>
    <t>Estimated cause by Ship</t>
  </si>
  <si>
    <t>Remedial Action by ship</t>
  </si>
  <si>
    <t>Date of Remedial Action taken</t>
  </si>
  <si>
    <t>Target date
(if any)</t>
  </si>
  <si>
    <t>Follow up Action by ship</t>
  </si>
  <si>
    <t>Date of Follow up Action</t>
  </si>
  <si>
    <t>Lost Time Injury
(Hours)</t>
  </si>
  <si>
    <t>Stoppage Time
(Hours)</t>
  </si>
  <si>
    <t>Fit 
or
Unfit</t>
  </si>
  <si>
    <t>Evaluation by the Company</t>
  </si>
  <si>
    <t>Major/Minor</t>
  </si>
  <si>
    <t>Reason</t>
  </si>
  <si>
    <t>Corrective Action</t>
  </si>
  <si>
    <t>Date of Completion of Corrective Action</t>
  </si>
  <si>
    <t>Status</t>
  </si>
  <si>
    <t>Verification by Company</t>
  </si>
  <si>
    <t>STR01 Steering- Hydro Pump</t>
  </si>
  <si>
    <t>STR02 Steering- Hydro Cylinder</t>
  </si>
  <si>
    <t>STR03 Steering- Rudder</t>
  </si>
  <si>
    <t>STR04 Steering-Hydro pipings</t>
  </si>
  <si>
    <t>STR05 Steering-Others</t>
  </si>
  <si>
    <t>OTR01 Ship's Certs and docs</t>
  </si>
  <si>
    <t>CLS01 Ship's Certs and docs</t>
  </si>
  <si>
    <t>MMS01 Ship's Certs and docs</t>
  </si>
  <si>
    <t>PSC01 Ship's Certs and docs</t>
  </si>
  <si>
    <t>A Vetting</t>
  </si>
  <si>
    <t>A1 EXON</t>
  </si>
  <si>
    <t>VET Vetting</t>
  </si>
  <si>
    <t>VET01 General Information</t>
  </si>
  <si>
    <t>YES</t>
  </si>
  <si>
    <t>Major</t>
  </si>
  <si>
    <t>B Charterer</t>
  </si>
  <si>
    <t>A2 SHELL</t>
  </si>
  <si>
    <t>CRT Charterer</t>
  </si>
  <si>
    <t>NO</t>
  </si>
  <si>
    <t>Fit</t>
  </si>
  <si>
    <t>Minor</t>
  </si>
  <si>
    <t>CLOSE</t>
  </si>
  <si>
    <t>AMITY ACE</t>
  </si>
  <si>
    <t>CP1981001</t>
  </si>
  <si>
    <t>C MMS</t>
  </si>
  <si>
    <t>A3 CHEVRON</t>
  </si>
  <si>
    <t>MMS MMS</t>
  </si>
  <si>
    <t>Unfit</t>
  </si>
  <si>
    <t>ASIAN PIONEER</t>
  </si>
  <si>
    <t>CB2007002</t>
  </si>
  <si>
    <t>D PSC</t>
  </si>
  <si>
    <t>A4 BP</t>
  </si>
  <si>
    <t>PSC Port States Control</t>
  </si>
  <si>
    <t>E Class</t>
  </si>
  <si>
    <t>A5 BHP</t>
  </si>
  <si>
    <t>CLS Class</t>
  </si>
  <si>
    <t>F Vessel</t>
  </si>
  <si>
    <t>A6 PETRONAS</t>
  </si>
  <si>
    <t>OTR Other</t>
  </si>
  <si>
    <t>BW TOKYO</t>
  </si>
  <si>
    <t>G Other</t>
  </si>
  <si>
    <t>A7 TOTAL</t>
  </si>
  <si>
    <t>A8 OTHERS</t>
  </si>
  <si>
    <t>B1 NYK</t>
  </si>
  <si>
    <t>B2 MOL</t>
  </si>
  <si>
    <t>B3 OTHERS</t>
  </si>
  <si>
    <t>C1 S.I.</t>
  </si>
  <si>
    <t>D1 USCG</t>
  </si>
  <si>
    <t>VET13 Nil</t>
  </si>
  <si>
    <t>D2 AMSA</t>
  </si>
  <si>
    <t>CRT01 General Information</t>
  </si>
  <si>
    <t>D3 OTHERS</t>
  </si>
  <si>
    <t>CRT02 Certification and Documentation</t>
  </si>
  <si>
    <t>E1 NKK</t>
  </si>
  <si>
    <t>CRT03 Crew Management</t>
  </si>
  <si>
    <t>E2 LR</t>
  </si>
  <si>
    <t>ESTEEM GRANDEUR</t>
  </si>
  <si>
    <t>E3 ABS</t>
  </si>
  <si>
    <t>CRT05 Safety Management</t>
  </si>
  <si>
    <t>E4 OTEHRS</t>
  </si>
  <si>
    <t>CRT06 Pollution Prevention</t>
  </si>
  <si>
    <t>F1 MASTER</t>
  </si>
  <si>
    <t>F2 OTHERS</t>
  </si>
  <si>
    <t>MPR MARPOL</t>
  </si>
  <si>
    <t>CRT08 Cargo and Ballast Systems</t>
  </si>
  <si>
    <t>G1 QUARANTINE</t>
  </si>
  <si>
    <t>CRT09 Mooring</t>
  </si>
  <si>
    <t>G2 MARITIME POLICE</t>
  </si>
  <si>
    <t>G3 DEPT OF ECOLOGY</t>
  </si>
  <si>
    <t>G4 OTHERS</t>
  </si>
  <si>
    <t>CB2007001</t>
  </si>
  <si>
    <t>QUEEN SAPPHIRE</t>
  </si>
  <si>
    <t>SOUTHERN STAR</t>
  </si>
  <si>
    <t>CW2007001</t>
  </si>
  <si>
    <t>PSC24 Nil</t>
  </si>
  <si>
    <t>STELLA MARIS</t>
  </si>
  <si>
    <t>CB2007003</t>
  </si>
  <si>
    <t>MMS02 Crew</t>
  </si>
  <si>
    <t>MMS04 Food and Catering</t>
  </si>
  <si>
    <t>MMS05 Working Space</t>
  </si>
  <si>
    <t>MMS06 Life Saving Appliances</t>
  </si>
  <si>
    <t>MMS07 Fire Fighting Appliances</t>
  </si>
  <si>
    <t>MMS08 Accident Prevention</t>
  </si>
  <si>
    <t>WORLD SWAN</t>
  </si>
  <si>
    <t>MMS09 Safety in General</t>
  </si>
  <si>
    <t>MMS10 Alarms - signals</t>
  </si>
  <si>
    <t>MMS11 Cargo</t>
  </si>
  <si>
    <t>MMS12 Load Lines</t>
  </si>
  <si>
    <t>MMS13 Mooring Arrangements</t>
  </si>
  <si>
    <t>MMS14 Propulsion &amp; Aux. Machinery</t>
  </si>
  <si>
    <t>MMS15 Navigation</t>
  </si>
  <si>
    <t>MMS16 Radio</t>
  </si>
  <si>
    <t>MMS17 Marine Pollution - Annex I</t>
  </si>
  <si>
    <t>MMS18 Tankers (def. Specify for)</t>
  </si>
  <si>
    <t>MMS19 Marine Pollution - Annex II</t>
  </si>
  <si>
    <t>MMS20 SOLAS Related Operational</t>
  </si>
  <si>
    <t>MMS21 MARPOL Related Operational</t>
  </si>
  <si>
    <t>MMS22 Marine Pollution - Annex III</t>
  </si>
  <si>
    <t>MMS23 Other</t>
  </si>
  <si>
    <t>CLS02 Crew</t>
  </si>
  <si>
    <t>CLS04 Food and Catering</t>
  </si>
  <si>
    <t>CLS05 Working Space</t>
  </si>
  <si>
    <t>CLS06 Life Saving Appliances</t>
  </si>
  <si>
    <t>CLS07 Fire Fighting Appliances</t>
  </si>
  <si>
    <t>CLS08 Accident Prevention</t>
  </si>
  <si>
    <t>CLS09 Safety in General</t>
  </si>
  <si>
    <t>CLS10 Alarms - signals</t>
  </si>
  <si>
    <t>CLS11 Cargo</t>
  </si>
  <si>
    <t>CLS12 Load Lines</t>
  </si>
  <si>
    <t>CLS13 Mooring Arrangements</t>
  </si>
  <si>
    <t>CLS14 Propulsion &amp; Aux. Machinery</t>
  </si>
  <si>
    <t>CLS15 Navigation</t>
  </si>
  <si>
    <t>CLS16 Radio</t>
  </si>
  <si>
    <t>CLS17 Marine Pollution - Annex I</t>
  </si>
  <si>
    <t>CLS18 Tankers (def. Specify for)</t>
  </si>
  <si>
    <t>CLS19 Marine Pollution - Annex II</t>
  </si>
  <si>
    <t>CLS20 SOLAS Related Operational</t>
  </si>
  <si>
    <t>CLS21 MARPOL Related Operational</t>
  </si>
  <si>
    <t>CLS22 Marine Pollution - Annex III</t>
  </si>
  <si>
    <t>CLS23 Other</t>
  </si>
  <si>
    <t>CLS24 Nil</t>
  </si>
  <si>
    <t>OTR02 Crew</t>
  </si>
  <si>
    <t>OTR03 Accommodation</t>
  </si>
  <si>
    <t>OTR04 Food and Catering</t>
  </si>
  <si>
    <t>OTR05 Working Space</t>
  </si>
  <si>
    <t>OTR06 Life Saving Appliances</t>
  </si>
  <si>
    <t>OTR07 Fire Fighting Appliances</t>
  </si>
  <si>
    <t>OTR08 Accident Prevention</t>
  </si>
  <si>
    <t>OTR09 Safety in General</t>
  </si>
  <si>
    <t>OTR10 Alarms - signals</t>
  </si>
  <si>
    <t>OTR11 Cargo</t>
  </si>
  <si>
    <t>OTR12 Load Lines</t>
  </si>
  <si>
    <t>OTR13 Mooring Arrangements</t>
  </si>
  <si>
    <t>OTR14 Propulsion &amp; Aux. Machinery</t>
  </si>
  <si>
    <t>OTR15 Navigation</t>
  </si>
  <si>
    <t>OTR16 Radio</t>
  </si>
  <si>
    <t>OTR17 Marine Pollution - Annex I</t>
  </si>
  <si>
    <t>OTR18 Tankers (def. Specify for)</t>
  </si>
  <si>
    <t>OTR19 Marine Pollution - Annex II</t>
  </si>
  <si>
    <t>OTR20 SOLAS Related Operational</t>
  </si>
  <si>
    <t>OTR21 MARPOL Related Operational</t>
  </si>
  <si>
    <t>OTR22 Marine Pollution - Annex III</t>
  </si>
  <si>
    <t>OTR23 Other</t>
  </si>
  <si>
    <t>OTR24 Nil</t>
  </si>
  <si>
    <t>INJ02 Lost Time Injury (LTI)</t>
  </si>
  <si>
    <t>INJ03 Restricted Work Case (RWC)</t>
  </si>
  <si>
    <t>INJ04 Medical Treatment Case (MTC)</t>
  </si>
  <si>
    <t>INJ05 First Aid Case (FAC)</t>
  </si>
  <si>
    <t>ILL01 Fatality</t>
  </si>
  <si>
    <t>ILL02 Lost Time Injury (LTI)</t>
  </si>
  <si>
    <t>ILL03 Restricted Work Case</t>
  </si>
  <si>
    <t>ILL04 Medical Treatment Case (MTC)</t>
  </si>
  <si>
    <t>ILL05 First Aid Case (FAC)</t>
  </si>
  <si>
    <t>Vessel IMO</t>
  </si>
  <si>
    <t>Delay_Vsl</t>
  </si>
  <si>
    <t>Downtime_Vsl</t>
  </si>
  <si>
    <t>Criticaleq</t>
  </si>
  <si>
    <t>Blackout</t>
  </si>
  <si>
    <t>Docking</t>
  </si>
  <si>
    <t>Dispensation</t>
  </si>
  <si>
    <t>CoC</t>
  </si>
  <si>
    <t>Brkdn_Unsch_Maint</t>
  </si>
  <si>
    <t>Downtime_Hrs</t>
  </si>
  <si>
    <t>vslIMO</t>
  </si>
  <si>
    <t>Alert</t>
  </si>
  <si>
    <t>Ship_Name</t>
  </si>
  <si>
    <t>Ship_Code</t>
  </si>
  <si>
    <t>Report_Date</t>
  </si>
  <si>
    <t>Master</t>
  </si>
  <si>
    <t>moge</t>
  </si>
  <si>
    <t>hoge</t>
  </si>
  <si>
    <t>NA</t>
  </si>
  <si>
    <t>defshort</t>
  </si>
  <si>
    <t>Sys_Code</t>
  </si>
  <si>
    <t>PSC_Code</t>
  </si>
  <si>
    <t>SIRE_Code</t>
  </si>
  <si>
    <t>SIRE_Chapter</t>
  </si>
  <si>
    <t>Ext Reason</t>
  </si>
  <si>
    <t>ext_rsn</t>
  </si>
  <si>
    <t>ext_dt</t>
  </si>
  <si>
    <t>Delay_Hrs</t>
  </si>
  <si>
    <t>Fleet_Alert</t>
  </si>
  <si>
    <t>Ver 43</t>
  </si>
  <si>
    <t>Removed RCA checkbox</t>
  </si>
  <si>
    <t>DRS_ID</t>
  </si>
  <si>
    <t>dt_ocurred</t>
  </si>
  <si>
    <t>ser_no</t>
  </si>
  <si>
    <t>rpt_by</t>
  </si>
  <si>
    <t>insp_by</t>
  </si>
  <si>
    <t>insp_detail</t>
  </si>
  <si>
    <t>def_code</t>
  </si>
  <si>
    <t>def_short</t>
  </si>
  <si>
    <t>item_code</t>
  </si>
  <si>
    <t>item_short</t>
  </si>
  <si>
    <t>brkdn_yn</t>
  </si>
  <si>
    <t>nc_detail</t>
  </si>
  <si>
    <t>est_cause_ship</t>
  </si>
  <si>
    <t>init_action_ship</t>
  </si>
  <si>
    <t>init_action_ship_dt</t>
  </si>
  <si>
    <t>target_dt</t>
  </si>
  <si>
    <t>final_action_ship</t>
  </si>
  <si>
    <t>final_action_ship_dt</t>
  </si>
  <si>
    <t>lti_hr</t>
  </si>
  <si>
    <t>stop_hr</t>
  </si>
  <si>
    <t>fit</t>
  </si>
  <si>
    <t>co_eval</t>
  </si>
  <si>
    <t>maj_min</t>
  </si>
  <si>
    <t>rca</t>
  </si>
  <si>
    <t>reason_rc</t>
  </si>
  <si>
    <t>corr_action</t>
  </si>
  <si>
    <t>done_dt</t>
  </si>
  <si>
    <t>status</t>
  </si>
  <si>
    <t>update_by</t>
  </si>
  <si>
    <t>dummy1</t>
  </si>
  <si>
    <t>dummy2</t>
  </si>
  <si>
    <t>major</t>
  </si>
  <si>
    <t>ship_name</t>
  </si>
  <si>
    <t>sys_code</t>
  </si>
  <si>
    <t>eq_code</t>
  </si>
  <si>
    <t>fleet_alert</t>
  </si>
  <si>
    <t>downtime_tf</t>
  </si>
  <si>
    <t>delay_tf</t>
  </si>
  <si>
    <t>delay_hr</t>
  </si>
  <si>
    <t>downtime_hr</t>
  </si>
  <si>
    <t>brkdn_tf</t>
  </si>
  <si>
    <t>critical_eq_tf</t>
  </si>
  <si>
    <t>blackout_tf</t>
  </si>
  <si>
    <t>docking_tf</t>
  </si>
  <si>
    <t>dispensation_tf</t>
  </si>
  <si>
    <t>coc_tf</t>
  </si>
  <si>
    <t>alert_req</t>
  </si>
  <si>
    <t>vsl_imo</t>
  </si>
  <si>
    <t>ship_drs_code</t>
  </si>
  <si>
    <t>update_dt</t>
  </si>
  <si>
    <t>capt_name</t>
  </si>
  <si>
    <t>psc_def_code</t>
  </si>
  <si>
    <t>psc_def_ch</t>
  </si>
  <si>
    <t>sire_def_ch</t>
  </si>
  <si>
    <t>sire_def_code</t>
  </si>
  <si>
    <t>Added data export to csv file</t>
  </si>
  <si>
    <t/>
  </si>
  <si>
    <t>extension date and reason</t>
  </si>
  <si>
    <t>req_num</t>
  </si>
  <si>
    <t>Others</t>
  </si>
  <si>
    <t>Under Observation</t>
  </si>
  <si>
    <t>Jobs in Progress</t>
  </si>
  <si>
    <t>Spares supply</t>
  </si>
  <si>
    <t>Awaiting opportunity</t>
  </si>
  <si>
    <t>VET07 Maritime Security</t>
  </si>
  <si>
    <t>VET10 Engine &amp; Steering Compartments</t>
  </si>
  <si>
    <t>VET11 General Appearance ^&amp; Condition</t>
  </si>
  <si>
    <t>VET12 Ice Operations</t>
  </si>
  <si>
    <t>VIQ 7 Chapters</t>
  </si>
  <si>
    <t>DCK Deck Equipment</t>
  </si>
  <si>
    <t>CRG Cargo handling system</t>
  </si>
  <si>
    <t>PAE Piping and Valves in E/R</t>
  </si>
  <si>
    <t>PAV Piping and Valves (not in E/R)</t>
  </si>
  <si>
    <t>ext_cmnt</t>
  </si>
  <si>
    <t>Requisition number to be entered in case spares or any items required</t>
  </si>
  <si>
    <t>#</t>
  </si>
  <si>
    <t>Name</t>
  </si>
  <si>
    <t>Description</t>
  </si>
  <si>
    <t>Req No.</t>
  </si>
  <si>
    <t>Target Date</t>
  </si>
  <si>
    <t>Final Action by Ship</t>
  </si>
  <si>
    <t>Immediate action taken</t>
  </si>
  <si>
    <t>The immediate or temporary action taken to rectify or mitigate the deficiency.</t>
  </si>
  <si>
    <t>Select the appropiate PSC and SIRE categories.</t>
  </si>
  <si>
    <t>Est Cause</t>
  </si>
  <si>
    <t>The estimated cause of deficiency is to be mentioned here by vessel</t>
  </si>
  <si>
    <t>Date Ocurred</t>
  </si>
  <si>
    <t>Auto-generated refrence number, but can be changed if required.</t>
  </si>
  <si>
    <t>Deficiency details</t>
  </si>
  <si>
    <t>Mention a brief description of the deficiency. Keep it short but clear.</t>
  </si>
  <si>
    <t>Form Bar</t>
  </si>
  <si>
    <t>Form Instructions</t>
  </si>
  <si>
    <t>Review and update the Open Entries and send the DR Sender to the PIC at max monthly intervals</t>
  </si>
  <si>
    <t>In  case of any errors in the sheet or data corruption please contact itsupport@mmstokyo.co.jp</t>
  </si>
  <si>
    <t>Delay to vsl</t>
  </si>
  <si>
    <t>Downtime</t>
  </si>
  <si>
    <t xml:space="preserve">Breakdown / Unscheduled </t>
  </si>
  <si>
    <t>Critical Equipment Failure</t>
  </si>
  <si>
    <t>Blackout Occured</t>
  </si>
  <si>
    <t>Docking job</t>
  </si>
  <si>
    <t>Fleet Alert Required</t>
  </si>
  <si>
    <t>Tick this if the deficiency caused any delay or stoppage in Navigation or cargo operation. Tine (in decimal hours) to be entered also.</t>
  </si>
  <si>
    <t>Tick this for the downtime when the machinery was being repaired (not available) - from start of breakdown to completion of repair. Time to be entered in decimal hours.</t>
  </si>
  <si>
    <t>Tick this for recording breakdowns or unscheduled maintenance. PMS to be updated accordingly.</t>
  </si>
  <si>
    <t xml:space="preserve">Tick this to record FAILURES of critical equipment (SMP-16-01A). </t>
  </si>
  <si>
    <t>Tick this box if the dedfect/deficiency resulted in blackout. Enter the delay and downtime ocurred.</t>
  </si>
  <si>
    <t>Tick this to record Issuance of Flag Dispensation to the vessel for any abnormal condition.</t>
  </si>
  <si>
    <t>Tick this to record CoC or Outstanding Recommendation on the vessel by Class</t>
  </si>
  <si>
    <t>Final action taken to rectify the deficiency. If Immediate action was sufficient, then this can be blank.</t>
  </si>
  <si>
    <t>Enter date when the defect happened or deficiency was noted.</t>
  </si>
  <si>
    <t>Vessel Name and other information is displayed here.</t>
  </si>
  <si>
    <t>All Deficiencies, Observations, incidents and defects to be reported via DR Sender and followed up till closure. Entries become OVERDUE if not closed within 90 days of ocurrance or exceeding 'Target Date'.</t>
  </si>
  <si>
    <t>Entries in DR Sender to be made earliest possible. Write the entry clearly and in short. Do not delete any entries in the excel sheet.</t>
  </si>
  <si>
    <t>Upon receipt of updated DR Sender from the PIC, overwrite the older file on the shared drive. Do not rename the file.</t>
  </si>
  <si>
    <t>overdue</t>
  </si>
  <si>
    <t>ATE</t>
  </si>
  <si>
    <t>African Teist</t>
  </si>
  <si>
    <t>AMB</t>
  </si>
  <si>
    <t>Am Bremen</t>
  </si>
  <si>
    <t>AQU</t>
  </si>
  <si>
    <t>Andes Queen</t>
  </si>
  <si>
    <t>BAK</t>
  </si>
  <si>
    <t>Blue Akihabara</t>
  </si>
  <si>
    <t>BPH</t>
  </si>
  <si>
    <t>Bulk Phoenix</t>
  </si>
  <si>
    <t>COP</t>
  </si>
  <si>
    <t>Coral Opal</t>
  </si>
  <si>
    <t>FTO</t>
  </si>
  <si>
    <t>Federal Tokoro</t>
  </si>
  <si>
    <t>GCO</t>
  </si>
  <si>
    <t>Global Coral</t>
  </si>
  <si>
    <t>GPH</t>
  </si>
  <si>
    <t>Global Phoenix</t>
  </si>
  <si>
    <t>GRP</t>
  </si>
  <si>
    <t>Green Phoenix</t>
  </si>
  <si>
    <t>IPH</t>
  </si>
  <si>
    <t>KGO</t>
  </si>
  <si>
    <t>KHO</t>
  </si>
  <si>
    <t>Ken Hope</t>
  </si>
  <si>
    <t>KME</t>
  </si>
  <si>
    <t>Ken Mei</t>
  </si>
  <si>
    <t>KRE</t>
  </si>
  <si>
    <t>Ken Rei</t>
  </si>
  <si>
    <t>KRU</t>
  </si>
  <si>
    <t>Ken Ryu</t>
  </si>
  <si>
    <t>KSA</t>
  </si>
  <si>
    <t>LSH</t>
  </si>
  <si>
    <t>Loch Shuna</t>
  </si>
  <si>
    <t>MHA</t>
  </si>
  <si>
    <t>Mi Harmony</t>
  </si>
  <si>
    <t>OPH</t>
  </si>
  <si>
    <t>Ocean Phoenix</t>
  </si>
  <si>
    <t>PHE</t>
  </si>
  <si>
    <t>Pacific Hero</t>
  </si>
  <si>
    <t>PBD</t>
  </si>
  <si>
    <t>Paraburdoo</t>
  </si>
  <si>
    <t>PBR</t>
  </si>
  <si>
    <t>Pavo Bright</t>
  </si>
  <si>
    <t>RWI</t>
  </si>
  <si>
    <t>Robin Wind</t>
  </si>
  <si>
    <t>SFR</t>
  </si>
  <si>
    <t>Santa Francesca</t>
  </si>
  <si>
    <t>KTO</t>
  </si>
  <si>
    <t>Ken Toku</t>
  </si>
  <si>
    <t>ASP</t>
  </si>
  <si>
    <t>Andromeda Spirit</t>
  </si>
  <si>
    <t>ALE</t>
  </si>
  <si>
    <t>Antares Leader</t>
  </si>
  <si>
    <t>CMT</t>
  </si>
  <si>
    <t>Comet Ace</t>
  </si>
  <si>
    <t>GAC</t>
  </si>
  <si>
    <t>Glorious Ace</t>
  </si>
  <si>
    <t>KLE</t>
  </si>
  <si>
    <t>Kariyushi Leader</t>
  </si>
  <si>
    <t>LMN</t>
  </si>
  <si>
    <t>Luminous Ace</t>
  </si>
  <si>
    <t>MOC</t>
  </si>
  <si>
    <t>Morning Clara</t>
  </si>
  <si>
    <t>PRD</t>
  </si>
  <si>
    <t>PRG</t>
  </si>
  <si>
    <t>Progress Ace</t>
  </si>
  <si>
    <t>BWK</t>
  </si>
  <si>
    <t>BW Kyoto</t>
  </si>
  <si>
    <t>BWT</t>
  </si>
  <si>
    <t>BW Tokyo</t>
  </si>
  <si>
    <t>EAS</t>
  </si>
  <si>
    <t>Esteem Astro</t>
  </si>
  <si>
    <t>EEX</t>
  </si>
  <si>
    <t>Esteem Explorer</t>
  </si>
  <si>
    <t>MKI</t>
  </si>
  <si>
    <t>Marvel Kite</t>
  </si>
  <si>
    <t>TGA</t>
  </si>
  <si>
    <t>TSG</t>
  </si>
  <si>
    <t>Takasago</t>
  </si>
  <si>
    <t>TMA</t>
  </si>
  <si>
    <t>Tenma</t>
  </si>
  <si>
    <t>TKO</t>
  </si>
  <si>
    <t>TSM</t>
  </si>
  <si>
    <t>ADA</t>
  </si>
  <si>
    <t>Argent Daisy</t>
  </si>
  <si>
    <t>CMA</t>
  </si>
  <si>
    <t>Centennial Matsuyama</t>
  </si>
  <si>
    <t>CMI</t>
  </si>
  <si>
    <t>Centennial Misumi</t>
  </si>
  <si>
    <t>CPR</t>
  </si>
  <si>
    <t>Challenge Prospect II</t>
  </si>
  <si>
    <t>CJA</t>
  </si>
  <si>
    <t>Crimson Jade</t>
  </si>
  <si>
    <t>CPE</t>
  </si>
  <si>
    <t>Crimson Pearl</t>
  </si>
  <si>
    <t>EME</t>
  </si>
  <si>
    <t>Eagle Melbourne</t>
  </si>
  <si>
    <t>ESA</t>
  </si>
  <si>
    <t>Eagle Sapporo</t>
  </si>
  <si>
    <t>EBR</t>
  </si>
  <si>
    <t>EDI</t>
  </si>
  <si>
    <t>GHA</t>
  </si>
  <si>
    <t>GKI</t>
  </si>
  <si>
    <t>Ginga Kite</t>
  </si>
  <si>
    <t>GME</t>
  </si>
  <si>
    <t>Ginga Merlin</t>
  </si>
  <si>
    <t>HHO</t>
  </si>
  <si>
    <t>Hafnia Hong Kong</t>
  </si>
  <si>
    <t>HNO</t>
  </si>
  <si>
    <t>Hafnia Nordica</t>
  </si>
  <si>
    <t>HSH</t>
  </si>
  <si>
    <t>Hafnia Shanghai</t>
  </si>
  <si>
    <t>OCH</t>
  </si>
  <si>
    <t>Orient Challenge</t>
  </si>
  <si>
    <t>OIN</t>
  </si>
  <si>
    <t>Orient Innovation</t>
  </si>
  <si>
    <t>PCI</t>
  </si>
  <si>
    <t>Peace Victoria</t>
  </si>
  <si>
    <t>SCL</t>
  </si>
  <si>
    <t>SPA</t>
  </si>
  <si>
    <t>SOC</t>
  </si>
  <si>
    <t>SST</t>
  </si>
  <si>
    <t>Southern Star</t>
  </si>
  <si>
    <t>Ginga Hawk</t>
  </si>
  <si>
    <t>Ivs Phoenix</t>
  </si>
  <si>
    <t>St.Clemens</t>
  </si>
  <si>
    <t>St.Pauli</t>
  </si>
  <si>
    <t>PSC_Cat</t>
  </si>
  <si>
    <t>VET04 Navigation and communicatons</t>
  </si>
  <si>
    <t xml:space="preserve">VET10 Engine and steering compartments </t>
  </si>
  <si>
    <t>VET11 General Appearance and Condition</t>
  </si>
  <si>
    <t>CRT04 Navigation and communicatons</t>
  </si>
  <si>
    <t>CRT12 Ice Operations</t>
  </si>
  <si>
    <t>CRT11 General Appearance and Condition</t>
  </si>
  <si>
    <t>CRT10 Engine and steering compartments</t>
  </si>
  <si>
    <t>CRT07 Maritime Security</t>
  </si>
  <si>
    <t>ADNOC</t>
  </si>
  <si>
    <t>ARAMCO TRADING</t>
  </si>
  <si>
    <t>AMPOL</t>
  </si>
  <si>
    <t>BHP RIGHTSHIP</t>
  </si>
  <si>
    <t>BP</t>
  </si>
  <si>
    <t>CHEVRON</t>
  </si>
  <si>
    <t>CEPSA</t>
  </si>
  <si>
    <t>CONOCOPHILLIPS</t>
  </si>
  <si>
    <t>ENOC</t>
  </si>
  <si>
    <t>EQUINOR</t>
  </si>
  <si>
    <t>IDEMITSU</t>
  </si>
  <si>
    <t>INEOS</t>
  </si>
  <si>
    <t>IMT</t>
  </si>
  <si>
    <t>KOCH</t>
  </si>
  <si>
    <t>LUKOIL</t>
  </si>
  <si>
    <t>NESTE OIL</t>
  </si>
  <si>
    <t>NIGERIA LNG</t>
  </si>
  <si>
    <t>NOBLE AMERICAS</t>
  </si>
  <si>
    <t>NUSTAR</t>
  </si>
  <si>
    <t>PDVSA</t>
  </si>
  <si>
    <t>PERTAMINA</t>
  </si>
  <si>
    <t>PETROBRAS</t>
  </si>
  <si>
    <t>PETRONAS</t>
  </si>
  <si>
    <t>PHILLIPS 66</t>
  </si>
  <si>
    <t>PREEM</t>
  </si>
  <si>
    <t>PTT</t>
  </si>
  <si>
    <t>RELIANCE</t>
  </si>
  <si>
    <t>REPSOL</t>
  </si>
  <si>
    <t>SHELL</t>
  </si>
  <si>
    <t>STATOIL</t>
  </si>
  <si>
    <t>SUNOCO</t>
  </si>
  <si>
    <t>SAUDI ARAMCO</t>
  </si>
  <si>
    <t>TESERO</t>
  </si>
  <si>
    <t>TOTAL</t>
  </si>
  <si>
    <t>VALERO</t>
  </si>
  <si>
    <t>YPF</t>
  </si>
  <si>
    <t>Ship Name:</t>
  </si>
  <si>
    <t>VET04 Navigation and Communications</t>
  </si>
  <si>
    <t>VET13 Nil or Misc Comments</t>
  </si>
  <si>
    <t>CRT13 Nil or Misc Comments</t>
  </si>
  <si>
    <t>MMS24 Nil</t>
  </si>
  <si>
    <t>S4 Complacency</t>
  </si>
  <si>
    <t>A1 ADNOC</t>
  </si>
  <si>
    <t>A2 AMPOL</t>
  </si>
  <si>
    <t>A3 ARAMCO TRADING</t>
  </si>
  <si>
    <t>A4 BHP RIGHTSHIP</t>
  </si>
  <si>
    <t>A5 BP</t>
  </si>
  <si>
    <t>A6 CEPSA</t>
  </si>
  <si>
    <t>A7 CHEVRON</t>
  </si>
  <si>
    <t>A8 CONOCOPHILLIPS</t>
  </si>
  <si>
    <t>A9 ENOC</t>
  </si>
  <si>
    <t>A10 EQUINOR</t>
  </si>
  <si>
    <t>A11 IDEMITSU</t>
  </si>
  <si>
    <t>A12 IMT</t>
  </si>
  <si>
    <t>A13 INEOS</t>
  </si>
  <si>
    <t>A14 KOCH</t>
  </si>
  <si>
    <t>A15 LUKOIL</t>
  </si>
  <si>
    <t>A16 NESTE OIL</t>
  </si>
  <si>
    <t>A17 NIGERIA LNG</t>
  </si>
  <si>
    <t>A18 NOBLE AMERICAS</t>
  </si>
  <si>
    <t>A19 NUSTAR</t>
  </si>
  <si>
    <t>A20 PDVSA</t>
  </si>
  <si>
    <t>A21 PERTAMINA</t>
  </si>
  <si>
    <t>A22 PETROBRAS</t>
  </si>
  <si>
    <t>A23 PETRONAS</t>
  </si>
  <si>
    <t>A24 PHILLIPS 66</t>
  </si>
  <si>
    <t>A25 PREEM</t>
  </si>
  <si>
    <t>A26 PTT</t>
  </si>
  <si>
    <t>A27 RELIANCE</t>
  </si>
  <si>
    <t>A28 REPSOL</t>
  </si>
  <si>
    <t>A29 SAUDI ARAMCO</t>
  </si>
  <si>
    <t>A30 SHELL</t>
  </si>
  <si>
    <t>A31 STATOIL</t>
  </si>
  <si>
    <t>A32 SUNOCO</t>
  </si>
  <si>
    <t>A33 TESERO</t>
  </si>
  <si>
    <t>A34 TOTAL</t>
  </si>
  <si>
    <t>A35 VALERO</t>
  </si>
  <si>
    <t>A36 YPF</t>
  </si>
  <si>
    <t>ABUJA MOU</t>
  </si>
  <si>
    <t>AMSA</t>
  </si>
  <si>
    <t>BLACK SEA MOU</t>
  </si>
  <si>
    <t>CARIBBEAN MOU</t>
  </si>
  <si>
    <t xml:space="preserve">CHINA MSA </t>
  </si>
  <si>
    <t>INDIAN OCEAN MOU</t>
  </si>
  <si>
    <t>MEDITERRANEAN MOU</t>
  </si>
  <si>
    <t>NON MOU</t>
  </si>
  <si>
    <t>PARIS MOU</t>
  </si>
  <si>
    <t>RIYADH MOU</t>
  </si>
  <si>
    <t>TOKYO MOU (EXCEPT CHINA)</t>
  </si>
  <si>
    <t>USCG</t>
  </si>
  <si>
    <t>VINA DEL MAR MOU</t>
  </si>
  <si>
    <t>PSC07 Maritime Security</t>
  </si>
  <si>
    <t>Insp_id</t>
  </si>
  <si>
    <t>PSC_mou</t>
  </si>
  <si>
    <t>PSC_pic</t>
  </si>
  <si>
    <t>PSC_sndr_offimport</t>
  </si>
  <si>
    <t>PSC_picdt</t>
  </si>
  <si>
    <t>PSC_detain</t>
  </si>
  <si>
    <t>PSC_info2panama</t>
  </si>
  <si>
    <t>PSC_info2ownr</t>
  </si>
  <si>
    <t>PSC_info2ownr_dt</t>
  </si>
  <si>
    <t>PSC_info2chrtr</t>
  </si>
  <si>
    <t>PSC_info2chrtr_dt</t>
  </si>
  <si>
    <t>PSC_info2rtshp</t>
  </si>
  <si>
    <t>PSC_info2rtshp_dt</t>
  </si>
  <si>
    <t>PSC_info2oilmaj</t>
  </si>
  <si>
    <t>PSC_info2oilmaj_dt</t>
  </si>
  <si>
    <t>PSC_info2mmstpmgmt</t>
  </si>
  <si>
    <t>PSC_info2mmstpmgmt_dt</t>
  </si>
  <si>
    <t>PSC_sndr_offimport_dt</t>
  </si>
  <si>
    <t>VET_oilmaj</t>
  </si>
  <si>
    <t>VET_oilmaj_co</t>
  </si>
  <si>
    <t>VET_offattnd</t>
  </si>
  <si>
    <t>VET_risk</t>
  </si>
  <si>
    <t>VET_repupload</t>
  </si>
  <si>
    <t>VET_repfinalby</t>
  </si>
  <si>
    <t>VET_Q88upload</t>
  </si>
  <si>
    <t>country</t>
  </si>
  <si>
    <t>port</t>
  </si>
  <si>
    <t>type</t>
  </si>
  <si>
    <t>age</t>
  </si>
  <si>
    <t>choff</t>
  </si>
  <si>
    <t>cheng</t>
  </si>
  <si>
    <t>chrtr</t>
  </si>
  <si>
    <t>owner</t>
  </si>
  <si>
    <t>class</t>
  </si>
  <si>
    <t>flag</t>
  </si>
  <si>
    <t>Severity</t>
  </si>
  <si>
    <t>Column1</t>
  </si>
  <si>
    <t>Status2</t>
  </si>
  <si>
    <t>Root cause (Analysis required using SMP-18-02D)</t>
  </si>
  <si>
    <t>General Guidelines</t>
  </si>
  <si>
    <t>SubSys_Code</t>
  </si>
  <si>
    <t>Category 1</t>
  </si>
  <si>
    <t>Category 2</t>
  </si>
  <si>
    <t>Vetting sender,PSC sender and SI observations will be imported to DR sender from the respective sender at the office.</t>
  </si>
  <si>
    <t>IVS Phoenix</t>
  </si>
  <si>
    <t>Loch Ness</t>
  </si>
  <si>
    <t>LNS</t>
  </si>
  <si>
    <t>Loch Nevis</t>
  </si>
  <si>
    <t>LNV</t>
  </si>
  <si>
    <t>CPA</t>
  </si>
  <si>
    <t>ESP</t>
  </si>
  <si>
    <t>ICA</t>
  </si>
  <si>
    <t>PVI</t>
  </si>
  <si>
    <t>CB2017002</t>
  </si>
  <si>
    <t>CB2012001</t>
  </si>
  <si>
    <t>CB2013004</t>
  </si>
  <si>
    <t>CB2014005</t>
  </si>
  <si>
    <t>CB2014006</t>
  </si>
  <si>
    <t>CB2013002</t>
  </si>
  <si>
    <t>CB2017003</t>
  </si>
  <si>
    <t>CB2015002</t>
  </si>
  <si>
    <t>CB2014008</t>
  </si>
  <si>
    <t>CB2019001</t>
  </si>
  <si>
    <t>CB2015001</t>
  </si>
  <si>
    <t>CB2016004</t>
  </si>
  <si>
    <t>CB2016006</t>
  </si>
  <si>
    <t>CB2016005</t>
  </si>
  <si>
    <t>CB2016002</t>
  </si>
  <si>
    <t>CB2016003</t>
  </si>
  <si>
    <t>CB2014002</t>
  </si>
  <si>
    <t>CB2014007</t>
  </si>
  <si>
    <t>CB2014003</t>
  </si>
  <si>
    <t>CB2013001</t>
  </si>
  <si>
    <t>CB2017001</t>
  </si>
  <si>
    <t>CB2013003</t>
  </si>
  <si>
    <t>CB2016001</t>
  </si>
  <si>
    <t>CP2015001</t>
  </si>
  <si>
    <t>CP2017002</t>
  </si>
  <si>
    <t>CP2017001</t>
  </si>
  <si>
    <t>TG2010001</t>
  </si>
  <si>
    <t>TC2019001</t>
  </si>
  <si>
    <t>TG2019001</t>
  </si>
  <si>
    <t>TC2017001</t>
  </si>
  <si>
    <t>TC2018001</t>
  </si>
  <si>
    <t>TP2017003</t>
  </si>
  <si>
    <t>TP2017006</t>
  </si>
  <si>
    <t>TP2011001</t>
  </si>
  <si>
    <t>TP2019003</t>
  </si>
  <si>
    <t>TP2019001</t>
  </si>
  <si>
    <t>TP2019002</t>
  </si>
  <si>
    <t>TP2017004</t>
  </si>
  <si>
    <t>TP2017005</t>
  </si>
  <si>
    <t>TP2017001</t>
  </si>
  <si>
    <t>TP2017002</t>
  </si>
  <si>
    <t>TP2019004</t>
  </si>
  <si>
    <t>TP2019006</t>
  </si>
  <si>
    <t>TP2019005</t>
  </si>
  <si>
    <t>TP2019007</t>
  </si>
  <si>
    <t>CB2011001</t>
  </si>
  <si>
    <t>Machinery/ equipment breakdown, malfunction or trouble?
(Yes/No)</t>
  </si>
  <si>
    <t>Verification by PIC</t>
  </si>
  <si>
    <t>vslName</t>
  </si>
  <si>
    <t>IMO</t>
  </si>
  <si>
    <t>threeCode</t>
  </si>
  <si>
    <t>DRSCode</t>
  </si>
  <si>
    <t>Fengr</t>
  </si>
  <si>
    <t>grp</t>
  </si>
  <si>
    <t>fengr</t>
  </si>
  <si>
    <t>St Pauli</t>
  </si>
  <si>
    <t>St Clemens</t>
  </si>
  <si>
    <t>TP2020001</t>
  </si>
  <si>
    <t>\\mms_svr01\DRsender\DRSendApp\script.bat</t>
  </si>
  <si>
    <t>INJ01 Fatality</t>
  </si>
  <si>
    <t>TC2020001</t>
  </si>
  <si>
    <t>San Jack</t>
  </si>
  <si>
    <t>SJA</t>
  </si>
  <si>
    <t>TP2020002</t>
  </si>
  <si>
    <t>1</t>
  </si>
  <si>
    <t>Esteem Houston</t>
  </si>
  <si>
    <t>EHO</t>
  </si>
  <si>
    <t xml:space="preserve">Severity of the deficiency to be set to 1/2/3/4/5 as per the table given in the Severity Matrix sheet (Default value is 1). </t>
  </si>
  <si>
    <t>By default, Target dates are automatically set as per the Severity however it can be manually filled as well</t>
  </si>
  <si>
    <t>Solar Katherine</t>
  </si>
  <si>
    <t>Solar Melissa</t>
  </si>
  <si>
    <t>Solar Madelein</t>
  </si>
  <si>
    <t>Esteem Energy</t>
  </si>
  <si>
    <t>Solar Claire</t>
  </si>
  <si>
    <t>Esteem Discovery</t>
  </si>
  <si>
    <t>Esteem Endeavour</t>
  </si>
  <si>
    <t>SKA</t>
  </si>
  <si>
    <t>SME</t>
  </si>
  <si>
    <t>SMD</t>
  </si>
  <si>
    <t>EEN</t>
  </si>
  <si>
    <t>SCR</t>
  </si>
  <si>
    <t>EDS</t>
  </si>
  <si>
    <t>EED</t>
  </si>
  <si>
    <t>TP2020003</t>
  </si>
  <si>
    <t>5: Major </t>
  </si>
  <si>
    <t>Fatality </t>
  </si>
  <si>
    <t>Immediate layup or docking for repairs (Fire / Collision / Alison / Grounding) Claims from 3rd Parties  </t>
  </si>
  <si>
    <t>Major Industry Reaction &gt;1M $ </t>
  </si>
  <si>
    <t>Immediately by any available means: Vessel-SI-DPA </t>
  </si>
  <si>
    <t>DPA, Marine and Tech SI </t>
  </si>
  <si>
    <t>3 Months </t>
  </si>
  <si>
    <t>4: Serious </t>
  </si>
  <si>
    <t>PPD/PTD, D&amp;A Violation, PSC Detention </t>
  </si>
  <si>
    <t>COC Requiring layup repairs (Fire / Collision / Alison / Grounding), Cargo and 3rd Party Claims,  </t>
  </si>
  <si>
    <t>Pirate boarding, Stowaway, Serious criminal act -Burglary, theft, bribery, fraud, contraband, drugs, sabotage. Cyberattack on Vessel equipment </t>
  </si>
  <si>
    <t>3: Significant </t>
  </si>
  <si>
    <t>COC requiring in service repairs (Fire / Collision / Alison / Grounding) Blackout incident </t>
  </si>
  <si>
    <t>By any available means within 1 hour to SI </t>
  </si>
  <si>
    <t>2 Months </t>
  </si>
  <si>
    <t>2: Moderate </t>
  </si>
  <si>
    <t>RWC or Injury requiring Medical treatment ashore (MTC), Disciplinary action due to breach of company policies.</t>
  </si>
  <si>
    <t>Within 6 hours to SI </t>
  </si>
  <si>
    <t>Master and Safety Officer </t>
  </si>
  <si>
    <t>1 Month </t>
  </si>
  <si>
    <t>1: Minor </t>
  </si>
  <si>
    <t>Simple First Aid or NLTI </t>
  </si>
  <si>
    <t>Equipment breakdowns, defects repairable by ship staff </t>
  </si>
  <si>
    <t>Security incident, Breach of vessel security arrangements </t>
  </si>
  <si>
    <t>Loss &lt;10K $ </t>
  </si>
  <si>
    <t>Within 24 hours** to SI </t>
  </si>
  <si>
    <t>15 Days</t>
  </si>
  <si>
    <t>Spill on deck &lt; 1m3 but retained on board </t>
  </si>
  <si>
    <t>Off-hire, Loss 10K-50K$ </t>
  </si>
  <si>
    <t>1.Pollutant Spill / discharge in water &lt; 100L 
2.Emission or discharge in violation of MARPOL IV, V, VI </t>
  </si>
  <si>
    <t>Off-hire (&gt;7d) 
Loss of Charter, 250K – 1M $ </t>
  </si>
  <si>
    <t>DPA, SI (Marine or Tech) </t>
  </si>
  <si>
    <t>Serious injury or multiple minor injuries, sign off (LTI), Hospitalization, Dismissal on disciplinary ground, Desertion </t>
  </si>
  <si>
    <t>Vessel pursued by Pirates, Minor act of sabotage. Criminal act -bribery, fraud, contraband.Cyber Hack of Vessel IT Systems   </t>
  </si>
  <si>
    <t>Off-hire (&gt;24h)
50K – 250K $  </t>
  </si>
  <si>
    <t>SI (Marine or Tech) and Master </t>
  </si>
  <si>
    <t>Repair requiring external assistance Critical Equipment failure,Dispensation  </t>
  </si>
  <si>
    <t>Burglary, damage and theft. Cyber-incident rendering vessel IT equipment in-operational. Security incident, Breach of vessel security arrangements </t>
  </si>
  <si>
    <t>Accidental  discharge within containment </t>
  </si>
  <si>
    <t>Health and Safety </t>
  </si>
  <si>
    <t>Damage to Vessel/ Property </t>
  </si>
  <si>
    <t>Reporting  
Timeline </t>
  </si>
  <si>
    <t>Investigation 
Team </t>
  </si>
  <si>
    <t>Completion 
Timeline </t>
  </si>
  <si>
    <t>Financial 
Impact  </t>
  </si>
  <si>
    <t>Security 
Impact </t>
  </si>
  <si>
    <t>Environmental 
Impact  </t>
  </si>
  <si>
    <t>1.Pollutant Spill / discharge in water &gt; 100L 
2.Uncontrolled gas release &gt;10m3 </t>
  </si>
  <si>
    <t>Vessel Hijack, Kidnapping, Bombing, terrorism Cyber Hack of Entire Company IT infrastructure / System.</t>
  </si>
  <si>
    <t>Pollutants, Spill on deck &gt; 1m3 </t>
  </si>
  <si>
    <t>Severity 
Factor </t>
  </si>
  <si>
    <t>For any Inspection even if there are Nil obsevations from third party inspections it has to be entered in DR sender. Category 1 to be left blank and Category 2 PSC and Vetting to be set to Nil.Target date, Closure date and status is automatically set and the record is automatically closed.</t>
  </si>
  <si>
    <t xml:space="preserve"> Used for reporting of vessel defects, Accidents and Injury. System and subsystem  to be selected as per the defect.</t>
  </si>
  <si>
    <t>To be checked by PIC in case a Fleet alert is required.</t>
  </si>
  <si>
    <t>Record status</t>
  </si>
  <si>
    <t>Displays total number of ovedue items. Red Font color indicates that the currently displayed record is overdue.</t>
  </si>
  <si>
    <t>Hafnia Shenzhen</t>
  </si>
  <si>
    <t>HSZ</t>
  </si>
  <si>
    <t>TP2020008</t>
  </si>
  <si>
    <t>TP2020007</t>
  </si>
  <si>
    <t>TP2020010</t>
  </si>
  <si>
    <t>TP2020009</t>
  </si>
  <si>
    <t>TP2020004</t>
  </si>
  <si>
    <t>TP2020006</t>
  </si>
  <si>
    <t>TP2020005</t>
  </si>
  <si>
    <t>Beico</t>
  </si>
  <si>
    <t>TP2020011</t>
  </si>
  <si>
    <t xml:space="preserve"> - Vessel Mode</t>
  </si>
  <si>
    <t>ZZZ</t>
  </si>
  <si>
    <t>Methane Mickie Harper</t>
  </si>
  <si>
    <t>MHR</t>
  </si>
  <si>
    <t>TG2021001</t>
  </si>
  <si>
    <t>MPC</t>
  </si>
  <si>
    <t>Methane Patricia Camila</t>
  </si>
  <si>
    <t>TG2021002</t>
  </si>
  <si>
    <t>Ver 54</t>
  </si>
  <si>
    <t>In this upgrade the manual entry of vetting, PSC and SIRE is not possible and Data has to be imported.</t>
  </si>
  <si>
    <t>Aries Karin</t>
  </si>
  <si>
    <t>AKA</t>
  </si>
  <si>
    <t>CB2021002</t>
  </si>
  <si>
    <t>Aries Sumire</t>
  </si>
  <si>
    <t>ASU</t>
  </si>
  <si>
    <t>CB2020001</t>
  </si>
  <si>
    <t>Ikan Bawal</t>
  </si>
  <si>
    <t>IBA</t>
  </si>
  <si>
    <t>CB2020002</t>
  </si>
  <si>
    <t>Jubilant Devotion</t>
  </si>
  <si>
    <t>JDE</t>
  </si>
  <si>
    <t>CB2021001</t>
  </si>
  <si>
    <t>Pavo Brave</t>
  </si>
  <si>
    <t>PBA</t>
  </si>
  <si>
    <t>CB2021003</t>
  </si>
  <si>
    <t>Rising Himaji</t>
  </si>
  <si>
    <t>RHI</t>
  </si>
  <si>
    <t>CB2020003</t>
  </si>
  <si>
    <t>CP2020001</t>
  </si>
  <si>
    <t>GT DEMETER</t>
  </si>
  <si>
    <t>GDE</t>
  </si>
  <si>
    <t>CW2021001</t>
  </si>
  <si>
    <t>VGD</t>
  </si>
  <si>
    <t>CW2021002</t>
  </si>
  <si>
    <t>Vanguardia</t>
  </si>
  <si>
    <t>v55</t>
  </si>
  <si>
    <t>DRSENDER V55 2021/09/13</t>
  </si>
  <si>
    <t>\\ORCASVR-101\shares\drsapp\Incoming</t>
  </si>
  <si>
    <t xml:space="preserve">To prevent unwnated changes, the DRSEND sheet is password protected. All changes are to be done using the data entry form. In case it is required to change data direcly in the sheet please contact PIC. </t>
  </si>
  <si>
    <t>Red Admiral</t>
  </si>
  <si>
    <t>TG2021003</t>
  </si>
  <si>
    <t>RAD</t>
  </si>
  <si>
    <t>Capt. Samindra Singh</t>
  </si>
  <si>
    <t>TPGKI20200202195023</t>
  </si>
  <si>
    <t>GKI-2020-004</t>
  </si>
  <si>
    <t>Fmoge</t>
  </si>
  <si>
    <t>Fhoge</t>
  </si>
  <si>
    <t>Chie Engjneer</t>
  </si>
  <si>
    <t>PAV</t>
  </si>
  <si>
    <t>PAV01</t>
  </si>
  <si>
    <t>FWD F.O. Tank manual remote Open /Close mechanism frozen.</t>
  </si>
  <si>
    <t>Normal wear and tear</t>
  </si>
  <si>
    <t xml:space="preserve">Vales being operated Manually from Cofferdam. </t>
  </si>
  <si>
    <t>24-07-2020: Checked the condition of the connecting Rod. The Rod including the couplings going from the Operating deck stand till the valve is frozen. Have started Lubrication of same and job in progress. Plan to carry out further maintenance during the next passage from Singapore to Mumbai. JOB INCLUDED IN DD REFMAN.            30.Mar.2021: Valve's rech rods freed by shpyard workshop. THIS OBSERVATION CAN BE CLOSED.</t>
  </si>
  <si>
    <t xml:space="preserve">USR 15 Apr : Please update the remedial / follow up action n this. Let us know if any spares are required. _x000D_
USR 25/05/20 : Please update on this_x000D_
USR 31/07/20 : Noted job in hand and will be attempted this voyage. Please revert once complete. _x000D_
USR : Please update on the job status. </t>
  </si>
  <si>
    <t>USR : Valve's rods and mechanism freed by shipyard.</t>
  </si>
  <si>
    <t>Umang Singh Rawat</t>
  </si>
  <si>
    <t>OK</t>
  </si>
  <si>
    <t xml:space="preserve">Job to be done during the DD. </t>
  </si>
  <si>
    <t>Yes</t>
  </si>
  <si>
    <t>v55_2021/11/09 09:00:18</t>
  </si>
  <si>
    <t>TP201900520200403232605</t>
  </si>
  <si>
    <t>GKI-2020-015</t>
  </si>
  <si>
    <t xml:space="preserve">CE B S NAYAK </t>
  </si>
  <si>
    <t>DCK</t>
  </si>
  <si>
    <t>DCK01</t>
  </si>
  <si>
    <t>Port side anchor windlas brake securing wheel foundation is corroded .Strengthening to be done.</t>
  </si>
  <si>
    <t>Ageing and lack of maintenance.</t>
  </si>
  <si>
    <t>Vessel has done temporary repair on the brake securing wheel by welding extra plate to stregthen the support.Same need to be renewed during drydock.</t>
  </si>
  <si>
    <t>23/03/2020-vessel carried out hot work to strengthen the brake stud by welding an extra strengthening plate. Permanent repair has to be done in dry dock.                                                     19-Jun-2020: As mentioned above vessel has carried out Hotwork already for strengthening the brake wheel stud supporting plates. Plate and base renewal needs to be carried out basis Thickness Gauging in Drydock. Already included in REFMAN.   30.Mar.2021: Job completed in DD. THIS JOB CAN BE CLOSED NOW.</t>
  </si>
  <si>
    <t xml:space="preserve">USR 25/05/20 : Please plan to carry out this during the next ballast passage. _x000D_
USR 31/07/20 : Strenghtening of foundation done. included in Refman for further work during next DD. </t>
  </si>
  <si>
    <t xml:space="preserve">Strenghtening of foundation done. included in Refman for further work during next DD. _x000D_
USR 17/05/21 : Repaired in DD. </t>
  </si>
  <si>
    <t>To be cropped and renewed as per assessment during next DD.</t>
  </si>
  <si>
    <t>v55_2021/11/09 09:00:19</t>
  </si>
  <si>
    <t>TP201900520200403233713</t>
  </si>
  <si>
    <t>GKI-2020-016</t>
  </si>
  <si>
    <t>Starboard side anchor windlas brake securing wheel strengthening to be done as the foundation is corroded.</t>
  </si>
  <si>
    <t>Temporary strengthening planned at next opportunity (hot work).</t>
  </si>
  <si>
    <t>Plate to be renewed during next dry dock.                                                               19-Jun-2020: This plate was inspected and derusted. Plate still having sufficient strength and does not require additional support at present. Can be replaced alongwith Port side Windlass brake wheel support during drydock as a precautionary measure.  Already  included  in REFMAN.      30.Mar.2021: Job completed in DD. THIS JOB CAN BE CLOSED NOW.</t>
  </si>
  <si>
    <t>USR : We will need to strengthen this during the next ballast passage. Please plan for this job when vessel is gas free _x000D_
_x000D_
USR 25/05/20 : Please plan during next gas free opportunity</t>
  </si>
  <si>
    <t>USR : Repaired in DD.</t>
  </si>
  <si>
    <t>Strengthening / plate renewal  to be done at next DD in Mar 2021</t>
  </si>
  <si>
    <t>v55_2021/11/09 09:00:20</t>
  </si>
  <si>
    <t>TP201900520200409151855</t>
  </si>
  <si>
    <t>GKI-2020-026</t>
  </si>
  <si>
    <t>CAP GAURAV PANJWANI</t>
  </si>
  <si>
    <t>ODD</t>
  </si>
  <si>
    <t>ODD01</t>
  </si>
  <si>
    <t>Gangway ladder Port side lowering sheave seized.</t>
  </si>
  <si>
    <t>Ageing ,lack of maintenance.</t>
  </si>
  <si>
    <t xml:space="preserve">Gangway is having total 3 sheaves for lowering. Out of three two already freed up. the third one requires Gangway to be removed from location or maintenance to be done while gangway is resting on jetty due to lack of space / awkward workinh position. Tried heating the sheave but still not turning. The centre pin frozen badly with sheave. Shall try again when oppurtunity arrises. </t>
  </si>
  <si>
    <t>19-Jun-2020: Vessel tried freeing the frozen sheave but to no avail. The gangway needs to be rested on the jetty to get access to the sheave. Also, it requires hot work if we need to take out the sheave. Cannot be done during sailing. This job is included in REFMAN.    29.Mar.2021: Pulley freed by shipyard workshop in DD. THIS OBSERVATION CAN BE CLOSED NOW.</t>
  </si>
  <si>
    <t>USR 15 Apr : Noted. Try again with rust remover or descale it. Try to dam in the liquid. _x000D_
USR 25/05/20 : Please provide an update on this_x000D_
USR 31/07/20 : Please try to ease up the sheaves on this passage to Mumbai. _x000D_
USR : Job included in DD specs to be tackled in DD</t>
  </si>
  <si>
    <t xml:space="preserve">USR: All pulleys freed up in DD by yard. </t>
  </si>
  <si>
    <t xml:space="preserve">Job in hand and vesel on a hectic run. Attempts are being made to free up the sheave as and when opportunity is present. </t>
  </si>
  <si>
    <t>v55_2021/11/09 09:00:21</t>
  </si>
  <si>
    <t>TP201900520200409152819</t>
  </si>
  <si>
    <t>GKI-2020-027</t>
  </si>
  <si>
    <t>Cap Gaurav Panjwani</t>
  </si>
  <si>
    <t>Gangway ladder stbd side wire pulley seized .</t>
  </si>
  <si>
    <t>19-Jun-2020: Vessel tried freeing the frozen sheave but to no avail. The gangway needs to be rested on the jetty to get access to the sheave. Also, it requires hot work if we need to take out the sheave. Cannot be done during sailing. Already job included in REFMAN.                               29.Mar.2021: Pulley freed by shipyard workshop in DD. THIS OBSERVATION CAN BE CLOSED NOW.</t>
  </si>
  <si>
    <t>USR 15 Apr : Noted. Try again with rust remover or descale it. Try to dam in the liquid. _x000D_
USR : Please advise status.</t>
  </si>
  <si>
    <t>USR: Puleys freed up in DD.</t>
  </si>
  <si>
    <t xml:space="preserve">Job in hand and vesel on a hectic run. Attempts are being made to free up the pulley as and when opportunity is present. </t>
  </si>
  <si>
    <t>v55_2021/11/09 09:00:22</t>
  </si>
  <si>
    <t>GKI-2021-06</t>
  </si>
  <si>
    <t>TP201900520200526123824</t>
  </si>
  <si>
    <t>GKI-2020-033</t>
  </si>
  <si>
    <t>CHIEF ENGINEER</t>
  </si>
  <si>
    <t>Starboard side anchor windlass brake  drum securig stud found worn in thread area and anchor found slipping.</t>
  </si>
  <si>
    <t>Vessel carried out repair work on the thread part to prevent it further from slipping .</t>
  </si>
  <si>
    <t>08/05/2020-Requisition number GKI-2020-095  raised for the stud. 04/06/2020 New stud received at Fujairah 11/06/2020 Replaced the damaged stud with the one received at Fujairah.-Stud fitted in place with both swivels and brake adjusted. Found working satisfactory, however due to adjustment restrictions with the present stud, vessel awaits supply of Makers original stud instead. Already job included in REFMAN          30.Mar.2021: Stud renewed with new one while winch repairs by shipyard workshop at DD. THIS OBSERVATION CAN BE CLOSED NOW.</t>
  </si>
  <si>
    <t>USR 31/07/20 : Replacement stud supplied at Singapore on 21/07/20. Please replace and revert. _x000D_
USR : Please advise if this has been replaced</t>
  </si>
  <si>
    <t>USR : Stud renened during winch repairs in DD.</t>
  </si>
  <si>
    <t xml:space="preserve">GKI-2020-095  </t>
  </si>
  <si>
    <t xml:space="preserve">to be renewed at DD. </t>
  </si>
  <si>
    <t>v55_2021/11/09 09:00:23</t>
  </si>
  <si>
    <t>GKI-2021-07</t>
  </si>
  <si>
    <t>TP201900520200609180111</t>
  </si>
  <si>
    <t>GKI-2020-036</t>
  </si>
  <si>
    <t>Cmoge</t>
  </si>
  <si>
    <t>Choge</t>
  </si>
  <si>
    <t>OBT Amit Nauni</t>
  </si>
  <si>
    <t>MMS</t>
  </si>
  <si>
    <t>MMS01</t>
  </si>
  <si>
    <t xml:space="preserve">In IOPP From B, means of disposal of Oil residues (sludge) does not mention evaporation. </t>
  </si>
  <si>
    <t xml:space="preserve">As it is not mandatory by Class to be mentioned in IOPP Form B for evaporation to be designated as means of Oil residue disposal, same was not mentioned in the certificate. </t>
  </si>
  <si>
    <t xml:space="preserve">Informed to Tech PIC. Same will be added during the next Class visit onboard or remotely if possible </t>
  </si>
  <si>
    <t>During next class survey shall be added.Other means of disposable of sludge was inclused in IOPP FORM B  in DD by class surveyor. THIS OBSEVATION CAN BE CLOSED</t>
  </si>
  <si>
    <t>USR 31/07/20 : This will be included during the next survey at the vessel's next docking</t>
  </si>
  <si>
    <t xml:space="preserve">USR: Included in new IOPP certificateduring renewal survey. </t>
  </si>
  <si>
    <t xml:space="preserve">To be done with Renewal IOPP survey. </t>
  </si>
  <si>
    <t>v55_2021/11/09 09:00:24</t>
  </si>
  <si>
    <t>GKI-2021-08</t>
  </si>
  <si>
    <t>TP201900520200609181837</t>
  </si>
  <si>
    <t>GKI-2020-046</t>
  </si>
  <si>
    <t>MMS05</t>
  </si>
  <si>
    <t>Ballast Pump Room 2nd Deck floor leakage to check at the seperation of Hot Blower room and repair if any, to be planned.</t>
  </si>
  <si>
    <t>Condensed water accumulation at the separation plate due to thinning down of the deck plate at the separation. Ageing.</t>
  </si>
  <si>
    <t xml:space="preserve">15/06/2020 While derusting of the floor it was observed that the floor plate is completely wasted &amp; holed at few places. Detailed report sent through email on 17-Jun-2020. </t>
  </si>
  <si>
    <t>05-Jul-2020: The wasted section has been cropped and covered with Fibre grating. Detailed report sent over email. Permanent repairs/hot work can only be carried out after cleaning of 2P FOT. Job already added in REFMAN      27.Mar.2021: Job completed by shipyard workshop in DD. THIS OBSERVATION CAN BE CLOSED NOW.</t>
  </si>
  <si>
    <t xml:space="preserve">USR 31/07/20 : This can only be attempted when 2P HFO tk is emptied out. Please advise when a suitable opportunity arises. </t>
  </si>
  <si>
    <t xml:space="preserve">Wasted section cropped and job inlcuded in DD._x000D_
USR: Wasted steel renewed in DD. </t>
  </si>
  <si>
    <t xml:space="preserve">Wasted section cropped and grating placed. Requires emptying and cleaning of 2P FOT which is always in use. Will be planned for DD. </t>
  </si>
  <si>
    <t>v55_2021/11/09 09:00:25</t>
  </si>
  <si>
    <t>GKI-2021-09</t>
  </si>
  <si>
    <t>TP201900520200609181953</t>
  </si>
  <si>
    <t>GKI-2020-047</t>
  </si>
  <si>
    <t xml:space="preserve">Ballast Pump Room 4th Deck pipe line leaking. </t>
  </si>
  <si>
    <t>Corrosion</t>
  </si>
  <si>
    <t xml:space="preserve">The pipe line is an Air Vent Pipe of 8P WBT. Pipes condition is being moniored. Material for Pipe renewal ordered. </t>
  </si>
  <si>
    <t>25-Jul-2020: The pipe line is an Air Vent Pipe of 8P WBT. Pipes condition is being moniored. Material for Pipe renewal ordered and received onboard. Awaiting for suitable oppurtunity to carry out repairs.Job already included in REFMAN.                              27.Mar.2021 - Pipe line repaired by Shipyard. THIS OBSERVATION CAN BE CLOSED NOW.</t>
  </si>
  <si>
    <t>USR 31/07/20 : Please plan for the next gas free passage. _x000D_
USR : Please update on this job. Understand this is in DD specs</t>
  </si>
  <si>
    <t xml:space="preserve">USR: Pipeline renewed by yard during DD. </t>
  </si>
  <si>
    <t xml:space="preserve">Material is available on board. Awaiting suitable gas free opportunity. Job has been included in DD jobscope. </t>
  </si>
  <si>
    <t>v55_2021/11/09 09:00:26</t>
  </si>
  <si>
    <t>GKI-2021-010</t>
  </si>
  <si>
    <t>TP201900520200617154641</t>
  </si>
  <si>
    <t>GKI-2020-052</t>
  </si>
  <si>
    <t>CHIEF OFFICER</t>
  </si>
  <si>
    <t>CRG</t>
  </si>
  <si>
    <t>CRG06</t>
  </si>
  <si>
    <t xml:space="preserve">Non return valve at Cargo Stripping connection for cargo pumps 3S, 10S, 11S is Leaking. </t>
  </si>
  <si>
    <t>Ageing, excessive use, overlooked.</t>
  </si>
  <si>
    <t>No spares available on board. Requistion has been raised(GKI-2020-141). . To be replaced once recieved.       2021/02/18 Job shall be taken up after discharging present cargo</t>
  </si>
  <si>
    <t>Non return valve at Cargo Stripping connection for cargo pumps 3S, 10S, 11S renewed with new spares. THIS OBSERVATION CAN BE CLOSED NOW.</t>
  </si>
  <si>
    <t xml:space="preserve">USR 31/07/20 : Will try to connect the spares at the earliest._x000D_
USR 17/02/21 : This req has already been connected on board. Please update.  _x000D_
USR : Please carry out the job ater discharge and update. </t>
  </si>
  <si>
    <t>USR: NRVs renewed during DD.</t>
  </si>
  <si>
    <t>GKI-2020-141</t>
  </si>
  <si>
    <t>Spares connected to the vessel.Awaiting completion.</t>
  </si>
  <si>
    <t>v55_2021/11/09 09:00:27</t>
  </si>
  <si>
    <t>TP201900520200617155111</t>
  </si>
  <si>
    <t>GKI-2020-053</t>
  </si>
  <si>
    <t>Relief valve at Cargo cofferdam purging connection for cargo pumps 5P, 5C, 6P, 7C, 8P, 9P, 10S found defective.</t>
  </si>
  <si>
    <t>Ageing</t>
  </si>
  <si>
    <t>02 nos spares available on board. Same will be replaced at earliest. Requistion has been raised for remaining(GKI-2020-141). . To be replaced once recieved.                                                                            2021/02/18 Job shall be taken up after discharging present cargo</t>
  </si>
  <si>
    <t>Relief valve at Cargo cofferdam purging connection for cargo pumps 5P, 5C, 6P, 7C, 8P, 9P, 10S renewed with new spares. THIS OBSERVATION CAN BE CLOSED NOW.</t>
  </si>
  <si>
    <t xml:space="preserve">USR 31/07/20 : Will try to connect the spares at the earliest. _x000D_
USR 17/02/21 : This req has already been connected on board. Please update. _x000D_
USR : Please renew after discharge and revert. </t>
  </si>
  <si>
    <t>USR : leaking relief valves renewed during DD.</t>
  </si>
  <si>
    <t xml:space="preserve">Spares connected to the vessel.Awaiting supply. </t>
  </si>
  <si>
    <t>v55_2021/11/09 09:00:28</t>
  </si>
  <si>
    <t>TP201900520200617155614</t>
  </si>
  <si>
    <t>GKI-2020-054</t>
  </si>
  <si>
    <t>Ball valve at Cargo Stripping connection for cargo pumps 3S &amp; 10S found leaking.</t>
  </si>
  <si>
    <t>Ageing, overlooked.</t>
  </si>
  <si>
    <t>No spares available on board. Requistion has been raised(GKI-2020-141). . To be replaced once recieved. 2021/02/18 Job shall be taken up after discharging present cargo</t>
  </si>
  <si>
    <t>3S &amp; 10S ball valve at cargo strpping connection renewed with new one. THIS OBSERVATION CAN BE CLOSED NOW.</t>
  </si>
  <si>
    <t xml:space="preserve">USR 31/07/20 : Will try to connect the spares at the earliest. _x000D_
USR 17/02/21 : This order has already been connected on board. Please update. _x000D_
USR: Please replace at the earliest and revert. </t>
  </si>
  <si>
    <t>USR : 3S and 10S ball avles renewed during DD.</t>
  </si>
  <si>
    <t>Spares connected to vsl.Awaiting completion</t>
  </si>
  <si>
    <t>v55_2021/11/09 09:00:29</t>
  </si>
  <si>
    <t>TP201900520200617155913</t>
  </si>
  <si>
    <t>GKI-2020-055</t>
  </si>
  <si>
    <t>Local pressure guage at cargo pump stacks 3S, 4P, 4S, 6P,8S broken &amp; at 1P, 7P, 8P,9P unclear (not visible).</t>
  </si>
  <si>
    <t>No spares available on board. Requistion has been raised(GKI-2020-141). To be replaced once recieved     2021/02/18 Job shall be taken up after discharging present cargo</t>
  </si>
  <si>
    <t>All local pressure guages mentioned in observation renewed / cleaned as required. THIS OBSERVATION CAN BE CLOSED NOW.</t>
  </si>
  <si>
    <t>USR 31/07/20 : Will try to connect the spares at the earliest. _x000D_
USR 17/02/21 : This order has already been connected on board. Please update. _x000D_
USR : Please replace at the earliest and revert.</t>
  </si>
  <si>
    <t>USR : Defective pressure gauges renewed during DD.</t>
  </si>
  <si>
    <t>spares connected to vsl.awating completion</t>
  </si>
  <si>
    <t>v55_2021/11/09 09:00:30</t>
  </si>
  <si>
    <t>TP201900520200903060551</t>
  </si>
  <si>
    <t>GKI-2020-059</t>
  </si>
  <si>
    <t>CHOFF KASHYAP ICHHAPORIA</t>
  </si>
  <si>
    <t>DCK06</t>
  </si>
  <si>
    <t>PORT SIDE GANGWAY DAVIT NOT LOWERING ,UNABLE TO LOWER THE GANGWAY.</t>
  </si>
  <si>
    <t>GEAR BOX GEARS DAMAGED/ STUCK POSITION</t>
  </si>
  <si>
    <t>GEAR BOX COVER OPENED .LUBRICATION CHECKED.GANWAY GEAR TRIED TO CRANK MANUALLY. MOTOR WAS TRIED OUT ON STBD GANGWAY TO ENSURE MOTOR WORKING ..</t>
  </si>
  <si>
    <t>Gearbox repaired by Shipyard workshop in DD. THIS OBSERVATION CAN BE CLOSED.</t>
  </si>
  <si>
    <t xml:space="preserve">USR 17/02/21 : New air motor supplied but there seems to be an issue with gearbox. New bearings and oil seal supplied. Please try to open the gearbox and check the issue. Job also included in DD. </t>
  </si>
  <si>
    <t>USR: Geearbox overhauled and repaired by shipyard. Gangway tried out and load test also done.</t>
  </si>
  <si>
    <t>v55_2021/11/09 09:00:31</t>
  </si>
  <si>
    <t>TP201900520200903062325</t>
  </si>
  <si>
    <t>GKI-2020-061</t>
  </si>
  <si>
    <t>MINOR DRIP LEAKAGE OF HYDRAULIC OIL  FOUND FROM OPERATING LEVER OF FWD PORT WINDLASS.</t>
  </si>
  <si>
    <t>ESTIMATE 'O' RINGS/OIL SEAL DAMAGE</t>
  </si>
  <si>
    <t>INSPECTION WAS DONE BY C/E.INLET V/V KEPT SHUT WHILE NOT IN USE.VESSEL PLAN TO RECTIFY LEAKAGE AT SEA. "o" RINGS AND OIL SEAL TO BE CHANGED</t>
  </si>
  <si>
    <t>All hydraulic leaks repaired by Shipyard worksop in DD. THIS OBSERVATION CAN BE CLOSED.</t>
  </si>
  <si>
    <t xml:space="preserve">USR : Please advise on the status_x000D_
</t>
  </si>
  <si>
    <t xml:space="preserve">USR : Operating valve block overhauled and leakage rectified. </t>
  </si>
  <si>
    <t>Overhaul of valve block planned in DD.</t>
  </si>
  <si>
    <t>v55_2021/11/09 09:00:32</t>
  </si>
  <si>
    <t>TP201900520200903062802</t>
  </si>
  <si>
    <t>GKI-2020-062</t>
  </si>
  <si>
    <t>MINOR LEKAGE OF HYDRAULIC OIL FOUND IN FWD STBD WINDLASS OPERATING LEVER BLOCK.</t>
  </si>
  <si>
    <t>O RING / OIL SEAL DAMAGE</t>
  </si>
  <si>
    <t>INSPECTED BY C/E. INLET V/V KEPT SHUT WHILE WINDLASS IS NOT IN USE. VESSEL PLAN TO ATTEND LEAK AT SEA. O-RING&amp; OIL SEAL TO CHANGE.</t>
  </si>
  <si>
    <t>Hydraulic valve block overhauled by Shipyard workshop in DD. THIS OBSERVATION CAN BE CLOSED.</t>
  </si>
  <si>
    <t>USR : Please advise on the status</t>
  </si>
  <si>
    <t xml:space="preserve">USR: Leaking valve block overhauled by yard and leak recitifed. </t>
  </si>
  <si>
    <t>v55_2021/11/09 09:00:33</t>
  </si>
  <si>
    <t>TP201900520200904053633</t>
  </si>
  <si>
    <t>GKI-2020-063</t>
  </si>
  <si>
    <t>S.PANDA</t>
  </si>
  <si>
    <t>PORT ANCHOR BOW STOOPER SLIGHTLY BENT AND FOUND GROOVING NEAR THR AREA WHERE CABLE LINK TOUCHES STOPPER.</t>
  </si>
  <si>
    <t xml:space="preserve">EXCESSIVE WEIGHT ON STOPPER DURING HEAVY RIVER CURRENT IN CJK RIVER </t>
  </si>
  <si>
    <t>VESSEL PLANS TO REMOVE REMOVE STOPPER AT ANCHOR/SEA IN WITH  PORT ANCHOR EXTRA LASHED IN SUITABLE WEATHER . STOOPER NEED TO BE MADE STRAIGHT WITH HEAT TRETATMENT AND BUILT REQUIRED IN GROVED AREA. TASK PLANNED IN ER WORKSHOP</t>
  </si>
  <si>
    <t>Port side stopper removed and repaired as required in DD. THIS OBSERVATION CAN BE CLOSED.</t>
  </si>
  <si>
    <t xml:space="preserve">USR: Repaired during DD. </t>
  </si>
  <si>
    <t>Job planned in DD.</t>
  </si>
  <si>
    <t>v55_2021/11/09 09:00:34</t>
  </si>
  <si>
    <t>TP201900520200904054858</t>
  </si>
  <si>
    <t>GKI-2020-064</t>
  </si>
  <si>
    <t>LLE</t>
  </si>
  <si>
    <t>LLE01</t>
  </si>
  <si>
    <t>AIR VENT HEAD OF VARIOUS BALLAST/ FO TANKS HEAVILY CORRODED. WHILE DE RUSTING PLATE ON VENT TOP AND SIDE BREAKS.</t>
  </si>
  <si>
    <t>AGEGING AND LACK OF MAINTENANCE</t>
  </si>
  <si>
    <t>VESSEL HAS DERUSTED BALLAST TANK AIR VENT HEADS. IDENTIFIED THE HEAVILY WASTED VENTS AND SAME ARE BEING ATTENDED AS PER PRIORITY                 Job under progress / added in REFMAN</t>
  </si>
  <si>
    <t>All the corroded air vent heads renewed in DD.            THIS OBSERVATION CAN BE CLOSED</t>
  </si>
  <si>
    <t xml:space="preserve">USR: Corroded vent heads renewed during DD. </t>
  </si>
  <si>
    <t>v55_2021/11/09 09:00:35</t>
  </si>
  <si>
    <t>TP201900520200907060357</t>
  </si>
  <si>
    <t>GKI-2020-065</t>
  </si>
  <si>
    <t>CAPT. SUDHIR KUMAR PANDA</t>
  </si>
  <si>
    <t>LSA</t>
  </si>
  <si>
    <t>LSA01</t>
  </si>
  <si>
    <t>PORTABLE VHF NOT IN GOOD OPERATIONAL ORDER</t>
  </si>
  <si>
    <t>PORTABLE VHF OLD</t>
  </si>
  <si>
    <t xml:space="preserve">REQUISITION RAISED FOR NEW PORTABLE VHF                           Vessel have 6 working UHF Walkie Talkies &amp; 4 Fire fighting UHF Radios kept seperately. </t>
  </si>
  <si>
    <t>2 new Portable radios received at Singapore on 17th Apr 2021. This observation to be closed now.</t>
  </si>
  <si>
    <t xml:space="preserve">USR : Please clarify as the obervation is not clear. How many working portble VHFs are there and what is the issue with the others? Please advise and close this observation if sufficeint working numbers are on board. </t>
  </si>
  <si>
    <t xml:space="preserve">USR : New portable VHFs supplied to replace defective ones. </t>
  </si>
  <si>
    <t xml:space="preserve">Observation was not clear. Checking with vessel on the status and requirement. </t>
  </si>
  <si>
    <t>v55_2021/11/09 09:00:36</t>
  </si>
  <si>
    <t>TP201900520201020130538</t>
  </si>
  <si>
    <t>GKI-2020-070</t>
  </si>
  <si>
    <t>C/E Mathew Prince</t>
  </si>
  <si>
    <t>MEN</t>
  </si>
  <si>
    <t>MEN08</t>
  </si>
  <si>
    <t>M/E exhaust valve hydraulic pipe protection layer damaged</t>
  </si>
  <si>
    <t>Wear and tear</t>
  </si>
  <si>
    <t>Coverd with Anti-splash tape ; Requisition GKI-2020-166 raised.</t>
  </si>
  <si>
    <t>Spare received in singapore on 17/02/2021.job will be done in DD.                                                                              All units Exhaust valve hydraulic pipe protection layer renewed in DD. THIS OBSERVATION CAN BE CLOSED.</t>
  </si>
  <si>
    <t xml:space="preserve">USR 17/052/21 : Long ead time. Supplied at Singapore </t>
  </si>
  <si>
    <t xml:space="preserve">USR : Protection covers renewed during DD. </t>
  </si>
  <si>
    <t xml:space="preserve">Long lead time. Spares supplied. Will plan to renew in DD. </t>
  </si>
  <si>
    <t>v55_2021/11/09 09:00:37</t>
  </si>
  <si>
    <t>TP201900520201031145849</t>
  </si>
  <si>
    <t>GKI-2020-0112</t>
  </si>
  <si>
    <t>CHIEF ENGINNER</t>
  </si>
  <si>
    <t>AEQ</t>
  </si>
  <si>
    <t>AEQ16</t>
  </si>
  <si>
    <t>DRINKING WATER STERILIZER NOT WORKING</t>
  </si>
  <si>
    <t>AGEING / MATERIAL FAILURE</t>
  </si>
  <si>
    <t>STERILIZER UV-TUBE REQUISITION RAISED- GKI-2020-206</t>
  </si>
  <si>
    <t>Sterlizer UV tubes replaced with new one &amp; working satisfactory. THIS OBSERVATION CAN BE CLOSED.</t>
  </si>
  <si>
    <t>USR 17/02/21 : Order placed. Will connect to the vessel with next spares supply.</t>
  </si>
  <si>
    <t xml:space="preserve">USR: Spares supplied and UV tubes renewed. Working fine. </t>
  </si>
  <si>
    <t>GKI-2020-206</t>
  </si>
  <si>
    <t xml:space="preserve">Spares orderd late. Will supply alongwith DD spares. </t>
  </si>
  <si>
    <t>v55_2021/11/09 09:00:38</t>
  </si>
  <si>
    <t>TP201900520201031150723</t>
  </si>
  <si>
    <t>GKI-2020-0114</t>
  </si>
  <si>
    <t>REFER ROOM(MEAT/FISH ROOM) DOOR HEATER NOT WORKING</t>
  </si>
  <si>
    <t>AGEING / WEAR AND TEAR</t>
  </si>
  <si>
    <t>FOUND HEATER DAMAGED. SPARE HEATER REQUISITION RAISED GKI-2020-208. spares received in singapore on 17/02/2021. Will renew at the earliest opportunity.</t>
  </si>
  <si>
    <t>Spares received at Singapore on 17/02/2021. Renewed with  new one workng satisfactory. THIS OBSERVATION CAN BE CLOSED.</t>
  </si>
  <si>
    <t xml:space="preserve">USR 17/02/21 : Spares supplied. Please check if this rectified and closed. </t>
  </si>
  <si>
    <t>Chief Engineer</t>
  </si>
  <si>
    <t>GKI-2020-208</t>
  </si>
  <si>
    <t xml:space="preserve">Spare were supplied late. Connected to the vessel, will be renewed at suitable opportunity. </t>
  </si>
  <si>
    <t>v55_2021/11/09 09:00:39</t>
  </si>
  <si>
    <t>TP201900520201231020134</t>
  </si>
  <si>
    <t>GKI-2020-0115</t>
  </si>
  <si>
    <t>ADM KASHYAP ICHHAPORIA</t>
  </si>
  <si>
    <t>FFA</t>
  </si>
  <si>
    <t>FFA01</t>
  </si>
  <si>
    <t>FIRE LINE ON MAINDECK NEAR 11P HAVING FINGER HOLE.</t>
  </si>
  <si>
    <t>AGEGING OF VESSEL</t>
  </si>
  <si>
    <t>FIRE LINE IS PLUGGED AND SOFT REPAIR DONE WITH PUTTY.VESSEL PLAN TO TO DO HOT WORK AND REPAIR THE SAME IN GAS FREE STATE. JOB ALSO PUT IN DD REFMAN FOR RENEWAL OF PIPE SECTION.</t>
  </si>
  <si>
    <t>All holed / corroded Fire line sections on deck / Foam room / Pumproom renewed / permanent repaired. This observation can be closed now.</t>
  </si>
  <si>
    <t xml:space="preserve">USR  17/02/21 : Please advise if this has been renewed. </t>
  </si>
  <si>
    <t>USR: Defective fire ine sections renewed in DD.</t>
  </si>
  <si>
    <t xml:space="preserve">Pipe section renewal planned in DD jobscope. </t>
  </si>
  <si>
    <t>v55_2021/11/09 09:00:40</t>
  </si>
  <si>
    <t>TP201900520210421112311</t>
  </si>
  <si>
    <t>CE Kalpesh Bhavsar</t>
  </si>
  <si>
    <t>Emergency Fire Pump shaft sheared off.</t>
  </si>
  <si>
    <t>Misalignment of Motor &amp; Pump</t>
  </si>
  <si>
    <t xml:space="preserve">Tech SI was informed, who in turn informed to MPA &amp; Class NK, RA Prepared, Crew briefed. </t>
  </si>
  <si>
    <t>New spares received at Singapore with Avalontec workshop technicians &amp; Emgy fire pump repaired, Misalignment of Motor &amp; Pump corrected, Class NK surveyor varified status and Singapore MPA informed. This defeciency can be Closed Now</t>
  </si>
  <si>
    <t xml:space="preserve">USR: The coupling was misalinged due to which the shaft sheared off. There as rust on the flange suport which is on the casing. This was cleaned and flange seated properly. The pipe supports on the other end for supporting the flange may have been renewed erroneously. Shims were inserted and alignment corrected. Pump tried out and is working fine now. </t>
  </si>
  <si>
    <t xml:space="preserve">The coupling was misalinged due to which the shaft sheared off. There as rust on the flange suport which is on the casing. This was cleaned and flange seated properly. The pipe supports on the other end for supporting the flange may have been renewed erroneously. Shims were inserted and alignment corrected. Pump tried out and is working fine now. </t>
  </si>
  <si>
    <t>150</t>
  </si>
  <si>
    <t>No</t>
  </si>
  <si>
    <t>v55_2021/11/09 09:00:41</t>
  </si>
  <si>
    <t>TP201900520210514022707</t>
  </si>
  <si>
    <t>S K Rai</t>
  </si>
  <si>
    <t>NEQ</t>
  </si>
  <si>
    <t>NEQ04</t>
  </si>
  <si>
    <t>Electrical Watch Dimmer of Bridge Not Working</t>
  </si>
  <si>
    <t>Equipment failure</t>
  </si>
  <si>
    <t>Requesition GKI-2021-065 raised</t>
  </si>
  <si>
    <t>Spares recieved and installed, working in order. DEFECT CAN BE CLOSED.</t>
  </si>
  <si>
    <t xml:space="preserve">USR 26/05/21 : Will supply new clock as requested._x000D_
USR 24/06/21 : Order has been placed and will connect once ready. _x000D_
</t>
  </si>
  <si>
    <t>New clock supplied and fitted. Working fine.</t>
  </si>
  <si>
    <t>GKI-2021-065</t>
  </si>
  <si>
    <t>v55_2021/11/09 09:00:42</t>
  </si>
  <si>
    <t>TP201900520210514023144</t>
  </si>
  <si>
    <t>Electrical watch of GMDSS station not working</t>
  </si>
  <si>
    <t>Requesition GKI-2021-065 raised.</t>
  </si>
  <si>
    <t xml:space="preserve">USR 26/05/21 : Will supply new clock as requested._x000D_
USR 24/06/21 : Order has been placed and will connect once ready. </t>
  </si>
  <si>
    <t xml:space="preserve">New clock supplied and fitted. Working fine. </t>
  </si>
  <si>
    <t>Spares connection planned at next call Singapore</t>
  </si>
  <si>
    <t>v55_2021/11/09 09:00:43</t>
  </si>
  <si>
    <t>TP201900520210519131030</t>
  </si>
  <si>
    <t>Gaurav Gupta</t>
  </si>
  <si>
    <t>Deformed deck plating at Fr.107-108(P) between DL 17-18(P) iwo No.4 WBT (P).</t>
  </si>
  <si>
    <t>Damage in dry dock.</t>
  </si>
  <si>
    <t>Class infromed. Equipment for staging and Plates for renewal ordered and received onboard.</t>
  </si>
  <si>
    <t xml:space="preserve">USR 26/05/21 : Class inspected at Singapore on 15th April 2021 and issued COC till 16th Oct 2021. Steel plates, staging etc already supplied to the vessel and awaiting suitable opportunity to carry out repairs. </t>
  </si>
  <si>
    <t>3</t>
  </si>
  <si>
    <t xml:space="preserve">COC extended by Class on our request awaiting suitable opportunity. </t>
  </si>
  <si>
    <t>TP201900520210520133324</t>
  </si>
  <si>
    <t>GEN</t>
  </si>
  <si>
    <t>GEN15</t>
  </si>
  <si>
    <t>Loss of electrical power, due to Aux. Engine FO low pressure. Vessel did not receive FO low pressure alarm. Low pressure was caused by backwash filter clogging. Vessel did not receive DP high alarms also.</t>
  </si>
  <si>
    <t>Malfunctioning of backwash filter DP alarm sensor and A/E 1 and 2 FO low pressure switch.</t>
  </si>
  <si>
    <t>Electrical power was immediately restored by starting A/E on DO line. Backwash filter was manually cleaned, and backwashing arrangement checked and rectified. Drain orfice was also found clogged, same cleared. A/E's resumed operation on VLSFO. Requisition for faulty sensors raised.</t>
  </si>
  <si>
    <t>A/E #1 and #3 FO low pressure switch received and replaced. Alarm tested. Spare for DP alarm awaited. Spare DP sensor recieved and installed. Working in order. DEFECT CAN BE CLOSED.</t>
  </si>
  <si>
    <t>0.2</t>
  </si>
  <si>
    <t xml:space="preserve">USR 26/05/21 : Investigation conducted and root cause revealed. Back was filter mechanism freed, drain orifice cleaned. A/E FO pressure transmitters supplied and replaced malfunctioning ones. Same tested and found working fine. Working on supply of DP trasmitter for filters. </t>
  </si>
  <si>
    <t xml:space="preserve">New DP transmitter supplied and fitted. Working fine. </t>
  </si>
  <si>
    <t>GKI-2021-066</t>
  </si>
  <si>
    <t>Awaiting conveninet port for supply</t>
  </si>
  <si>
    <t>v55_2021/11/09 09:00:45</t>
  </si>
  <si>
    <t>GKI-2021-029</t>
  </si>
  <si>
    <t>TP201900520210526162852</t>
  </si>
  <si>
    <t>Amoge</t>
  </si>
  <si>
    <t>Ahoge</t>
  </si>
  <si>
    <t>Su Yi</t>
  </si>
  <si>
    <t>VET</t>
  </si>
  <si>
    <t>VET05</t>
  </si>
  <si>
    <t>The ship's name was not marked on two of Life Jackets located in bridge SE locker at the time of inspection. This observation was rectified by ship’s staff during this inspection.</t>
  </si>
  <si>
    <t>Lifejackets in question were supplied in Nov 2020 and were kept as spare in Safety locker, during annual inspection on 11.Feb.2021, they were inadvertantly swapped with Jackets on bridge</t>
  </si>
  <si>
    <t>All Life Jackets on board are well maintained as per approved PMS system._x000D_
The Lifejackets in question were supplied in Nov 2020 and were kept as spare in Safety locker. _x000D_
There were Lifejackets already in Bridge SE locker which already had the required markings. However, during recent annual inspection on 11.Feb.2021, the Lifejackets of Safety locker got inadvertently swapped with Lifejackets from Bridge safety locker._x000D_
_x000D_
As mentioned by inspector, both Lifejackets were immediately marked during the course of inspection._x000D_
_x000D_
As part of our information sharing procedures, we have also sent a fleetwide alert.</t>
  </si>
  <si>
    <t>Ship's name was stencilled at the time of inspection as stated by inspector.</t>
  </si>
  <si>
    <t>CAPT. SAURABH MITTAL</t>
  </si>
  <si>
    <t>5.32</t>
  </si>
  <si>
    <t>9228291_VET_20210226_01</t>
  </si>
  <si>
    <t>Singapore</t>
  </si>
  <si>
    <t>Tanker 2</t>
  </si>
  <si>
    <t>CHEM</t>
  </si>
  <si>
    <t>Nitish  Soni</t>
  </si>
  <si>
    <t>Kalpesh Manohar Bhavsar</t>
  </si>
  <si>
    <t>Vishal Liladhar Kolte</t>
  </si>
  <si>
    <t>Sagitel</t>
  </si>
  <si>
    <t>NONE</t>
  </si>
  <si>
    <t>v55_2021/11/09 09:00:46</t>
  </si>
  <si>
    <t>GKI-2021-030</t>
  </si>
  <si>
    <t>TP201900520210526162853</t>
  </si>
  <si>
    <t>VET09</t>
  </si>
  <si>
    <t>It was observed that corrosion holes approximately 40 to 60 mm circle size on the lower part of the aft deck port and starboard side winch gear boxes at the time of inspection.</t>
  </si>
  <si>
    <t>Age related wear down</t>
  </si>
  <si>
    <t>We would like to state that these 2 holes were formed when vessel had recently carried out maintenance (descaling &amp; painting) of aft mooring winches including the gear boxes, as the vessel has been scheduled to call Drydock just after completion of this voyage in March 2nd week. This was part of process of identifying the areas for renewal in Drydock._x000D_
We confirm that this has been included in vessel’s Drydock specs and will be positively attended there._x000D_
We also confirm that it is in no way hampering the safe operations of mooring winches._x000D_
As part of our information sharing procedures, we have also sent a fleetwide alert.</t>
  </si>
  <si>
    <t>Aft deck port and stbd side winch gear boxes (foundation) renewed in Drydock.</t>
  </si>
  <si>
    <t>v55_2021/11/09 09:00:47</t>
  </si>
  <si>
    <t>GKI-2021-031</t>
  </si>
  <si>
    <t>TP201900520210526162854</t>
  </si>
  <si>
    <t>VET08</t>
  </si>
  <si>
    <t>The pressure gauge fitted to offshore side common line manifold to monitor possible leak from the gate valve was observed to be closed at the time of inspection and there was a pressure reading of 7.0 bars indicated as same with shore discharge pressure when the ship staff opened valve.</t>
  </si>
  <si>
    <t>Crew members inadvertantly left the pressure guage valve close resulting in failure to identify the leaking manifold valve</t>
  </si>
  <si>
    <t>This is a fact stated and common line offshore manifold valve was allegedly found leaking as the pressure gauge showed reading when its valve was opened. _x000D_
We would also like to state that vessel was discharging cargo from 9 separate cargo tanks at that time and all offshore side manifold valves of these 9 cargo tanks were holding._x000D_
After completion of tank cleaning/gas freeing operations, the manifold valve was opened and its seat ring was found slightly damaged. We confirm that the seat ring has been renewed and valve pressure test has been carried out._x000D_
_x000D_
As part of our information sharing procedures, we have also sent a fleetwide alert.</t>
  </si>
  <si>
    <t>Seat ring of common line manifold valve renewed and valve pressure tested.</t>
  </si>
  <si>
    <t>8.49</t>
  </si>
  <si>
    <t>v55_2021/11/09 09:00:48</t>
  </si>
  <si>
    <t>GKI-2021-032</t>
  </si>
  <si>
    <t>TP201900520210526162855</t>
  </si>
  <si>
    <t>VET10</t>
  </si>
  <si>
    <t>Each 2 thermometers fitted on No.1 &amp; 2 Auxiliary Engine turbo charger exhaust gas outlet were illegible due to painted on the glass at the time of inspection. This observation was rectified by ship’s staff during this inspection.</t>
  </si>
  <si>
    <t>Thermometer Glass were cleaned as much as possible, Requisition no. GKI-2021-013 was raised for thermometers</t>
  </si>
  <si>
    <t>This is a fact stated by the inspector. _x000D_
During recent cleaning and maintenance of the generator, part of the glass on the thermometer had been painted over inadvertently. As stated by the inspector, the excess paint was immediately cleaned and issue rectified during the inspection._x000D_
As part of our information sharing procedures, we have also sent a fleetwide alert.</t>
  </si>
  <si>
    <t>Rectified during inspection</t>
  </si>
  <si>
    <t>10.32</t>
  </si>
  <si>
    <t>v55_2021/11/09 09:00:49</t>
  </si>
  <si>
    <t>GKI-2021-033</t>
  </si>
  <si>
    <t>TP201900520210526162857</t>
  </si>
  <si>
    <t>VET11</t>
  </si>
  <si>
    <t>Approximately 40-50% of steam valves with branch lines fitted on cargo tank heating system manifold from No.1 P/S to No. 4 P/S cargo tanks were observed to be rusty condition at the time of the inspection.</t>
  </si>
  <si>
    <t>Continuous maintenance on steam line is in progress, Less freeboard, use of steam to heat FO in fwd tanks, cargo heating, leaking steam valves in Pumproom and Engine room, makes it a much slower process</t>
  </si>
  <si>
    <t>Maintenance of steam lines/valves on deck is part of the routine maintenance plan of vessel and is undertaken at every suitable opportunity. As the vessel uses steam line extensively for heated cargoes and also for heating fuel oil in forward tanks, the maintenance process gets decelerated at times and rust starts to re-appear._x000D_
The steam lines/valves on board have been coated with high heat resistant coating for enhanced corrosion protection. _x000D_
Vessel has already been carrying out maintenance on deck steam lines/valves from aft till 5P/S cargo tanks, which was also evident during the inspection. _x000D_
As the vessel has been scheduled to call Drydock soon after present voyage, thorough maintenance will also be carried out there and has been included in Drydock specs._x000D_
_x000D_
As part of our information sharing process, this observation has been shared with all fleet vessels.</t>
  </si>
  <si>
    <t>Steam coils maintenance was carried out in Drydock as highlighted by inspector.</t>
  </si>
  <si>
    <t>11.4</t>
  </si>
  <si>
    <t>v55_2021/11/09 09:00:50</t>
  </si>
  <si>
    <t>GKI-2021-034</t>
  </si>
  <si>
    <t>TP201900520210605082449</t>
  </si>
  <si>
    <t>ELC</t>
  </si>
  <si>
    <t>ELC05</t>
  </si>
  <si>
    <t>ECR (ECC) alarm printer not functional.</t>
  </si>
  <si>
    <t>Damage to printer head cables due to internal chaffing.</t>
  </si>
  <si>
    <t>Vessel tried to repair the damaged cables, but unable to rectify the fault.</t>
  </si>
  <si>
    <t>Spare printer recieved and installed, working satisfactorily. THIS DEFECT CAN BE CLOSED.</t>
  </si>
  <si>
    <t xml:space="preserve">USR 24/6/21 : Noted new printer supplied was connected and working fine. </t>
  </si>
  <si>
    <t xml:space="preserve">The printer was old and hance a new printer was supplied to the vessel. Working fine after renewal. </t>
  </si>
  <si>
    <t>v55_2021/11/09 09:00:51</t>
  </si>
  <si>
    <t>GKI-2021-035</t>
  </si>
  <si>
    <t>TP201900520210605082957</t>
  </si>
  <si>
    <t>ELC07</t>
  </si>
  <si>
    <t>No. 1 Fuel oil purifier motor burnt.</t>
  </si>
  <si>
    <t>motor damaged due to failure of drive end bearing.</t>
  </si>
  <si>
    <t>Motor was removed to inspect the damage. The damage to windings was found to be beyond on board repair.</t>
  </si>
  <si>
    <t>Spare motor recieved and installed. Working satisfactorily. THIS DEFECT CAN BE CLOSED.</t>
  </si>
  <si>
    <t xml:space="preserve">USR 24/6/21 : Cause was bearing failure. The motor was due for overhaul. New motor supplied. </t>
  </si>
  <si>
    <t xml:space="preserve">New motor supplied. </t>
  </si>
  <si>
    <t>v55_2021/11/09 09:00:52</t>
  </si>
  <si>
    <t>GKI-2021-036</t>
  </si>
  <si>
    <t>TP201900520210623144607</t>
  </si>
  <si>
    <t>Banwas AC power source failure.</t>
  </si>
  <si>
    <t>Failure of AC to DC convertor unit for Banwas.</t>
  </si>
  <si>
    <t>System running on DC power backup. All operational functions working confirmed. Spare unit awaited.</t>
  </si>
  <si>
    <t>Spare convertor recieved and installed. System working in order. CAN BE CLOSED</t>
  </si>
  <si>
    <t xml:space="preserve">USR 24/6/21 : The AC DC converter was ordered earlier but could not be connected at Singapore due to some mix up at makers end. Have sent it to connect to the vessel at Port Qasim on / around 26th June. </t>
  </si>
  <si>
    <t>USR : New AC/DC converter unit supplied and reenwal done.</t>
  </si>
  <si>
    <t>v55_2021/11/09 09:00:53</t>
  </si>
  <si>
    <t>GKI-2021-037</t>
  </si>
  <si>
    <t>TP201900520210623144949</t>
  </si>
  <si>
    <t>Framo protection pressure low alarm.</t>
  </si>
  <si>
    <t>Failure of pressure transmitter PT2.</t>
  </si>
  <si>
    <t>Checked transmitter block, found debris stuck in the non return valve, same cleared. Function test of non-return carried out. Signal current for PT2 checked = 3.45 mA. Spare pressure transmitter awaited.</t>
  </si>
  <si>
    <t>Spare transmitter received, and installed, working in order. CAN BE CLOSED.</t>
  </si>
  <si>
    <t xml:space="preserve">USR 24/6/21 : As per troubleshooting in consultation with makers, the PT2 pressure transmitter is porabalby malfunctioning / damaged. Same ordered and will connec tot the vessel at earliest opportunity. </t>
  </si>
  <si>
    <t xml:space="preserve">Pr. Transmitter renewed. Working fine now. </t>
  </si>
  <si>
    <t>v55_2021/11/09 09:00:54</t>
  </si>
  <si>
    <t>GKI-2021-038</t>
  </si>
  <si>
    <t>TP201900520210624115129</t>
  </si>
  <si>
    <t>Chief Officer</t>
  </si>
  <si>
    <t>CRG07</t>
  </si>
  <si>
    <t>6P COT level gauge not reading. Err 5 being displayed.</t>
  </si>
  <si>
    <t>Failure of Ebox PCB</t>
  </si>
  <si>
    <t>Vessel monitoring level manually. Mussasino Technician visited, but unable to rectify. Technician visit awaited under guarantee.</t>
  </si>
  <si>
    <t>Mussasino technician attended vessel. 6P radar rectified.</t>
  </si>
  <si>
    <t xml:space="preserve">USR 24/6/21 : This issue is under discussion with Musasino since this is a new unit (replaed Jan 21) and problems started after Musasino attendance in DD. They have finally agreed to provide a new unit under warranty and there is a lead time associated. Will connect once ready and will require tech attendance. _x000D_
USR 26/07/21 : Musasino has agreed to replace the parts under warranty. SE will attend at singapore on 27th July to do the needful. </t>
  </si>
  <si>
    <t xml:space="preserve">USR : Musasino technicians attended to the vessel at Singapore on 27/07/21 and replaced the E box under warranty. System working fine now. </t>
  </si>
  <si>
    <t>v55_2021/11/09 09:00:55</t>
  </si>
  <si>
    <t>GKI-2021-039</t>
  </si>
  <si>
    <t>TP201900520210706075647</t>
  </si>
  <si>
    <t>BLR</t>
  </si>
  <si>
    <t>BLR03</t>
  </si>
  <si>
    <t>Boiler swirler trumpet formation and oil accumulation in secondar register during high load operation.</t>
  </si>
  <si>
    <t>Oil accumulation caused due to trumpet formation which in turn was caused due to improper atomization because of worn out Deflector plate of burner.</t>
  </si>
  <si>
    <t>Boiler was stopped, and burner area cooled down. All deposits removed. Burner overhauled and inspected. Swirler cleaned and inspected. Furnace inspected.</t>
  </si>
  <si>
    <t>Requsition for deflector plate raised. Incresed frquecny of inspections and monitoring. 10/08/2021 Deflector plate recieved and renewed. Observed burner motor direction of rotation incorrect, same corrected. No trumpet formation observed. This defect can be closed.</t>
  </si>
  <si>
    <t xml:space="preserve">USR 22/7/21 : Spares will be connnected at Singapore call around 27/7/21. _x000D_
USR 16/08/21 : Spares have been connected and replaced. Please check and confirm if this can be closed. _x000D_
USR 03/09/21 : Understand after correcting burner direction of rotation there is no further trumpet formation. The FO flow regulating vavle is another issue and should be dealt separately as such. </t>
  </si>
  <si>
    <t xml:space="preserve">USR : Deflector renewed. Burner running direction corrected and fuel- air ratio adjusted. Firing is okay now and no trumpet formation observed. </t>
  </si>
  <si>
    <t>v55_2021/11/09 09:00:56</t>
  </si>
  <si>
    <t>GKI-2021-040</t>
  </si>
  <si>
    <t>TP201900520210715141956</t>
  </si>
  <si>
    <t>CRG02</t>
  </si>
  <si>
    <t>5 Port Cargo oil pump purging record indicate cargo leakage into coffer dam.</t>
  </si>
  <si>
    <t>Worn out cargo seal.</t>
  </si>
  <si>
    <t>Regular purging of cofferdam as per procedure in Maker's manual</t>
  </si>
  <si>
    <t>Cargo pump overhauled, Cargo seal and other consumables renewed. All in order. Defect can be closed.</t>
  </si>
  <si>
    <t>Seal leaking</t>
  </si>
  <si>
    <t xml:space="preserve">Cargo pump overhauled, Cargo seal and other consumables renewed. </t>
  </si>
  <si>
    <t>v55_2021/11/09 09:00:57</t>
  </si>
  <si>
    <t>GKI-2021-041</t>
  </si>
  <si>
    <t>TP201900520210715143056</t>
  </si>
  <si>
    <t>3 Stbd Cargo oil pump purging record indicate cargo leakage into coffer dam.</t>
  </si>
  <si>
    <t xml:space="preserve">Regular purging of cofferdam as per procedure in Maker's manual_x000D_
</t>
  </si>
  <si>
    <t xml:space="preserve">Seal leakage. </t>
  </si>
  <si>
    <t>v55_2021/11/09 09:00:58</t>
  </si>
  <si>
    <t>GKI-2021-042</t>
  </si>
  <si>
    <t>TP201900520210715143418</t>
  </si>
  <si>
    <t>4 Port Cargo oil pump purging record indicate cargo leakage into coffer dam.</t>
  </si>
  <si>
    <t>Seal Leakage</t>
  </si>
  <si>
    <t>v55_2021/11/09 09:00:59</t>
  </si>
  <si>
    <t>GKI-2021-043</t>
  </si>
  <si>
    <t>TP201900520210715143547</t>
  </si>
  <si>
    <t>8 Center Cargo oil pump purging record indicate cargo leakage into coffer dam.</t>
  </si>
  <si>
    <t>v55_2021/11/09 09:01:00</t>
  </si>
  <si>
    <t>GKI-2021-044</t>
  </si>
  <si>
    <t>TP201900520210715143703</t>
  </si>
  <si>
    <t>7 Port Cargo oil pump purging record indicate cargo leakage into coffer dam.</t>
  </si>
  <si>
    <t>Seal leakage</t>
  </si>
  <si>
    <t>v55_2021/11/09 09:01:01</t>
  </si>
  <si>
    <t>GKI-2021-045</t>
  </si>
  <si>
    <t>TP201900520210715143931</t>
  </si>
  <si>
    <t>1 Stbd Cargo oil pump purging record indicate cargo leakage into coffer dam.</t>
  </si>
  <si>
    <t>v55_2021/11/09 09:01:02</t>
  </si>
  <si>
    <t>GKI-2021-046</t>
  </si>
  <si>
    <t>TP201900520210715144045</t>
  </si>
  <si>
    <t>2 Port Cargo oil pump purging record indicate cargo leakage into coffer dam.</t>
  </si>
  <si>
    <t>Umang singh Rawat</t>
  </si>
  <si>
    <t>v55_2021/11/09 09:01:03</t>
  </si>
  <si>
    <t>GKI-2021-047</t>
  </si>
  <si>
    <t>TP201900520210715144433</t>
  </si>
  <si>
    <t>ELC08</t>
  </si>
  <si>
    <t>Meat room drain pipe heater malfunction.</t>
  </si>
  <si>
    <t>Defective equipment</t>
  </si>
  <si>
    <t xml:space="preserve">Requisition for spare drain pipe heater raised. </t>
  </si>
  <si>
    <t>Spare drain pipe heater recieved and renewed. Damaged Drain pipe heater repaired. Defect can be closed.</t>
  </si>
  <si>
    <t>USR 22/7/21 : Order placed. Spares should be connected this call Singapore around 27/07/21_x000D_
USR 16/08/21 : Spares have been connected to the vessel. Please check and confirm if this can be closed</t>
  </si>
  <si>
    <t xml:space="preserve">USR : Drain pipe heter renewed. </t>
  </si>
  <si>
    <t>GKI-2021-095</t>
  </si>
  <si>
    <t>v55_2021/11/09 09:01:04</t>
  </si>
  <si>
    <t>GKI-2021-048</t>
  </si>
  <si>
    <t>TP201900520210715145653</t>
  </si>
  <si>
    <t>Dist water tank sounding pipe cap fixing sunken plate on deck observed damaged.</t>
  </si>
  <si>
    <t>Damaged due to aging.</t>
  </si>
  <si>
    <t>Sounding pipe cap sealed with cold repair, to prevent ingress.</t>
  </si>
  <si>
    <t>Sounding pipe cap fixing plate repaired by hot work. DEFECT CAN BE CLOSED.</t>
  </si>
  <si>
    <t xml:space="preserve">Welding giving way due to age and corrosion. Sounding pipe cap fixing plate repaired by hot work. </t>
  </si>
  <si>
    <t xml:space="preserve">Sounding pipe cap fixing plate repaired by hot work. </t>
  </si>
  <si>
    <t>v55_2021/11/09 09:01:05</t>
  </si>
  <si>
    <t>GKI-2021-049</t>
  </si>
  <si>
    <t>TP201900520210715150203</t>
  </si>
  <si>
    <t>PAE</t>
  </si>
  <si>
    <t>PAE01</t>
  </si>
  <si>
    <t>MGPS discharge pipe section leaking.</t>
  </si>
  <si>
    <t>Pipe damaged due to aging.</t>
  </si>
  <si>
    <t>MGPS system stopped and valves secured.</t>
  </si>
  <si>
    <t>New pipe fabricated and installed. In order. Defect can be closed.</t>
  </si>
  <si>
    <t>New pipe fabricated and installed</t>
  </si>
  <si>
    <t>v55_2021/11/09 09:01:06</t>
  </si>
  <si>
    <t>GKI-2021-050</t>
  </si>
  <si>
    <t>TP201900520210715150906</t>
  </si>
  <si>
    <t>CCR Tower Air conditioning unit, condensate drain pump running dry continuously</t>
  </si>
  <si>
    <t>Defective level float micro switch</t>
  </si>
  <si>
    <t>Condensate drain pump isolated electrically. Spare part requested.</t>
  </si>
  <si>
    <t>Spare micro switch recieved and installed. In order. Defect can be closed.</t>
  </si>
  <si>
    <t xml:space="preserve">Micro switch for pump cut in / off malfunctioning. Needs replacement. </t>
  </si>
  <si>
    <t xml:space="preserve">New microswitch supplied and fittted. </t>
  </si>
  <si>
    <t>v55_2021/11/09 09:01:07</t>
  </si>
  <si>
    <t>GKI-2021-051</t>
  </si>
  <si>
    <t>TP201900520210716063437</t>
  </si>
  <si>
    <t>No glass found on steam observation tank main steam return line on deck</t>
  </si>
  <si>
    <t>Glass to be renwed.</t>
  </si>
  <si>
    <t>Presenlty the steam obervation tank is blanked . Requsition raised ofr new glass GKI-2021-083</t>
  </si>
  <si>
    <t>Steam onservation tank glass received on 12.Aug.2021. Glass fitted with new gasket. Defect can be closed.</t>
  </si>
  <si>
    <t>USR : This glass was supplied and renewed last year. It has apparently broken and not included in the defect list for the DD, it could easily have been done there. It is difficult to supply this glas as it requires tempered glass which needs to be cut to size. _x000D_
USR 22/07/21 : We had ordered this for supply at Fujiarah last call. Please check and advise if received on board? _x000D_
USR 16/08/21 : Spares have been connected to the vessel. Please check and confirm if this can be closed</t>
  </si>
  <si>
    <t xml:space="preserve">USR : New glass supplied and fitted. </t>
  </si>
  <si>
    <t>GKI-2021-052</t>
  </si>
  <si>
    <t>TP201900520210716064803</t>
  </si>
  <si>
    <t xml:space="preserve">Chief officer </t>
  </si>
  <si>
    <t>DCK02</t>
  </si>
  <si>
    <t>Minor drip hydarulic oil lekage found from aft port winch operating lever.</t>
  </si>
  <si>
    <t>O rings suspected to be leaking</t>
  </si>
  <si>
    <t>Presenlty inlet valve Kept shut after use. Vessel plans to renew O rings in order to arrest leakage</t>
  </si>
  <si>
    <t>Leakage observed from control shaft oil seal. Oil seal recieved and renewed. Confirmed no leakage. Defect can be closed.</t>
  </si>
  <si>
    <t xml:space="preserve">USR 22/07/21 : Please renew the O rings and revert. _x000D_
USR 16/08/21 : Please update on the plan for this job. </t>
  </si>
  <si>
    <t xml:space="preserve">USR: Oil seal renewed and leak rectified. </t>
  </si>
  <si>
    <t>v55_2021/11/09 09:01:09</t>
  </si>
  <si>
    <t>GKI-2021-053</t>
  </si>
  <si>
    <t>TP201900520210716065357</t>
  </si>
  <si>
    <t>Chief offcier</t>
  </si>
  <si>
    <t>Provision crane hook safety latch found seized,corroded and in bad condition.</t>
  </si>
  <si>
    <t>Ageing and lack of maintainence</t>
  </si>
  <si>
    <t>Safety latch freed. Vessel plans to fabricate new safety latch and renew old.</t>
  </si>
  <si>
    <t>New safety latch fabricated and installed. Defect can be closed.</t>
  </si>
  <si>
    <t xml:space="preserve">USR 22/07/21 : Please revert once done. _x000D_
USR 16/08/21 : Please update on the plan for this job. </t>
  </si>
  <si>
    <t>USR : New safety latch fabricated and installed</t>
  </si>
  <si>
    <t>v55_2021/11/09 09:01:10</t>
  </si>
  <si>
    <t>GKI-2021-054</t>
  </si>
  <si>
    <t>TP201900520210716070156</t>
  </si>
  <si>
    <t>Chief officer</t>
  </si>
  <si>
    <t>Lagging for steam line leading to tank cleaning heater in pumproom found damaged and fallen from many places.</t>
  </si>
  <si>
    <t>Lack of  maintaince and ageging</t>
  </si>
  <si>
    <t>Vessel repaired fallen laging with seizing wire wipped aorunf the steam line to avoid further detoritaion</t>
  </si>
  <si>
    <t>Lagging renewed at damaged places and all laggings on entire length of pipe wipped with seizing wire to ensure proper fitting of lagging on steam line.</t>
  </si>
  <si>
    <t xml:space="preserve">USR : Noted lagging tied up securely. </t>
  </si>
  <si>
    <t>v55_2021/11/09 09:01:11</t>
  </si>
  <si>
    <t>GKI-2021-055</t>
  </si>
  <si>
    <t>TP201900520210716070837</t>
  </si>
  <si>
    <t>Several steam branch  inlet and retrun valve wheels found  broken and heavily corroded.</t>
  </si>
  <si>
    <t>Ageging / detoriation and Lack of maintainence</t>
  </si>
  <si>
    <t>Renewal of broken wheels in  progress.</t>
  </si>
  <si>
    <t>Vessel renewed all broken wheels of steam branch inlet and return line.</t>
  </si>
  <si>
    <t xml:space="preserve">USR 22/07/21 : Steam vavles and wheels were supplied at DD for renewal basis condition. </t>
  </si>
  <si>
    <t>v55_2021/11/09 09:01:12</t>
  </si>
  <si>
    <t>GKI-2021-056</t>
  </si>
  <si>
    <t>TP201900520210716071547</t>
  </si>
  <si>
    <t>Steam linet and return valves on steam branch line found to be broken . Spindle found broken and many valves found to be leaking.</t>
  </si>
  <si>
    <t>Ageging and lack of maintainence</t>
  </si>
  <si>
    <t>Renewal of broken valves in progress.</t>
  </si>
  <si>
    <t>Broken Steam inlet and return branch valves renewed.</t>
  </si>
  <si>
    <t>USR 22/07/21 : New vavles had been supplied at DD for renewal of broken vavles</t>
  </si>
  <si>
    <t>v55_2021/11/09 09:01:13</t>
  </si>
  <si>
    <t>GKI-2021-057</t>
  </si>
  <si>
    <t>TP201900520210716072912</t>
  </si>
  <si>
    <t>Forward bunker tanks  port and stbd steam inlet valve found leaking</t>
  </si>
  <si>
    <t>Ageging and Lack of maintainence</t>
  </si>
  <si>
    <t>Steam inlet valves of port and stbd fwd bunker tanks renewed.</t>
  </si>
  <si>
    <t>v55_2021/11/09 09:01:14</t>
  </si>
  <si>
    <t>GKI-2021-058</t>
  </si>
  <si>
    <t>TP201900520210716073512</t>
  </si>
  <si>
    <t>Mesh of 8P Ballast tank vent found broken and corroded.</t>
  </si>
  <si>
    <t>Lack of maintainence and Ageging</t>
  </si>
  <si>
    <t>8P Vent overhauled and mesh renewed.</t>
  </si>
  <si>
    <t>v55_2021/11/09 09:01:15</t>
  </si>
  <si>
    <t>GKI-2021-059</t>
  </si>
  <si>
    <t>TP201900520210716074707</t>
  </si>
  <si>
    <t>Mesh of 8S ballast tank vent found broken and corroded.</t>
  </si>
  <si>
    <t>Mesh of 8S ballast tank vent renewed.</t>
  </si>
  <si>
    <t>v55_2021/11/09 09:01:16</t>
  </si>
  <si>
    <t>GKI-2021-060</t>
  </si>
  <si>
    <t>TP201900520210716074951</t>
  </si>
  <si>
    <t>Connecting rod for operating Fore peak tank  Valve  broken on Second platform of the tank.</t>
  </si>
  <si>
    <t>Ageging</t>
  </si>
  <si>
    <t>Valve operated from second platfrom inside the tank with spanner. Vessel plans for remove to connecting rods and reapir broken connection.</t>
  </si>
  <si>
    <t>Coonecting rod of the FPK valve removed. Corroded joints fabricated and repaired in ER workshp. Connecting rods fitted back and valve operation tried out. Working satisfactory. Defect can be closed.</t>
  </si>
  <si>
    <t xml:space="preserve">USR 22/07/21 : Noted. Please inform once complete._x000D_
USR 16/08/21 : Understand this job is already complete? Please update. </t>
  </si>
  <si>
    <t xml:space="preserve">USR : Rods removed and damaged sections renewed. </t>
  </si>
  <si>
    <t>v55_2021/11/09 09:01:17</t>
  </si>
  <si>
    <t>GKI-2021-061</t>
  </si>
  <si>
    <t>TP201900520210722122943</t>
  </si>
  <si>
    <t>C/E Kalpesh Bhavsar</t>
  </si>
  <si>
    <t>MEN03</t>
  </si>
  <si>
    <t>ME No.2,3 &amp; 6  units top piston ring suspected broken</t>
  </si>
  <si>
    <t xml:space="preserve">Unit was due to decarb and ring condition deteriorated due to wear and tear. </t>
  </si>
  <si>
    <t>Decarb carried out at Mumbai outer anchorage, while await berthing. Piston rings renewed.</t>
  </si>
  <si>
    <t xml:space="preserve">USR : Unit was due for decarb which was being planned at thee upcoming DD. Vessel hadd spares on board and scavenge space inspection was being done to check condition. Upon finding ring broken, decarb was done when vesssel was at anchroage. Shore workshop was also arranged to assist ship staff. </t>
  </si>
  <si>
    <t xml:space="preserve">Decarb carried out and piston rings renewed. </t>
  </si>
  <si>
    <t>2</t>
  </si>
  <si>
    <t>29.5</t>
  </si>
  <si>
    <t>v55_2021/11/09 09:01:18</t>
  </si>
  <si>
    <t>GKI-2021-062</t>
  </si>
  <si>
    <t>TP201900520210723190118</t>
  </si>
  <si>
    <t>Shahnawaz Kokatay</t>
  </si>
  <si>
    <t>Vessel’s latest class survey stated dated 14 June 2021 reviewed and following condition of class found:_x000D_
Deformed deck plating at Fr. 107 – 108 (P) between DL 16 – 17 (P) iwo No. 4 WBT (P) is to be permanently repaired, cropped and renewed, by the due date below._x000D_
Affected areas are to be inspected at every periodical survey._x000D_
(Set out on 17 April 2021 at Singapore) (Due date: 10 Oct 2021).</t>
  </si>
  <si>
    <t>Fact as stated</t>
  </si>
  <si>
    <t>None</t>
  </si>
  <si>
    <t>This is a fact stated. Apparently, the damage occurred when the Yard was clearing the deck and removing all dock equipment prior vessel’s sailing.  This was identified by ship’s staff upon departure dock and class was informed to access the damage. The deformation is minor in nature as inspected by the class and this minor damage does not compromise the structural integrity of the aforesaid deck plating. Class issued COC for permanent repairs to be completed by 21st October 2021 up to the satisfaction of Class. Said plating has also been inspected regularly as part of our procedures and permanent repairs are being planned at first suitable opportunity well prior to due date and in consultation with the Dockyard where the damage had occurred._x000D_
_x000D_
As part of our information sharing procedures, we have also sent a fleetwide alert.</t>
  </si>
  <si>
    <t>This COC is already recorded as a different oservation in this DRS and will be followed up there.</t>
  </si>
  <si>
    <t>CAPT. SHASHANK SHARMA</t>
  </si>
  <si>
    <t>2.7</t>
  </si>
  <si>
    <t>9228291_VET_20210627_01</t>
  </si>
  <si>
    <t>Pakistan</t>
  </si>
  <si>
    <t>Port Qasim</t>
  </si>
  <si>
    <t>Kashyap Dilipkumar Ichhaporia</t>
  </si>
  <si>
    <t>Baweja  Rushank</t>
  </si>
  <si>
    <t xml:space="preserve">PacMarine Services </t>
  </si>
  <si>
    <t>v55_2021/11/09 09:01:19</t>
  </si>
  <si>
    <t>GKI-2021-063</t>
  </si>
  <si>
    <t>TP201900520210723190120</t>
  </si>
  <si>
    <t>VET04</t>
  </si>
  <si>
    <t>Entries in deck and engine log books June 2021 entries reviewed, overwriting were evident on several occasion on both log books.</t>
  </si>
  <si>
    <t>Fact as stated.</t>
  </si>
  <si>
    <t xml:space="preserve">The correct entries were made and training carried out to make corrections if needed. </t>
  </si>
  <si>
    <t>1899/12/30</t>
  </si>
  <si>
    <t xml:space="preserve">The data has been checked and found in order. </t>
  </si>
  <si>
    <t>This was a mistake on the part of Ship staff to make corrections by overwriting in Deck &amp; Engine logbooks as against company laid down procedure for making any correction of mistake in the log book._x000D_
Company procedures clearly narrate the correct entry procedures for Deck &amp; Engine logbooks. _x000D_
As a corrective action, mentioned overwritten entries were corrected by striking and rewriting the correct entry along with officer’s initial on the aforesaid correction._x000D_
As a preventive measure a training on ‘Logbook entries’ of all deck &amp; engineering officers has been carried out on 28th-Jun-2021 as per company procedure BDP-03-05 section 3.24 &amp; ERP-03-02 section 3.9 (Attachment 1 – Training record of watchkeepers on correct log book entry procedures). _x000D_
_x000D_
Also, as part of our information sharing procedures, we have also sent a fleetwide alert for compliance on matter.</t>
  </si>
  <si>
    <t xml:space="preserve">The training has been completed and regular monitoring by master in progress. </t>
  </si>
  <si>
    <t>4.2</t>
  </si>
  <si>
    <t>v55_2021/11/09 09:01:20</t>
  </si>
  <si>
    <t>GKI-2021-064</t>
  </si>
  <si>
    <t>TP201900520210723190121</t>
  </si>
  <si>
    <t>Paint locker was fitted with fixed water sprinkler fire extinguishing system; however, two out of four nozzles were blocked and only water was dropping from these two nozzles when tested with fire pump. Rectified.</t>
  </si>
  <si>
    <t>Fact as stated. Nozz;les were chocked due to salt deposit formed after last routine try out on 11th June 2021Deposit was cleared, nozzles in order.</t>
  </si>
  <si>
    <t xml:space="preserve">This was rectified immediately. </t>
  </si>
  <si>
    <t>Regualr checks are in progress as per PMS.</t>
  </si>
  <si>
    <t>This is a fact stated and was noted at the time of inspection.  _x000D_
Inspection and maintenance of fixed fire extinguishing water sprinkler system in paint locker regularly carried out as per vessel PMS on quarterly basis. Paint locker sprinkler system last inspected &amp; tried out on 11th Jun 2021. All Nozzles were found in order without any issues._x000D_
_x000D_
Two out of four sprinkler nozzles were found with low water pressure at the time of inspection due to salt accumulation. Immediately as a corrective action blocked nozzles cleared and the system was tested for proper operation in presence of inspector._x000D_
As preventive measure, vessel has been advised to flush the system with FW after testing to keep good flow of water through sprinkle nozzles. _x000D_
Also, as part of our information sharing procedures, we have shared this observation with all Fleet vessels for confirming their compliance on matter.</t>
  </si>
  <si>
    <t>The spinkler nozzle was immediately cleared during the inspection.</t>
  </si>
  <si>
    <t>5.40</t>
  </si>
  <si>
    <t>v55_2021/11/09 09:01:21</t>
  </si>
  <si>
    <t>TP201900520210723190122</t>
  </si>
  <si>
    <t>VET06</t>
  </si>
  <si>
    <t>Though the engine room emergency bilge suction and overboard discharge valves were found shut and fitted with plastic breakable seal; however, the seal fitted on valves were not provided with numbers to verified in official documents such as the Engine Room Log or the Oil Record Book Part I.</t>
  </si>
  <si>
    <t>Vessel is in complience with company policies.</t>
  </si>
  <si>
    <t>This is a fact as stated._x000D_
Vessel was in full compliance with company’s well-established EMS procedure for control of Discharge of Oily residues. All bilge valves and bilge pipes flanges are sealed by company superintendents using Green colour seals and if any time some seal is required to be broken for whatever reasons, company approval is taken, and after operation, the said seal is replaced with white seal, the fixed numbers of which is maintained on board. Same is recorded in the Sealing Log.  During next office visit, the white seal is again replaced with green colour seal by the superintendent. The Bilge sealing activity record is kept up to date on-board on continuous basis. The Running ROB of the white seal is sent to office after every activity &amp; ROB is tallied. _x000D_
Basis above this was inspector’s personal opinion to have numbered seals although company procedure in this regard is robust and being followed for many years on all Fleet Vessels with excellent monitoring through “Bilge Sealing Activity Log”.</t>
  </si>
  <si>
    <t>6.15</t>
  </si>
  <si>
    <t>v55_2021/11/09 09:01:22</t>
  </si>
  <si>
    <t>TP201900520210723190123</t>
  </si>
  <si>
    <t>Some MEG cargo samples in glass bottles stored inside the sample locker just on the stainless-steel tray and that tray was not fitted with division cell to keep the sample safe from the breakage in case of rolling/ pitching. The sample locker was located on main deck at catwalk level iwo of 12 w’s cargo tanks.</t>
  </si>
  <si>
    <t>As stated by inspector two out 12 stainless steel tray are not fitted with sub division.</t>
  </si>
  <si>
    <t>The sample bottles were shifted to slotted trays and the slots were fabricated in other trays.</t>
  </si>
  <si>
    <t xml:space="preserve">All sample bottle trays are having slotted chambers. </t>
  </si>
  <si>
    <t xml:space="preserve">This is a fact as stated. _x000D_
_x000D_
Company procedure CHPC-21-00 section 21.5 clearly highlights the proper handling &amp; segregation of cargo samples as per cargo compatibility. These particular samples were handed over by the surveyor with 4 composite sample bottles together in a plastic bag with seal and thus ship’s staff placed the sample bag properly segregated in non-slotted sample tray due to over-size. _x000D_
As corrective action, these samples were immediately placed in slotted trays well segregated. _x000D_
As preventive measure, divisions are being fabricated for proper segregation in the non-divisional sample tray available in sample locker (Attachment 2 – Fabrication of slotted sample trays). As a result, there are no non-divisional sample tray onboard now. Also, observation is being circulated fleet wide for compliance. </t>
  </si>
  <si>
    <t xml:space="preserve">New slots were made in tray to avoid this. Vessel was also having sufficient slotted trays for sample bottles. </t>
  </si>
  <si>
    <t>8.17</t>
  </si>
  <si>
    <t>v55_2021/11/09 09:01:23</t>
  </si>
  <si>
    <t>GKI-2021-067</t>
  </si>
  <si>
    <t>TP201900520210723190124</t>
  </si>
  <si>
    <t>SWL markings on mooring bitts and close Panama leads fitted on main deck mooring areas were marked with welded bead; however, some of them were worn out due to rust scale and some were not highlighted with contrast colour, hence not visible</t>
  </si>
  <si>
    <t>Continuous maintenance is in progress, Low freeboard &amp; heavy weather in last voyage did not allowed work to complete.</t>
  </si>
  <si>
    <t xml:space="preserve">The markigs were made on all bitts and leads. </t>
  </si>
  <si>
    <t xml:space="preserve">All mooring bitts/leads were checked for markings and found in order. </t>
  </si>
  <si>
    <t xml:space="preserve">This is a fact stated._x000D_
_x000D_
Due to rust stains, paint markings at few of the bitts and leads was faded however all welded beads are in place and identifiable. _x000D_
As an immediate corrective action de-rusting, re-painting and highlighting with distinct paint of said fittings carried out by ship’s staff. All SWL markings on Closed Panama Leads &amp; bitts are in good visible condition now (Attachment 3 – Repainting of markings on bitts). _x000D_
Continuous upgradation of vessel maintenance and cosmetic’s is ongoing process. Work updates along with photographs are being reported to office by the vessel on weekly basis and follow up on same is being done by the Superintendent. </t>
  </si>
  <si>
    <t xml:space="preserve">All bitts/leads without markings were marked. </t>
  </si>
  <si>
    <t>9.19</t>
  </si>
  <si>
    <t>v55_2021/11/09 09:01:24</t>
  </si>
  <si>
    <t>GKI-2021-068</t>
  </si>
  <si>
    <t>TP201900520210723193947</t>
  </si>
  <si>
    <t>Dmoge</t>
  </si>
  <si>
    <t>Dhoge</t>
  </si>
  <si>
    <t>PSC</t>
  </si>
  <si>
    <t>PSC03</t>
  </si>
  <si>
    <t>Several Stairway door not closing properly</t>
  </si>
  <si>
    <t>Aging components like door locking system &amp; door closer.</t>
  </si>
  <si>
    <t>Door Closure Adjusted</t>
  </si>
  <si>
    <t>This deficiency was closed by adjusting the door closure of A deck alleway stairway (only 1 door). Same was submitted to PSCO and accepted.</t>
  </si>
  <si>
    <t>All fire doors must be able to be kept closed all the times. Vessel shall inform office should any spare parts for door closures or new door closure is required.</t>
  </si>
  <si>
    <t>Saurabh Mittal</t>
  </si>
  <si>
    <t>17/10</t>
  </si>
  <si>
    <t>9228291_PSC_20210615_01</t>
  </si>
  <si>
    <t>Indonesia</t>
  </si>
  <si>
    <t>Padang</t>
  </si>
  <si>
    <t>TANKER 2</t>
  </si>
  <si>
    <t>OIL/CHEM</t>
  </si>
  <si>
    <t>Kashyap  Ichhaporia</t>
  </si>
  <si>
    <t>Rushank  Baweja</t>
  </si>
  <si>
    <t>MOL</t>
  </si>
  <si>
    <t xml:space="preserve">Mikom Transport Pte Ltd </t>
  </si>
  <si>
    <t>Class NK</t>
  </si>
  <si>
    <t>v55_2021/11/09 09:01:25</t>
  </si>
  <si>
    <t>GKI-2021-069</t>
  </si>
  <si>
    <t>TP201900520210723193949</t>
  </si>
  <si>
    <t>PSC06</t>
  </si>
  <si>
    <t>Retro reflective tape material  of Lifeboat old conditon (Action Code 15/10)</t>
  </si>
  <si>
    <t>Aging components</t>
  </si>
  <si>
    <t>Old retro reflective tape replaced on lifeboat  with new tape.</t>
  </si>
  <si>
    <t>RR tape was renewed the same day and submitted to PSCO for closure and accepted.</t>
  </si>
  <si>
    <t>RR tape shall be checked as per PMS and renewed whenever required.</t>
  </si>
  <si>
    <t>15</t>
  </si>
  <si>
    <t>v55_2021/11/09 09:01:26</t>
  </si>
  <si>
    <t>GKI-2021-070</t>
  </si>
  <si>
    <t>TP201900520210723193950</t>
  </si>
  <si>
    <t>PSC12</t>
  </si>
  <si>
    <t>Safety chain at railing lifeboat station missing (Action Code 15/10)</t>
  </si>
  <si>
    <t xml:space="preserve">Design fault  </t>
  </si>
  <si>
    <t xml:space="preserve">Third safety chain </t>
  </si>
  <si>
    <t>This is invalid observation, as third additional chain is not required, as lifeboat embarkation deck is location on Nav Bridge deck and is not a freeboard or superstructure deck. Same has been checked with Class NK.</t>
  </si>
  <si>
    <t>v55_2021/11/09 09:01:27</t>
  </si>
  <si>
    <t>GKI-2021-071</t>
  </si>
  <si>
    <t>TP201900520210723193951</t>
  </si>
  <si>
    <t>At the time of inspection sea water cooling for rescue boat out of order.</t>
  </si>
  <si>
    <t>Damage impellor</t>
  </si>
  <si>
    <t>Damage cooling impeller replaced with new spare</t>
  </si>
  <si>
    <t>Cooling water impeller procured urgently and deffect rectified.</t>
  </si>
  <si>
    <t>Routine checks to be carried out of cooling water system. Spare impeller kept on board.</t>
  </si>
  <si>
    <t>v55_2021/11/09 09:01:28</t>
  </si>
  <si>
    <t>GKI-2021-072</t>
  </si>
  <si>
    <t>TP201900520210723193952</t>
  </si>
  <si>
    <t>PSC09</t>
  </si>
  <si>
    <t>Aft fire door to E.Room unable to close</t>
  </si>
  <si>
    <t xml:space="preserve">Pressure differential between E/R &amp;  outside atmosphere due to open weathertight door, Aging door components like locking system &amp; door closer. </t>
  </si>
  <si>
    <t>Door closure for this door was working properly. This door did not close at the time of inspection as the weathertight door for engine room was used and left open while PSCO entered the engine room, which caused excess poitive pressure in E/Rm. Same was also told to PSCO.</t>
  </si>
  <si>
    <t>v55_2021/11/09 09:01:29</t>
  </si>
  <si>
    <t>GKI-2021-073</t>
  </si>
  <si>
    <t>TP201900520210723193953</t>
  </si>
  <si>
    <t xml:space="preserve">Fwd fire door from changing room to E/R unable to close </t>
  </si>
  <si>
    <t xml:space="preserve">Pressure differential between E/R &amp;  outside atmosphere due to open changing room door, Aging door components like locking system &amp; door closer. </t>
  </si>
  <si>
    <t>Door closure for this door was working properly. This door did not close at the time of inspection as the second fire door on other side of the space was being used, which caused excess poitive pressure in E/Rm. Same was also told to PSCO.</t>
  </si>
  <si>
    <t>v55_2021/11/09 09:01:30</t>
  </si>
  <si>
    <t>GKI-2021-074</t>
  </si>
  <si>
    <t>TP201900520210723193954</t>
  </si>
  <si>
    <t>PSC07</t>
  </si>
  <si>
    <t>Monthly inspection card of portable fire extiguisher at emergency generator not posted</t>
  </si>
  <si>
    <t>PSCO unable to locate</t>
  </si>
  <si>
    <t>Inspection card was present.</t>
  </si>
  <si>
    <t>This obs was not told to ship staff during rounds and was communicated only during closing meeting. Monthly inspection card of portable fire extinguisher was present and was shown to inspector at closing meeting.</t>
  </si>
  <si>
    <t>v55_2021/11/09 09:01:31</t>
  </si>
  <si>
    <t>GKI-2021-075</t>
  </si>
  <si>
    <t>TP201900520210723193955</t>
  </si>
  <si>
    <t>PSC23</t>
  </si>
  <si>
    <t>At the time of inspection all engineer unable to test over speed test M/E.</t>
  </si>
  <si>
    <t>Not provided enough time to concern personal by PSCO to carry out test is safe manner</t>
  </si>
  <si>
    <t>M/E over speed test carried out 4-5 min.</t>
  </si>
  <si>
    <t>For testing overspeed trip, CE just wanted to conifrm the Ten key code. However, in less than 1 minute, PSCO left the ECR saying that same can not be tested. Overtest trip was tested in another few minutes and shown to PSCO.</t>
  </si>
  <si>
    <t>v55_2021/11/09 09:01:32</t>
  </si>
  <si>
    <t>GKI-2021-076</t>
  </si>
  <si>
    <t>TP201900520210805183358</t>
  </si>
  <si>
    <t>GEN01</t>
  </si>
  <si>
    <t xml:space="preserve">A/E 1 Unit 3 &amp; 6 rocker arm bush and shaft worn out due to lack of lubrication. Oil holes found choked. </t>
  </si>
  <si>
    <t xml:space="preserve">Oil hoes were found choked. </t>
  </si>
  <si>
    <t xml:space="preserve">Rocker arms for both units dismantled and found bushes worn out. Shafts also had grooves. Office informed and requested for spares as spare bush and shaft not available on board. G/E can be used only in case of an emergency </t>
  </si>
  <si>
    <t xml:space="preserve">Spares received and fitted at SIngapore. A/E tried out and working fine. </t>
  </si>
  <si>
    <t xml:space="preserve">USR: The lubrication holes were blocked. Same cleared and checked for all remaining units also. Staff instructed to check oil flow during watchkeeping. </t>
  </si>
  <si>
    <t xml:space="preserve">USR: Spares supplied at Singapore and replacement done. </t>
  </si>
  <si>
    <t>v55_2021/11/09 09:01:33</t>
  </si>
  <si>
    <t>GKI-2021-077</t>
  </si>
  <si>
    <t>TP201900520210816012908</t>
  </si>
  <si>
    <t>STR</t>
  </si>
  <si>
    <t>STR05</t>
  </si>
  <si>
    <t>Vessel recieving Hydro lock alarm for No. 1 Steering system, when running both steering motors and helm orders more than 25 Deg either side.</t>
  </si>
  <si>
    <t>Faulty HLD PCB</t>
  </si>
  <si>
    <t>Steering systems tested for operation, maker's consulted. Spare PCB requested.</t>
  </si>
  <si>
    <t>Recieved Spare PCB at Singapore. New PCB installed, steering systems tested, working in order. Hydro lock alarms tested, working in order. THIS DEFECT CAN BE CLOSED.</t>
  </si>
  <si>
    <t xml:space="preserve">USR 16/08/21 : PCB malfunction. Spare PCB supplied, renewed and tested. Working fine now. </t>
  </si>
  <si>
    <t xml:space="preserve">Spare PCB supplied, renewed and tested. Working fine now. </t>
  </si>
  <si>
    <t>v55_2021/11/09 09:01:34</t>
  </si>
  <si>
    <t>GKI-2021-078</t>
  </si>
  <si>
    <t>TP201900520210829033806</t>
  </si>
  <si>
    <t xml:space="preserve">Aux Engine Main lub oil filter 4 out of total 6 pcs  found damaged. Filter is of wire notch type and observed wire broken at places and unwounding. </t>
  </si>
  <si>
    <t>Mishandling during filter cleaning.</t>
  </si>
  <si>
    <t>2 Filters renewed with on board spare filters. Training given to E/R staff regarding proper handling of filters. Awaiting spare filters for renewal.</t>
  </si>
  <si>
    <t>Spare filters received and renewed. Defect can be closed.</t>
  </si>
  <si>
    <t xml:space="preserve">USR: Improper handling causing damage to notch wire. </t>
  </si>
  <si>
    <t xml:space="preserve">USR : New filters suplied. Staff briefed. </t>
  </si>
  <si>
    <t>v55_2021/11/09 09:01:35</t>
  </si>
  <si>
    <t>GKI-2021-079</t>
  </si>
  <si>
    <t>TP201900520210829034320</t>
  </si>
  <si>
    <t xml:space="preserve"> Foam Pump suction strainer clogged.</t>
  </si>
  <si>
    <t>Foam tank coating damaged.</t>
  </si>
  <si>
    <t>Strainer openned up for cleaning. Found paint flakes. Further investigation in prgoress.</t>
  </si>
  <si>
    <t>GKI-2021-080</t>
  </si>
  <si>
    <t>TP201900520210902110308</t>
  </si>
  <si>
    <t>Abnormal vibration from #3 Main cooling sea water pump motor.</t>
  </si>
  <si>
    <t>End cover bearing housing worn out.</t>
  </si>
  <si>
    <t>Motor end cover opened up for inspection, found bearing housing worn out. Spare motor awaited.</t>
  </si>
  <si>
    <t>New motor installed in place. Pump tried out, and motor performance observed , all found in order.</t>
  </si>
  <si>
    <t xml:space="preserve">USR 03/09/21 : Motor NDE bearing housing is worn out. New motor supplied. </t>
  </si>
  <si>
    <t xml:space="preserve">USR : New motor installed and working fine. </t>
  </si>
  <si>
    <t>v55_2021/11/09 09:01:37</t>
  </si>
  <si>
    <t>GKI-2021-081</t>
  </si>
  <si>
    <t>TP201900520210903195352</t>
  </si>
  <si>
    <t>Mr. J.W. Jia</t>
  </si>
  <si>
    <t>MMS09</t>
  </si>
  <si>
    <t>Calibration gas or H2 expiring in Mar’21</t>
  </si>
  <si>
    <t>Overlooked by ship staff / Gas bottle not available,awaiting convieneint port</t>
  </si>
  <si>
    <t>Reqsuition was raised for Procurement.</t>
  </si>
  <si>
    <t>Calibration gas  of H2 expiring in Mar’23 received onbaord. Observation can be closed.</t>
  </si>
  <si>
    <t>USR : Cal gas supplied</t>
  </si>
  <si>
    <t>Cal gas supplied</t>
  </si>
  <si>
    <t>9228291_SI_20210402_01</t>
  </si>
  <si>
    <t>v55_2021/11/09 09:01:38</t>
  </si>
  <si>
    <t>GKI-2021-082</t>
  </si>
  <si>
    <t>TP201900520210903195354</t>
  </si>
  <si>
    <t>MMS07</t>
  </si>
  <si>
    <t>Donning instructions of FF Radios missing</t>
  </si>
  <si>
    <t>Overlooked by ship staff</t>
  </si>
  <si>
    <t>Master instructed deck officer to prepare donning instrcution and put inSOLAS training manual and same to be disccused during drills.</t>
  </si>
  <si>
    <t>Donning instrcution made and put in SOLAS training manual. Crew meber ere briefed during drills. Observation can be closed.</t>
  </si>
  <si>
    <t xml:space="preserve">USR : Donning instrcutions made and put in SOLAS training manual. </t>
  </si>
  <si>
    <t>v55_2021/11/09 09:01:39</t>
  </si>
  <si>
    <t>GKI-2021-083</t>
  </si>
  <si>
    <t>TP201900520210903195355</t>
  </si>
  <si>
    <t>MMS21</t>
  </si>
  <si>
    <t>No record of Ballast water shore analysis on board</t>
  </si>
  <si>
    <t>Overlooked / missed by Ship staff</t>
  </si>
  <si>
    <t>Ballast water shore analysis followed up with PIC and request for same was raised.</t>
  </si>
  <si>
    <t>Ballast water shore analysis sample collected on 27.07.2021 at Singapore anchorage by Tribocare Service representative. Analysis report dated 03.08.2021 received and filed onboard.Observation can be closed.</t>
  </si>
  <si>
    <t xml:space="preserve">USR : Ballast water shore analysis conducted. Report recevied and in order. </t>
  </si>
  <si>
    <t xml:space="preserve">Planned for Singapore anchorage. </t>
  </si>
  <si>
    <t>v55_2021/11/09 09:01:40</t>
  </si>
  <si>
    <t>GKI-2021-084</t>
  </si>
  <si>
    <t>TP201900520210904082932</t>
  </si>
  <si>
    <t>AEQ06</t>
  </si>
  <si>
    <t>Deck air bottle pressure gauage faulty and corroded.</t>
  </si>
  <si>
    <t>Lack of maintainence ,Ageging and corrosion</t>
  </si>
  <si>
    <t>Pressure guage was changed and renewed.</t>
  </si>
  <si>
    <t>Pressure guage was changed and renewed.defect can be closed.</t>
  </si>
  <si>
    <t>USR : Pr gauge renenwed</t>
  </si>
  <si>
    <t>v55_2021/11/09 09:01:41</t>
  </si>
  <si>
    <t>GKI-2021-085</t>
  </si>
  <si>
    <t>TP201900520210904083542</t>
  </si>
  <si>
    <t xml:space="preserve">Fire hose box near Garbage station hinges found broken. </t>
  </si>
  <si>
    <t>Ageging and Lack of maintainece</t>
  </si>
  <si>
    <t>Fire Hose box renwed and replaced with new.</t>
  </si>
  <si>
    <t>Fire Hose box renewed and replaced with new.Defect can be closed.</t>
  </si>
  <si>
    <t xml:space="preserve">USR : Ageing, lack of maintainence. Renewed. </t>
  </si>
  <si>
    <t xml:space="preserve">USR : Fire hose box renewed </t>
  </si>
  <si>
    <t>Uamng Singh Rawat</t>
  </si>
  <si>
    <t>v55_2021/11/09 09:01:42</t>
  </si>
  <si>
    <t>GKI-2021-086</t>
  </si>
  <si>
    <t>TP201900520211012210936</t>
  </si>
  <si>
    <t>Gurpal Singh</t>
  </si>
  <si>
    <t>There was condition of class recorded as "Deformed deck plating at Fr 107~108 (P) between DL 16~17 (P) IWO No.4 WBT (P) is to be permanently repaired, cropped_x000D_
and renewed by the due date below". Affected areas are to be inspected at every periodical survey. Set out on 17 Apr 2021 at Singapore. Due Date: 16 Oct 2021.</t>
  </si>
  <si>
    <t>Repair work was planned after departure Mumbai but has to be cancelled due to last minute change in local regulation. Will be planned at first opportunity.</t>
  </si>
  <si>
    <t>9228291_VET_20210912_01</t>
  </si>
  <si>
    <t>India</t>
  </si>
  <si>
    <t>Mumbai</t>
  </si>
  <si>
    <t>Vikas Dilipkumar Patil</t>
  </si>
  <si>
    <t>GKI-2021-087</t>
  </si>
  <si>
    <t>TP201900520211012210938</t>
  </si>
  <si>
    <t>Self-contained breathing apparatus cylinder completely charged to working pressure of 200 bars, kept inside fire locker at upper deck was tested during inspection, with the cylinder valve closed, the drop in pressure was observed around 40 bars(more than 10 bars) in one minute.</t>
  </si>
  <si>
    <t>All SCBAs onboard were checked as per PMS and also prior arrival SIRE inspection in presence of senior officer and were found in order. After pressure drop was pointed out by  SIRE inspector, the SCBA set was immediately checked and the leak was arrested by renewing damaged o-ring of whistle connection during the course of inspection.</t>
  </si>
  <si>
    <t>The SCBA bottle in Foam room was charged back to WP200.</t>
  </si>
  <si>
    <t xml:space="preserve">Other SCBA bottles were checked and found in order. </t>
  </si>
  <si>
    <t>All SCBAs onboard were checked during last fire drill and as per weekly PMS routine in presence of senior officer before arrival port and were found in order. The bottles were found to be filled completely as required, however pressure drop was observed as pointed out by the SIRE inspector, the SCBA set kept in Foam room was immediately checked and the leak was arrested by renewing worn o-ring of whistle connection during the course of inspection._x000D_
_x000D_
As a preventive measure, all other SCBA sets were checked and found in order. The master discussed the observation during his debrief along with safety officer, on departure from the port of inspection and importance of proper checks when securing equipment after use was stressed upon._x000D_
_x000D_
Also, as part of our information sharing procedures, we have also sent a fleetwide alert for compliance on matter.</t>
  </si>
  <si>
    <t xml:space="preserve">The bottle was correctly charged to WP. </t>
  </si>
  <si>
    <t>5.43</t>
  </si>
  <si>
    <t>v55_2021/11/09 09:01:44</t>
  </si>
  <si>
    <t>GKI-2021-088</t>
  </si>
  <si>
    <t>TP201900520211012210939</t>
  </si>
  <si>
    <t>Working areas on forecastle deck around mooring fittings (winch warping drums, mooring bitts, fairlead rollers, pedestal rollers) were not provided with nonslip surfaces.</t>
  </si>
  <si>
    <t>Forecastle mooring area were provided with nonslip surfaces but the effectiveness of the nonslip surfaces was reduced due to applying of fresh paint. Crew briefieng carried out and the working areas on forecastle deck around mooring fittings were again painted nonslip.</t>
  </si>
  <si>
    <t>Same was immediately painted at next oportunity.</t>
  </si>
  <si>
    <t>Other area were also checked and found in order.</t>
  </si>
  <si>
    <t>All mooring area including Forecastle were provided with non-slip surfaces but the effectiveness of the nonslip surfaces was reduced due to applying of fresh paint during routine maintenance and since vessel faced inclement weather during her last voyage, non-slip paint re-application could not be completed. _x000D_
_x000D_
As a corrective action, the working areas on forecastle deck around mooring fittings were again painted with nonslip paint upon departure port (Attachment 1)._x000D_
_x000D_
Also, as part of our information sharing procedures, we have shared this observation with all Fleet vessels for confirming their compliance on matter.</t>
  </si>
  <si>
    <t xml:space="preserve">The area was painted. </t>
  </si>
  <si>
    <t>11.3</t>
  </si>
  <si>
    <t>v55_2021/11/09 09:01:45</t>
  </si>
  <si>
    <t>GKI-2021-089</t>
  </si>
  <si>
    <t>TP201900520211013045411</t>
  </si>
  <si>
    <t>Oxygen bottle outlet pipeline holed at port side A deck accomodation block</t>
  </si>
  <si>
    <t>Wastage of material due to corrosion over period of time</t>
  </si>
  <si>
    <t>Oxygen bottle was disconnected , "Do not use" tag was posted, office informed about the same.Awaiting for vessel to be gas free for carrying out hotwork.</t>
  </si>
  <si>
    <t>Vessel cut the damaged pipe section , fabricated new pipe and installed in place using welding. Hotwork permission taken from office. Entire pipe section was pressure tested and no leaks were found.</t>
  </si>
  <si>
    <t xml:space="preserve">USR : Pipe failed due to wastage and age. </t>
  </si>
  <si>
    <t>USR : Pipe renewed.</t>
  </si>
  <si>
    <t>v55_2021/11/09 09:01:46</t>
  </si>
  <si>
    <t>GKI-2021-090</t>
  </si>
  <si>
    <t>TP201900520211013045952</t>
  </si>
  <si>
    <t>Fire &amp; ballast pump discharge pipe section holed</t>
  </si>
  <si>
    <t>wastage due to corrosion</t>
  </si>
  <si>
    <t>Fire &amp; ballast pump was isolated and " Do not use " tag was posted. Fire &amp; GS pump was checked for  operational readiness.Commenced with preparation for fabricating of new pipe section.</t>
  </si>
  <si>
    <t>Pipe section was removed from place. New pipe section was fabricated and installed in place. Pump operation tried out, no leakages observed.</t>
  </si>
  <si>
    <t>USR : Watage of pipe due to corrosion</t>
  </si>
  <si>
    <t>USR : Pipe section renewed.</t>
  </si>
  <si>
    <t>GKI-2021-142</t>
  </si>
  <si>
    <t>v55_2021/11/09 09:01:47</t>
  </si>
  <si>
    <t>GKI-2021-091</t>
  </si>
  <si>
    <t>TP201900520211013050336</t>
  </si>
  <si>
    <t>Rescue boat battery charger not working</t>
  </si>
  <si>
    <t>Faulty equipment</t>
  </si>
  <si>
    <t>Troubleshooting carried out, found battery charger malfunctioned.Battery was charged using external means of charging and kept standby. Office was informed and requisition for new battery charger raised.Battery voltage to be monitored on daily basis till the trouble is rectified.</t>
  </si>
  <si>
    <t>New battery charger recieved , same installed in place and tried out, working in order.</t>
  </si>
  <si>
    <t xml:space="preserve">USR : Battery charger failed possibly due to age. </t>
  </si>
  <si>
    <t xml:space="preserve">USR : New charger suppplied and fitted. </t>
  </si>
  <si>
    <t>v55_2021/11/09 09:01:48</t>
  </si>
  <si>
    <t>GKI-2021-092</t>
  </si>
  <si>
    <t>TP201900520211014023628</t>
  </si>
  <si>
    <t>DCK05</t>
  </si>
  <si>
    <t>Hose handling crane top sheave assembly sheave found broken and hoisting limit switch found inoperational</t>
  </si>
  <si>
    <t>Material failure due to aging and equipment failure</t>
  </si>
  <si>
    <t>Limit switch gear box dismantled and overhauling is in progress. Spare parts ordered for overhauling. Spare sheave requisition raised. RA for crane operation reviewed and amended acoordingly.Crew briefed regarding the trouble and instructed to minimize the use and opertaion of crane to be carried out under supervision of senior officers only.</t>
  </si>
  <si>
    <t>GKI-2021-149 GKI-2021-163</t>
  </si>
  <si>
    <t>TP201900520211118154324</t>
  </si>
  <si>
    <t>GKI-2021-093</t>
  </si>
  <si>
    <t>9228291_SI_20210912_01</t>
  </si>
  <si>
    <t xml:space="preserve">Capt Shashank &amp; Mohit </t>
  </si>
  <si>
    <t xml:space="preserve">SMP-16 Master Certificate File Not updated </t>
  </si>
  <si>
    <t>TP201900520211118154327</t>
  </si>
  <si>
    <t>GKI-2021-094</t>
  </si>
  <si>
    <t>TP201900520211118154328</t>
  </si>
  <si>
    <t>Ballast tanks vent heads rusted , same need to be inspected,chipped and paint</t>
  </si>
  <si>
    <t>TP201900520211118154329</t>
  </si>
  <si>
    <t>GKI-2021-096</t>
  </si>
  <si>
    <t>Midship crane and provision crane hook locking latch missing</t>
  </si>
  <si>
    <t>TP201900520211118154330</t>
  </si>
  <si>
    <t>GKI-2021-097</t>
  </si>
  <si>
    <t>Emergency stop push button for LB davit operation box missing.</t>
  </si>
  <si>
    <t>TP201900520211118154331</t>
  </si>
  <si>
    <t>GKI-2021-098</t>
  </si>
  <si>
    <t>Supports for Bilge Pump emergency stop box need to be renewed.</t>
  </si>
  <si>
    <t>TP201900520211118154332</t>
  </si>
  <si>
    <t>GKI-2021-099</t>
  </si>
  <si>
    <t xml:space="preserve">Aft Mooring winch hydraulic block leaking from operating lever/Mooring area Restriction warning to be stenciled </t>
  </si>
  <si>
    <t>TP201900520211118154333</t>
  </si>
  <si>
    <t>GKI-2021-0100</t>
  </si>
  <si>
    <t xml:space="preserve">Conduit box end covers 3 in Number need to be renewed as same are corodded. </t>
  </si>
  <si>
    <t>TP201900520211118154334</t>
  </si>
  <si>
    <t>GKI-2021-0101</t>
  </si>
  <si>
    <t>Manifold cargo pump emergency stop box hinges broken</t>
  </si>
  <si>
    <t>TP201900520211118154335</t>
  </si>
  <si>
    <t>GKI-2021-0102</t>
  </si>
  <si>
    <t>Soft patch noticed in Bilge&amp; ballast Pump Discharge line</t>
  </si>
  <si>
    <t>TP201900520211118154336</t>
  </si>
  <si>
    <t>GKI-2021-0103</t>
  </si>
  <si>
    <t>Lagging on Incinerator waste oil tank lines to be renewed</t>
  </si>
  <si>
    <t>TP201900520211118154337</t>
  </si>
  <si>
    <t>GKI-2021-0104</t>
  </si>
  <si>
    <t xml:space="preserve">ME HP Pipes leakages need to be rectified </t>
  </si>
  <si>
    <t>TP201900520211120124749</t>
  </si>
  <si>
    <t>GKI-2021-0105</t>
  </si>
  <si>
    <t>Material failure due to ageing and equipment failure</t>
  </si>
  <si>
    <t>TP201900520211120125539</t>
  </si>
  <si>
    <t>GKI-2021-0106</t>
  </si>
  <si>
    <t>Nitrogen generator compressor oil chamber gauge glass cracked.</t>
  </si>
  <si>
    <t>Material failure due to ageing.</t>
  </si>
  <si>
    <t>Oil chamber gauge glass was repaired using Cordobond and installed in place.Requisition raised.</t>
  </si>
  <si>
    <t>GKI-2021-164</t>
  </si>
  <si>
    <t>TP201900520211120130017</t>
  </si>
  <si>
    <t>GKI-2021-0107</t>
  </si>
  <si>
    <t>Fresh water generator sight glass broken during routine maintenance.</t>
  </si>
  <si>
    <t>Incorrect tightening procedure.</t>
  </si>
  <si>
    <t>Sight glass remover and blind flange put in place.Requisition raised for same.</t>
  </si>
  <si>
    <t>GKI-2021-165</t>
  </si>
  <si>
    <t>TP201900520211120135307</t>
  </si>
  <si>
    <t>GKI-2021-0108</t>
  </si>
  <si>
    <t>Accomodation floodlights(9nos.) body was rusted and wasted at many places.</t>
  </si>
  <si>
    <t>Material failure due to corrosion.</t>
  </si>
  <si>
    <t>All lights inspected.4 nos floodlights glass frame fabricated.Soft repair carried out on the holed body of few floodlights.3 nos. light replaced wth new ones.Requisition raised for the floodlights.</t>
  </si>
  <si>
    <t>GKI-2021-168</t>
  </si>
  <si>
    <t>TP201900520211120140436</t>
  </si>
  <si>
    <t>GKI-2021-0109</t>
  </si>
  <si>
    <t>Hot water circulating pump motor both end cover bearing housing wornout.</t>
  </si>
  <si>
    <t>Bearings were installed using shims on end covers.Motor boxed back and fitted in place.Requisition raised for new motor.</t>
  </si>
  <si>
    <t>GKI-2021-177</t>
  </si>
  <si>
    <t>TP201900520211120140958</t>
  </si>
  <si>
    <t>GKI-2021-0110</t>
  </si>
  <si>
    <t>ME Jacket cooling FW pump # 2 leakage from seal</t>
  </si>
  <si>
    <t>Pump was kept standby and overhaul planned at next suitable opportunity</t>
  </si>
  <si>
    <t>Pump overhauling and seal renewal carried out, pump tried out found working in order and no leakages observed. Requisition raised for consumed spares.</t>
  </si>
  <si>
    <t>GKI-2021-183</t>
  </si>
  <si>
    <t>Vessel renewed the sheave and crane tried out, working in order.</t>
  </si>
  <si>
    <t>Index of certificate file not updated</t>
  </si>
  <si>
    <t>Certificate file checked and index updated</t>
  </si>
  <si>
    <t>Due to hectic schedule of the vessel , accomodation front chipping and painting could not be carried out</t>
  </si>
  <si>
    <t>Noted and job planned at next suitable opportunity</t>
  </si>
  <si>
    <t>Due to hectic schedule of the vessel , vent head maintenance could not be carried out</t>
  </si>
  <si>
    <t>Job included in maintenance plan on priority</t>
  </si>
  <si>
    <t>All Ballast tank vent heads inspection, chipping &amp; painting carried out. Photos sent via weekly work done report.</t>
  </si>
  <si>
    <t>Locking latch was fabricated and installed in place for both the cranes</t>
  </si>
  <si>
    <t>Push button glass cover missing</t>
  </si>
  <si>
    <t>Cover fabricated onboard using acrylic sheet and installed in place</t>
  </si>
  <si>
    <t>Material wasted due to corrosion</t>
  </si>
  <si>
    <t>Job planned on priority at next suitable opportunity</t>
  </si>
  <si>
    <t>Planned the job on priority at next suitable opportunity</t>
  </si>
  <si>
    <t>Control block dismantled and all O-rings renewed.Photos sent via weekly work done report.Winch tried out, all working in order without any leakages.</t>
  </si>
  <si>
    <t>Material wasted due to corrosion and ageing</t>
  </si>
  <si>
    <t>Job planned at next suitable opportunity</t>
  </si>
  <si>
    <t xml:space="preserve">Material failure due to corrosion </t>
  </si>
  <si>
    <t>material wastage due to corrosion</t>
  </si>
  <si>
    <t>Pipe section was removed from place. New pipe section was fabricated and installed in place. Pump operation tried out, no leakages observed. Job already reported and closed via DR sender - GKI-2021-090.</t>
  </si>
  <si>
    <t>Fire &amp; ballast pump was isolated and " Do not use " tag was posted. Fire &amp; GS pump was checked for  operational readiness.Commenced with preparation for fabricating of new pipe section.Job planned after departure mumbai.</t>
  </si>
  <si>
    <t>Material damaged due to ageing</t>
  </si>
  <si>
    <t>Vessel planned to renew the lagging on priority</t>
  </si>
  <si>
    <t>Lagging renewed and photos attached in SI inspection observation closure excel file</t>
  </si>
  <si>
    <t>Equipment failure due to ageing</t>
  </si>
  <si>
    <t>Requsiition already raised, Vessel awaiting spares. ER operating in manned condition.</t>
  </si>
  <si>
    <t>GKI-2021-123</t>
  </si>
  <si>
    <t>Hose handling crane top sheave assembly sheave  found broken</t>
  </si>
  <si>
    <t>Spare sheave requisition raised.RA for crane operation reviewed and amended accordingly.Crew briefed regarding the trouble and instructed to minimise use and operation of crane to be carried out under supervision of Senior officers only.</t>
  </si>
  <si>
    <t>vesel renewed the top sheave, crane operation tried out found working in order.</t>
  </si>
  <si>
    <t xml:space="preserve">GKI-2021-149 </t>
  </si>
  <si>
    <t>New motor recieved and installed in place, pump tried out &amp; working in order</t>
  </si>
  <si>
    <t>Material failure due to ageing</t>
  </si>
  <si>
    <t>TP201900520211207103724</t>
  </si>
  <si>
    <t>GKI-2021-0111</t>
  </si>
  <si>
    <t>CDI Inspector</t>
  </si>
  <si>
    <t>Bosun and 1 AB who keep deck cargo watches did not hold advanced chemical training certificates</t>
  </si>
  <si>
    <t>Manning office did not conduct the advance Chemical tanker course - Support level prior joning</t>
  </si>
  <si>
    <t>Informed manning office &amp; Marine PIC. Requested course material to conduct training onboard</t>
  </si>
  <si>
    <t>Training conducted onboard by Master, however certificate will only be issued after crew completes the training ashore after sign off</t>
  </si>
  <si>
    <t>TP201900520211207104548</t>
  </si>
  <si>
    <t>GKI-2021-0112</t>
  </si>
  <si>
    <t>Company emergency procedure dealt with total ECDIS failure. However, detailed procedure for securing chart information was not included.</t>
  </si>
  <si>
    <t>CDI inspector not satisfied with present company procedure for both ECDIS failure</t>
  </si>
  <si>
    <t>TP201900520211207105024</t>
  </si>
  <si>
    <t>GKI-2021-0113</t>
  </si>
  <si>
    <t>Daily working schedule was posted. However, day by day UMS duty schedule was not displayed</t>
  </si>
  <si>
    <t>UMS working schedule was displayed in common places but missed out in ECR.</t>
  </si>
  <si>
    <t>UMS duty schedule posted in ECR</t>
  </si>
  <si>
    <t>Informed Marine PIC, and ship specific RA for both Ecdis failure sent for office review.</t>
  </si>
  <si>
    <t>TP201900520211207105845</t>
  </si>
  <si>
    <t>GKI-2021-0114</t>
  </si>
  <si>
    <t>Aft mooring Rope store was stuffed with material, not in controlled manner and port side ceiling insulation was torn with asbestos exposed</t>
  </si>
  <si>
    <t>Rope store stuffed with scrap material unable to land</t>
  </si>
  <si>
    <t>Damaged lagging repaired during course of inspection. Rope store scrap materials clearing &amp; landing plan discussed with PIC's.</t>
  </si>
  <si>
    <t>Rope store scrap removal completed and kept standby for landing at Singapore.</t>
  </si>
  <si>
    <t xml:space="preserve">23 Nov 2021 - Deformed deck plate renewed by Class approved workshop at Ulsan, Korea. NDT conducted in presence of Class surveyor and COC closed out. </t>
  </si>
  <si>
    <t>v55_2021/12/08 12:15:36</t>
  </si>
  <si>
    <t xml:space="preserve">USR 03/09/21 : After draining 100 lts from tank found no further paint flakes. Tank coating is peeling off at some places. New paint for tank supplied to vessel. Awaiting suitable opportunity. _x000D_
USR 2021/12/08 : Foam pump is working fine and no further paint peeling / clogging strainer. This job will be planned at a suitable opportunity as the paint requires time to cure once tank is emptied and old paint removed and recoating done. </t>
  </si>
  <si>
    <t xml:space="preserve">This job will be planned at a suitable opportunity as the paint requires time to cure once tank is emptied and old paint removed and recoating done. </t>
  </si>
  <si>
    <t xml:space="preserve">USR : Limit switch gearbox got seized and this may have caused the block to hit sheave and damage it. Gearbox has been overhauled and is operational now. New sheave supplied at Dongguan on 1st Nov,2021. Please update once renewed. _x000D_
USR 2021/12/08 : Limit switch gear box overhauled and repaired. Sheave also renewed. Crane tried out and working fine. </t>
  </si>
  <si>
    <t xml:space="preserve">USR 2021/12/08 : Limit switch gear box overhauled and repaired. Sheave also renewed. Crane tried out and working fine. </t>
  </si>
  <si>
    <t>v55_2021/12/08 12:20:54</t>
  </si>
  <si>
    <t xml:space="preserve">USR : Noted file is updated. Please keep it updated in future. </t>
  </si>
  <si>
    <t xml:space="preserve">USR : FIle updated. </t>
  </si>
  <si>
    <t>v55_2021/12/08 12:22:16</t>
  </si>
  <si>
    <t>USR 2021/12/08 : Vent head maintanence suffered due to hectic schedule. Same carried out now.</t>
  </si>
  <si>
    <t xml:space="preserve">USR 2021/12/08 : Maintainence completed on vent heads. </t>
  </si>
  <si>
    <t>v55_2021/12/08 12:30:08</t>
  </si>
  <si>
    <t xml:space="preserve">Broken during use. </t>
  </si>
  <si>
    <t>USR : Locking latch was fabricated and installed in place for both the cranes</t>
  </si>
  <si>
    <t>v55_2021/12/08 12:31:26</t>
  </si>
  <si>
    <t>USR : Cover fabricated onboard using acrylic sheet and installed in place</t>
  </si>
  <si>
    <t>v55_2021/12/08 12:35:39</t>
  </si>
  <si>
    <t xml:space="preserve">USR : Please plan this job so that this can be closed out. </t>
  </si>
  <si>
    <t>USR : Control block dismantled and all O-rings renewed.Winch tried out, all working in order without any leakages.</t>
  </si>
  <si>
    <t>v55_2021/12/08 12:38:48</t>
  </si>
  <si>
    <t xml:space="preserve">USR : Material wastage due to corrosion. </t>
  </si>
  <si>
    <t>USR : Pipe section was removed from place. New pipe section was fabricated and installed in place. Pump operation tried out, no leakages observed.</t>
  </si>
  <si>
    <t>v55_2021/12/08 12:41:26</t>
  </si>
  <si>
    <t>USR : Material damaged due to ageing</t>
  </si>
  <si>
    <t>USR : Lagging renewed.</t>
  </si>
  <si>
    <t>v55_2021/12/08 12:42:31</t>
  </si>
  <si>
    <t xml:space="preserve">USR 2021/12/08 : Possible damage due to malfunction of limit switch. New sheave supplied and renewed. Limit switch repaired and made operational. All in order now. </t>
  </si>
  <si>
    <t>USR 2021/12/08 : New sheave supplied and renewed. Limit switch repaired and made operational.</t>
  </si>
  <si>
    <t>v55_2021/12/08 12:49:20</t>
  </si>
  <si>
    <t xml:space="preserve">USR 2021/12/08 : Order placed. Will connect once part is ready. </t>
  </si>
  <si>
    <t xml:space="preserve">USR 2021/12/08 : Order placed. Should be connected at Singapore around 12 th Dec. </t>
  </si>
  <si>
    <t xml:space="preserve">In accordance with our procedures; bosun and AB act only as a support function to Chief Officer and Duty officers. All critical jobs w.r.t. cargo handling are either carried out under the supervision of the chief officer or a responsible officer having advanced training for handling Oil/Chemical. Mentioned ratings have done basic oil tanker training and are holding support level DCE and are not holding immediate responsibility of the cargo operation. However, company is commited to provide advance chemical operation training to senior ratings as and when available.  </t>
  </si>
  <si>
    <t>Shashank Sharma</t>
  </si>
  <si>
    <t>v55_2021/12/08 14:58:50</t>
  </si>
  <si>
    <t xml:space="preserve">Company procedures are detailed and in order. </t>
  </si>
  <si>
    <t xml:space="preserve">_x000D_
We have detailed procedures for paperless Navigation which include guidance to ship’s staff for the action to be taken in case of the complete ECDIS Failure. Checklists (BDP 09-00G) &amp; (BDP 09-00 E) are part of these procedures and addresses the charting means in case of both the ECDIS failure. Additionally, vessel is provided with take home charts for their trading areas and these charts are kept  updated at all times. _x000D_
_x000D_
After completion of inspection, ship’s staff was further trained regarding the company procedure for the actions to be taken in case of ECDIS failure. The emergency situations can be attended at any given time from the office end.  _x000D_
_x000D_
As part of our information sharing process, this observation has been shared with all fleet vessels to ensure their clear understanding for the actions to be taken in case of both the ECDIS failure procedure._x000D_
</t>
  </si>
  <si>
    <t>v55_2021/12/08 15:00:56</t>
  </si>
  <si>
    <t>This is the fact stated. Company has detailed procedure for Engine room entry under UMS condition and vessel has been following the procedures to enter engine room under UMS mode and as per UMS duty schedule. The recent day to day UMS duty schedule display was inadvertently missed out and displayed immediately upon noticing. The ship staff has been briefed as day to day UMS duty schedule shall be displayed. As part of our information sharing process, the observation has been circulated to the tanker fleet to ensure compliance.</t>
  </si>
  <si>
    <t>v55_2021/12/08 15:02:24</t>
  </si>
  <si>
    <t>This is the fact stated and the mooring store was used to store ropes and material. Upon investigation, it was found that the ceiling insulation was damaged due to general wear and tear. As a corrective easure, the store was rearranged and the necessary ceiling insulation tapes was renewed. The ship's staff has been briefed on keeping the store well arranged and ceiling insulation intact by regular inspections.</t>
  </si>
  <si>
    <t>v55_2021/12/08 15:02:51</t>
  </si>
  <si>
    <t>MMS23</t>
  </si>
  <si>
    <t>MMS12</t>
  </si>
  <si>
    <t>MMS13</t>
  </si>
  <si>
    <t>MMS14</t>
  </si>
  <si>
    <t>ELC03</t>
  </si>
  <si>
    <t>AEQ21</t>
  </si>
  <si>
    <t>DCR</t>
  </si>
  <si>
    <t>DCR01</t>
  </si>
  <si>
    <t>DSH</t>
  </si>
  <si>
    <t>DSH04</t>
  </si>
  <si>
    <t xml:space="preserve">Rusted support bar was cut down by cutting wheel.Area de-rusting and painting done, support bar is in good order. </t>
  </si>
  <si>
    <t xml:space="preserve">USR : Bearing housings worn down due to age. </t>
  </si>
  <si>
    <t xml:space="preserve">USR : New motor supplied and fitted. </t>
  </si>
  <si>
    <t xml:space="preserve">USR:Pump overhauling and seal renewal carried out, pump tried out found working in order and no leakages observed. </t>
  </si>
  <si>
    <t>v55_2021/12/11 08:56:01</t>
  </si>
  <si>
    <t>New sight glass recieved &amp; installed in place. FWG tried out , working satisfactory.</t>
  </si>
  <si>
    <t>5 nos. of lights received and installed in place on 12-Nov 2021.1nos floodlight still pending for renewal ,awaiting spares. New floodlight recievd and installed in place.</t>
  </si>
  <si>
    <t>TP201900520220106121112</t>
  </si>
  <si>
    <t>GKI-2021-0115</t>
  </si>
  <si>
    <t>Pump room bilge pump not working</t>
  </si>
  <si>
    <t>Worned and seized bilge pump parts.</t>
  </si>
  <si>
    <t xml:space="preserve">Bilge dismantled for troubleshooting and found bilge pump all valves seized, missing clamp for suction strainer,Suction globe valve found sei zed,Piston &amp; con rod assembly removed and found rubbing marks on piston. _x000D_
</t>
  </si>
  <si>
    <t xml:space="preserve">Valve box was de-rusted &amp; overhauled,piston rings not renewed as no spare available.Clamp for suction filter fabricated , globe valve overhauled.Pump  tried out after assembly , found working in order._x000D_
</t>
  </si>
  <si>
    <t>Accomodation Front to be chipped and painted</t>
  </si>
  <si>
    <t>v55_2022/01/06 16:47:23</t>
  </si>
  <si>
    <t xml:space="preserve">Vessel on hectic schedule. Job will be planned at suitable opportunity, weather permitting. </t>
  </si>
  <si>
    <t>v55_2022/01/06 16:53:45</t>
  </si>
  <si>
    <t xml:space="preserve">USR 2021/12/08 : Please plan this and carry out the maintainence at the earliest possible. _x000D_
USR 2022/01/06 : Please advise status / plan. Only rusted area / weeping stains need to be addressed. </t>
  </si>
  <si>
    <t>v55_2022/01/06 16:54:33</t>
  </si>
  <si>
    <t xml:space="preserve">USR 2021/12/08 : Please plan this job soon. _x000D_
USR 2022/01/06 : Please check if possible to do hot work by covering cables. </t>
  </si>
  <si>
    <t xml:space="preserve">Awating suitable opportunity. Vessel on a hectic schedule and mostly loaded. Need gas free/ballast condition. </t>
  </si>
  <si>
    <t>v55_2022/01/06 16:55:51</t>
  </si>
  <si>
    <t>USR : Please repair / renew the hinges and revert. _x000D_
USR 2022/01/06  : Please advise planning</t>
  </si>
  <si>
    <t>v55_2022/01/06 16:56:36</t>
  </si>
  <si>
    <t xml:space="preserve">USR 2021/12/08 : Top pipe renewed but slight leak due to possible leak from distributor and possible blockage of bottom pipe drain. New bottom pipe with distributor has been ordered and will supply as soon as they are ready. _x000D_
USR 2022/01/06 : NEw set of HP pipes supplied. Understand presently no leakages. </t>
  </si>
  <si>
    <t xml:space="preserve">Spares ordered, has a long lead time. Will supply once ready. </t>
  </si>
  <si>
    <t>New sight glass procured &amp; installed in place. FWG tried out , Working satisfactory.</t>
  </si>
  <si>
    <t>v55_2022/01/06 17:02:21</t>
  </si>
  <si>
    <t>v55_2022/01/06 17:02:29</t>
  </si>
  <si>
    <t xml:space="preserve">USR 2022/01/06  :New floodlights supplied and defective ones replaced. </t>
  </si>
  <si>
    <t>v55_2022/01/06 17:03:30</t>
  </si>
  <si>
    <t xml:space="preserve">USR 2022/01/06 : Pump overhauled and tried out, working fine. </t>
  </si>
  <si>
    <t>v55_2022/01/06 17:06:20</t>
  </si>
  <si>
    <t>Spares have a long lead time. Will connect once ready.</t>
  </si>
  <si>
    <t>v55_2022/01/10 10:45:23</t>
  </si>
  <si>
    <t>v55_2022/02/22 3:33:26 PM</t>
  </si>
  <si>
    <t>MMS11</t>
  </si>
  <si>
    <t xml:space="preserve">Glass had to be ordered and cut to size and connected to vessel at convenient port. </t>
  </si>
  <si>
    <t>v55_2022/02/25 7:45:58 PM</t>
  </si>
  <si>
    <t xml:space="preserve">Shall be planned at next available oportunity._x000D_
USR:   Repairs completed at Ulsan on 23 Nov 2021 and COC closed. </t>
  </si>
  <si>
    <t>COC extended by Class as unable to find suitbale workshop</t>
  </si>
  <si>
    <t>v55_2022/02/25 7:53:01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</si>
</sst>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mm"/>
    <numFmt numFmtId="165" formatCode="yyyy\-mm\-dd;@"/>
  </numFmts>
  <fonts count="32" x14ac:knownFonts="1">
    <font>
      <sz val="11"/>
      <name val="ＭＳ Ｐゴシック"/>
      <family val="3"/>
      <charset val="128"/>
    </font>
    <font>
      <sz val="11"/>
      <color theme="1"/>
      <name val="Calibri"/>
      <family val="2"/>
      <scheme val="minor"/>
    </font>
    <font>
      <sz val="11"/>
      <color theme="1"/>
      <name val="Calibri"/>
      <family val="2"/>
      <scheme val="minor"/>
    </font>
    <font>
      <sz val="6"/>
      <name val="ＭＳ Ｐゴシック"/>
      <family val="3"/>
      <charset val="128"/>
    </font>
    <font>
      <u/>
      <sz val="11"/>
      <color indexed="12"/>
      <name val="ＭＳ Ｐゴシック"/>
      <family val="3"/>
      <charset val="128"/>
    </font>
    <font>
      <sz val="11"/>
      <name val="Arial"/>
      <family val="2"/>
    </font>
    <font>
      <sz val="11"/>
      <color indexed="12"/>
      <name val="Arial"/>
      <family val="2"/>
    </font>
    <font>
      <b/>
      <sz val="9"/>
      <name val="Arial"/>
      <family val="2"/>
    </font>
    <font>
      <sz val="9"/>
      <name val="Arial"/>
      <family val="2"/>
    </font>
    <font>
      <sz val="10"/>
      <name val="Arial"/>
      <family val="2"/>
    </font>
    <font>
      <sz val="6"/>
      <name val="Arial"/>
      <family val="2"/>
    </font>
    <font>
      <sz val="11"/>
      <color indexed="10"/>
      <name val="Arial"/>
      <family val="2"/>
    </font>
    <font>
      <b/>
      <sz val="11"/>
      <name val="Arial"/>
      <family val="2"/>
    </font>
    <font>
      <b/>
      <sz val="8"/>
      <name val="Calibri"/>
      <family val="2"/>
    </font>
    <font>
      <b/>
      <sz val="8"/>
      <name val="Times New Roman"/>
      <family val="1"/>
    </font>
    <font>
      <b/>
      <sz val="9"/>
      <color theme="1" tint="4.9989318521683403E-2"/>
      <name val="Arial"/>
      <family val="2"/>
    </font>
    <font>
      <b/>
      <sz val="11"/>
      <color theme="1" tint="4.9989318521683403E-2"/>
      <name val="Arial"/>
      <family val="2"/>
    </font>
    <font>
      <b/>
      <sz val="10"/>
      <name val="Arial"/>
      <family val="2"/>
    </font>
    <font>
      <b/>
      <sz val="22"/>
      <name val="Arial"/>
      <family val="2"/>
    </font>
    <font>
      <sz val="22"/>
      <name val="Arial"/>
      <family val="2"/>
    </font>
    <font>
      <sz val="12"/>
      <name val="Arial"/>
      <family val="2"/>
    </font>
    <font>
      <sz val="11"/>
      <name val="MS Reference Sans Serif"/>
      <family val="2"/>
    </font>
    <font>
      <sz val="10"/>
      <color theme="1"/>
      <name val="Arial"/>
      <family val="2"/>
    </font>
    <font>
      <b/>
      <sz val="10"/>
      <color theme="1"/>
      <name val="Arial"/>
      <family val="2"/>
    </font>
    <font>
      <sz val="11"/>
      <color rgb="FF4D5156"/>
      <name val="Arial"/>
      <family val="2"/>
    </font>
    <font>
      <b/>
      <sz val="11"/>
      <color theme="1"/>
      <name val="Calibri"/>
      <family val="2"/>
      <scheme val="minor"/>
    </font>
    <font>
      <sz val="10"/>
      <color indexed="10"/>
      <name val="Arial"/>
      <family val="2"/>
    </font>
    <font>
      <sz val="10"/>
      <name val="MS Reference Sans Serif"/>
      <family val="2"/>
    </font>
    <font>
      <b/>
      <sz val="10"/>
      <color rgb="FFFF0000"/>
      <name val="Arial"/>
      <family val="2"/>
    </font>
    <font>
      <sz val="11"/>
      <name val="MS Reference Sans Serif"/>
    </font>
    <font>
      <sz val="11"/>
      <color rgb="FFFF0000"/>
      <name val="Calibri"/>
      <family val="2"/>
    </font>
    <font>
      <sz val="10"/>
      <color indexed="12"/>
      <name val="Arial"/>
      <family val="2"/>
    </font>
  </fonts>
  <fills count="16">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44"/>
        <bgColor indexed="64"/>
      </patternFill>
    </fill>
    <fill>
      <patternFill patternType="solid">
        <fgColor indexed="11"/>
        <bgColor indexed="64"/>
      </patternFill>
    </fill>
    <fill>
      <patternFill patternType="solid">
        <fgColor indexed="46"/>
        <bgColor indexed="64"/>
      </patternFill>
    </fill>
    <fill>
      <patternFill patternType="solid">
        <fgColor indexed="45"/>
        <bgColor indexed="64"/>
      </patternFill>
    </fill>
    <fill>
      <patternFill patternType="solid">
        <fgColor indexed="13"/>
        <bgColor indexed="64"/>
      </patternFill>
    </fill>
    <fill>
      <patternFill patternType="solid">
        <fgColor indexed="53"/>
        <bgColor indexed="64"/>
      </patternFill>
    </fill>
    <fill>
      <patternFill patternType="solid">
        <fgColor theme="3" tint="0.59999389629810485"/>
        <bgColor indexed="64"/>
      </patternFill>
    </fill>
    <fill>
      <patternFill patternType="solid">
        <fgColor theme="6" tint="0.59999389629810485"/>
        <bgColor indexed="64"/>
      </patternFill>
    </fill>
    <fill>
      <patternFill patternType="solid">
        <fgColor theme="0"/>
        <bgColor indexed="64"/>
      </patternFill>
    </fill>
    <fill>
      <patternFill patternType="solid">
        <fgColor theme="4"/>
        <bgColor theme="4"/>
      </patternFill>
    </fill>
    <fill>
      <patternFill patternType="solid">
        <fgColor theme="3" tint="0.79998168889431442"/>
        <bgColor indexed="64"/>
      </patternFill>
    </fill>
    <fill>
      <patternFill patternType="solid">
        <fgColor indexed="9"/>
        <bgColor indexed="64"/>
      </patternFill>
    </fill>
  </fills>
  <borders count="17">
    <border>
      <left/>
      <right/>
      <top/>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right/>
      <top style="thin">
        <color indexed="64"/>
      </top>
      <bottom/>
      <diagonal/>
    </border>
    <border>
      <left style="medium">
        <color indexed="64"/>
      </left>
      <right style="medium">
        <color indexed="64"/>
      </right>
      <top/>
      <bottom/>
      <diagonal/>
    </border>
    <border>
      <left style="thin">
        <color indexed="64"/>
      </left>
      <right/>
      <top/>
      <bottom/>
      <diagonal/>
    </border>
  </borders>
  <cellStyleXfs count="3">
    <xf numFmtId="0" fontId="0" fillId="0" borderId="0"/>
    <xf numFmtId="0" fontId="4" fillId="0" borderId="0" applyNumberFormat="0" applyFill="0" applyBorder="0" applyAlignment="0" applyProtection="0">
      <alignment vertical="top"/>
      <protection locked="0"/>
    </xf>
    <xf numFmtId="0" fontId="2" fillId="0" borderId="0"/>
  </cellStyleXfs>
  <cellXfs count="135">
    <xf numFmtId="0" fontId="0" fillId="0" borderId="0" xfId="0"/>
    <xf numFmtId="0" fontId="7" fillId="2" borderId="4" xfId="0" applyFont="1" applyFill="1" applyBorder="1" applyAlignment="1" applyProtection="1">
      <alignment horizontal="center" vertical="center" wrapText="1" shrinkToFit="1"/>
    </xf>
    <xf numFmtId="0" fontId="5" fillId="0" borderId="0" xfId="0" applyFont="1" applyFill="1" applyProtection="1"/>
    <xf numFmtId="0" fontId="5" fillId="0" borderId="0" xfId="0" applyFont="1" applyFill="1" applyAlignment="1" applyProtection="1">
      <alignment horizontal="center"/>
    </xf>
    <xf numFmtId="0" fontId="7" fillId="2" borderId="5" xfId="0" applyFont="1" applyFill="1" applyBorder="1" applyAlignment="1" applyProtection="1">
      <alignment horizontal="center" vertical="center" wrapText="1" shrinkToFit="1"/>
    </xf>
    <xf numFmtId="0" fontId="8" fillId="2" borderId="5" xfId="0" applyFont="1" applyFill="1" applyBorder="1" applyAlignment="1" applyProtection="1">
      <alignment horizontal="center" vertical="center" wrapText="1" shrinkToFit="1"/>
    </xf>
    <xf numFmtId="0" fontId="8" fillId="4" borderId="5" xfId="0" applyFont="1" applyFill="1" applyBorder="1" applyAlignment="1" applyProtection="1">
      <alignment horizontal="center" vertical="center" wrapText="1" shrinkToFit="1"/>
    </xf>
    <xf numFmtId="0" fontId="7" fillId="4" borderId="5" xfId="0" applyFont="1" applyFill="1" applyBorder="1" applyAlignment="1" applyProtection="1">
      <alignment horizontal="center" vertical="center" wrapText="1" shrinkToFit="1"/>
    </xf>
    <xf numFmtId="0" fontId="9" fillId="0" borderId="0" xfId="0" applyFont="1" applyAlignment="1" applyProtection="1">
      <alignment horizontal="justify"/>
    </xf>
    <xf numFmtId="0" fontId="10" fillId="0" borderId="0" xfId="0" applyFont="1" applyAlignment="1" applyProtection="1">
      <alignment horizontal="justify"/>
    </xf>
    <xf numFmtId="22" fontId="5" fillId="0" borderId="0" xfId="0" applyNumberFormat="1" applyFont="1" applyAlignment="1" applyProtection="1">
      <alignment horizontal="left"/>
    </xf>
    <xf numFmtId="0" fontId="5" fillId="0" borderId="0" xfId="0" applyFont="1" applyAlignment="1" applyProtection="1">
      <alignment horizontal="left"/>
    </xf>
    <xf numFmtId="0" fontId="5" fillId="0" borderId="0" xfId="0" applyFont="1" applyAlignment="1" applyProtection="1">
      <alignment horizontal="center"/>
    </xf>
    <xf numFmtId="49" fontId="5" fillId="3" borderId="2" xfId="0" applyNumberFormat="1" applyFont="1" applyFill="1" applyBorder="1" applyAlignment="1" applyProtection="1">
      <alignment horizontal="center" vertical="center"/>
      <protection locked="0"/>
    </xf>
    <xf numFmtId="0" fontId="5" fillId="0" borderId="0" xfId="0" applyFont="1" applyAlignment="1" applyProtection="1"/>
    <xf numFmtId="0" fontId="5" fillId="2" borderId="1" xfId="0" applyFont="1" applyFill="1" applyBorder="1" applyAlignment="1" applyProtection="1"/>
    <xf numFmtId="49" fontId="5" fillId="0" borderId="0" xfId="0" applyNumberFormat="1" applyFont="1" applyAlignment="1" applyProtection="1"/>
    <xf numFmtId="0" fontId="0" fillId="0" borderId="0" xfId="0" applyAlignment="1"/>
    <xf numFmtId="0" fontId="12" fillId="0" borderId="0" xfId="0" applyFont="1" applyFill="1" applyAlignment="1" applyProtection="1">
      <alignment wrapText="1"/>
    </xf>
    <xf numFmtId="14" fontId="5" fillId="2" borderId="1" xfId="0" applyNumberFormat="1" applyFont="1" applyFill="1" applyBorder="1" applyAlignment="1" applyProtection="1"/>
    <xf numFmtId="0" fontId="5" fillId="3" borderId="3" xfId="0" applyNumberFormat="1" applyFont="1" applyFill="1" applyBorder="1" applyAlignment="1" applyProtection="1">
      <alignment horizontal="center" vertical="center"/>
      <protection locked="0"/>
    </xf>
    <xf numFmtId="0" fontId="12" fillId="0" borderId="0" xfId="0" applyFont="1" applyFill="1" applyAlignment="1" applyProtection="1"/>
    <xf numFmtId="0" fontId="5" fillId="0" borderId="0" xfId="0" applyNumberFormat="1" applyFont="1" applyAlignment="1" applyProtection="1">
      <alignment wrapText="1"/>
    </xf>
    <xf numFmtId="0" fontId="13" fillId="0" borderId="3" xfId="0" applyFont="1" applyBorder="1" applyAlignment="1">
      <alignment vertical="center" wrapText="1"/>
    </xf>
    <xf numFmtId="14" fontId="5" fillId="3" borderId="2" xfId="0" applyNumberFormat="1" applyFont="1" applyFill="1" applyBorder="1" applyAlignment="1" applyProtection="1">
      <alignment horizontal="center" vertical="center"/>
    </xf>
    <xf numFmtId="0" fontId="8" fillId="2" borderId="4" xfId="0" applyFont="1" applyFill="1" applyBorder="1" applyAlignment="1" applyProtection="1">
      <alignment horizontal="center" vertical="center" shrinkToFit="1"/>
    </xf>
    <xf numFmtId="0" fontId="8" fillId="4" borderId="4" xfId="0" applyFont="1" applyFill="1" applyBorder="1" applyAlignment="1" applyProtection="1">
      <alignment horizontal="center" vertical="center" shrinkToFit="1"/>
    </xf>
    <xf numFmtId="0" fontId="5" fillId="0" borderId="0" xfId="0" applyFont="1" applyFill="1" applyAlignment="1" applyProtection="1"/>
    <xf numFmtId="0" fontId="5" fillId="0" borderId="0" xfId="0" applyFont="1" applyAlignment="1"/>
    <xf numFmtId="0" fontId="5" fillId="5" borderId="0" xfId="0" applyFont="1" applyFill="1" applyAlignment="1" applyProtection="1"/>
    <xf numFmtId="0" fontId="5" fillId="6" borderId="0" xfId="0" applyFont="1" applyFill="1" applyAlignment="1" applyProtection="1"/>
    <xf numFmtId="0" fontId="13" fillId="0" borderId="13" xfId="0" applyFont="1" applyBorder="1" applyAlignment="1">
      <alignment vertical="center"/>
    </xf>
    <xf numFmtId="0" fontId="5" fillId="4" borderId="0" xfId="0" applyFont="1" applyFill="1" applyAlignment="1" applyProtection="1"/>
    <xf numFmtId="0" fontId="13" fillId="0" borderId="3" xfId="0" applyFont="1" applyBorder="1" applyAlignment="1">
      <alignment vertical="center"/>
    </xf>
    <xf numFmtId="0" fontId="5" fillId="2" borderId="0" xfId="0" applyFont="1" applyFill="1" applyAlignment="1" applyProtection="1"/>
    <xf numFmtId="0" fontId="5" fillId="7" borderId="0" xfId="0" applyFont="1" applyFill="1" applyAlignment="1" applyProtection="1"/>
    <xf numFmtId="0" fontId="14" fillId="0" borderId="3" xfId="0" applyFont="1" applyBorder="1" applyAlignment="1">
      <alignment vertical="center"/>
    </xf>
    <xf numFmtId="0" fontId="5" fillId="8" borderId="0" xfId="0" applyFont="1" applyFill="1" applyAlignment="1" applyProtection="1"/>
    <xf numFmtId="0" fontId="5" fillId="9" borderId="0" xfId="0" applyFont="1" applyFill="1" applyAlignment="1" applyProtection="1"/>
    <xf numFmtId="0" fontId="5" fillId="2" borderId="0" xfId="0" applyFont="1" applyFill="1" applyBorder="1" applyAlignment="1" applyProtection="1"/>
    <xf numFmtId="0" fontId="5" fillId="2" borderId="6" xfId="0" applyFont="1" applyFill="1" applyBorder="1" applyAlignment="1" applyProtection="1"/>
    <xf numFmtId="0" fontId="5" fillId="2" borderId="7" xfId="0" applyFont="1" applyFill="1" applyBorder="1" applyAlignment="1" applyProtection="1"/>
    <xf numFmtId="0" fontId="5" fillId="2" borderId="8" xfId="0" applyFont="1" applyFill="1" applyBorder="1" applyAlignment="1" applyProtection="1"/>
    <xf numFmtId="0" fontId="5" fillId="2" borderId="9" xfId="0" applyFont="1" applyFill="1" applyBorder="1" applyAlignment="1" applyProtection="1"/>
    <xf numFmtId="0" fontId="11" fillId="2" borderId="7" xfId="0" applyFont="1" applyFill="1" applyBorder="1" applyAlignment="1" applyProtection="1"/>
    <xf numFmtId="0" fontId="5" fillId="0" borderId="0" xfId="0" applyFont="1" applyAlignment="1" applyProtection="1">
      <alignment wrapText="1"/>
    </xf>
    <xf numFmtId="0" fontId="5" fillId="8" borderId="0" xfId="0" applyFont="1" applyFill="1" applyAlignment="1" applyProtection="1">
      <alignment wrapText="1"/>
    </xf>
    <xf numFmtId="0" fontId="5" fillId="5" borderId="0" xfId="0" applyFont="1" applyFill="1" applyAlignment="1" applyProtection="1">
      <alignment wrapText="1"/>
    </xf>
    <xf numFmtId="0" fontId="5" fillId="2" borderId="0" xfId="0" applyFont="1" applyFill="1" applyAlignment="1" applyProtection="1">
      <alignment wrapText="1"/>
    </xf>
    <xf numFmtId="0" fontId="5" fillId="6" borderId="0" xfId="0" applyFont="1" applyFill="1" applyAlignment="1" applyProtection="1">
      <alignment wrapText="1"/>
    </xf>
    <xf numFmtId="0" fontId="9" fillId="0" borderId="0" xfId="0" applyFont="1" applyAlignment="1" applyProtection="1">
      <alignment horizontal="justify" wrapText="1"/>
    </xf>
    <xf numFmtId="0" fontId="10" fillId="0" borderId="0" xfId="0" applyFont="1" applyAlignment="1" applyProtection="1">
      <alignment horizontal="justify" wrapText="1"/>
    </xf>
    <xf numFmtId="0" fontId="2" fillId="0" borderId="0" xfId="2" applyAlignment="1">
      <alignment horizontal="left"/>
    </xf>
    <xf numFmtId="0" fontId="2" fillId="0" borderId="0" xfId="2"/>
    <xf numFmtId="0" fontId="19" fillId="0" borderId="0" xfId="0" applyFont="1" applyAlignment="1">
      <alignment vertical="center"/>
    </xf>
    <xf numFmtId="0" fontId="5" fillId="0" borderId="0" xfId="0" applyFont="1" applyAlignment="1">
      <alignment horizontal="center" vertical="center"/>
    </xf>
    <xf numFmtId="0" fontId="12" fillId="0" borderId="0" xfId="0" applyFont="1" applyAlignment="1">
      <alignment vertical="center"/>
    </xf>
    <xf numFmtId="0" fontId="5" fillId="0" borderId="0" xfId="0" applyFont="1" applyAlignment="1">
      <alignment vertical="center"/>
    </xf>
    <xf numFmtId="0" fontId="5" fillId="0" borderId="8" xfId="0" applyFont="1" applyBorder="1" applyAlignment="1">
      <alignment horizontal="center" vertical="center"/>
    </xf>
    <xf numFmtId="0" fontId="5" fillId="0" borderId="10" xfId="0" applyFont="1" applyBorder="1" applyAlignment="1">
      <alignment horizontal="center" vertical="center"/>
    </xf>
    <xf numFmtId="0" fontId="5" fillId="0" borderId="11" xfId="0" applyFont="1" applyBorder="1" applyAlignment="1">
      <alignment vertical="center"/>
    </xf>
    <xf numFmtId="0" fontId="9" fillId="0" borderId="5" xfId="0" applyFont="1" applyBorder="1" applyAlignment="1">
      <alignment horizontal="center" vertical="center" wrapText="1"/>
    </xf>
    <xf numFmtId="0" fontId="9" fillId="0" borderId="5" xfId="0" applyFont="1" applyBorder="1" applyAlignment="1">
      <alignment vertical="center" wrapText="1"/>
    </xf>
    <xf numFmtId="0" fontId="9" fillId="0" borderId="9" xfId="0" applyFont="1" applyBorder="1" applyAlignment="1">
      <alignment horizontal="center" vertical="center" wrapText="1"/>
    </xf>
    <xf numFmtId="0" fontId="17" fillId="0" borderId="5" xfId="0" applyFont="1" applyBorder="1" applyAlignment="1">
      <alignment horizontal="center" vertical="center" wrapText="1"/>
    </xf>
    <xf numFmtId="0" fontId="9" fillId="0" borderId="1" xfId="0" applyFont="1" applyBorder="1" applyAlignment="1">
      <alignment vertical="center" wrapText="1"/>
    </xf>
    <xf numFmtId="0" fontId="9" fillId="0" borderId="6" xfId="0" applyFont="1" applyBorder="1" applyAlignment="1">
      <alignment horizontal="center" vertical="center" wrapText="1"/>
    </xf>
    <xf numFmtId="0" fontId="17" fillId="0" borderId="4" xfId="0" applyFont="1" applyBorder="1" applyAlignment="1">
      <alignment horizontal="center" vertical="center" wrapText="1"/>
    </xf>
    <xf numFmtId="0" fontId="9" fillId="0" borderId="12" xfId="0" applyFont="1" applyBorder="1" applyAlignment="1">
      <alignment vertical="center" wrapText="1"/>
    </xf>
    <xf numFmtId="0" fontId="9" fillId="0" borderId="4" xfId="0" applyFont="1" applyBorder="1" applyAlignment="1">
      <alignment horizontal="center" vertical="center" wrapText="1"/>
    </xf>
    <xf numFmtId="0" fontId="9" fillId="0" borderId="0" xfId="0" applyFont="1" applyAlignment="1">
      <alignment vertical="center" wrapText="1"/>
    </xf>
    <xf numFmtId="0" fontId="9" fillId="0" borderId="0" xfId="0" applyFont="1" applyAlignment="1">
      <alignment vertical="center"/>
    </xf>
    <xf numFmtId="0" fontId="20" fillId="0" borderId="0" xfId="0" applyFont="1" applyAlignment="1">
      <alignment horizontal="left" vertical="center"/>
    </xf>
    <xf numFmtId="0" fontId="5" fillId="12" borderId="0" xfId="0" applyFont="1" applyFill="1" applyAlignment="1">
      <alignment vertical="center"/>
    </xf>
    <xf numFmtId="0" fontId="9" fillId="12" borderId="0" xfId="0" applyFont="1" applyFill="1" applyAlignment="1">
      <alignment vertical="center" wrapText="1"/>
    </xf>
    <xf numFmtId="0" fontId="19" fillId="12" borderId="0" xfId="0" applyFont="1" applyFill="1" applyAlignment="1">
      <alignment vertical="center"/>
    </xf>
    <xf numFmtId="0" fontId="5" fillId="0" borderId="0" xfId="0" applyFont="1" applyFill="1" applyBorder="1" applyAlignment="1" applyProtection="1"/>
    <xf numFmtId="0" fontId="5" fillId="2" borderId="12" xfId="0" applyFont="1" applyFill="1" applyBorder="1" applyAlignment="1" applyProtection="1"/>
    <xf numFmtId="0" fontId="9" fillId="0" borderId="4" xfId="0" applyFont="1" applyBorder="1" applyAlignment="1">
      <alignment vertical="center" wrapText="1"/>
    </xf>
    <xf numFmtId="1" fontId="5" fillId="3" borderId="15" xfId="0" applyNumberFormat="1" applyFont="1" applyFill="1" applyBorder="1" applyAlignment="1" applyProtection="1">
      <alignment horizontal="center" vertical="center"/>
    </xf>
    <xf numFmtId="0" fontId="21" fillId="0" borderId="0" xfId="0" applyFont="1"/>
    <xf numFmtId="0" fontId="5" fillId="0" borderId="0" xfId="0" applyFont="1"/>
    <xf numFmtId="0" fontId="5" fillId="3" borderId="2" xfId="0" applyNumberFormat="1" applyFont="1" applyFill="1" applyBorder="1" applyAlignment="1" applyProtection="1">
      <alignment horizontal="center" vertical="center"/>
    </xf>
    <xf numFmtId="0" fontId="15" fillId="2" borderId="12" xfId="0" applyFont="1" applyFill="1" applyBorder="1" applyAlignment="1">
      <alignment horizontal="center" vertical="center" wrapText="1" shrinkToFit="1"/>
    </xf>
    <xf numFmtId="0" fontId="15" fillId="2" borderId="12" xfId="0" applyFont="1" applyFill="1" applyBorder="1" applyAlignment="1">
      <alignment horizontal="center" vertical="center" wrapText="1"/>
    </xf>
    <xf numFmtId="0" fontId="15" fillId="4" borderId="12" xfId="0" applyFont="1" applyFill="1" applyBorder="1" applyAlignment="1">
      <alignment horizontal="center" vertical="center" wrapText="1" shrinkToFit="1"/>
    </xf>
    <xf numFmtId="0" fontId="16" fillId="13" borderId="12" xfId="0" applyFont="1" applyFill="1" applyBorder="1" applyAlignment="1">
      <alignment horizontal="center" vertical="center" wrapText="1"/>
    </xf>
    <xf numFmtId="0" fontId="16" fillId="11" borderId="12" xfId="0" applyFont="1" applyFill="1" applyBorder="1" applyAlignment="1">
      <alignment horizontal="center" vertical="center" wrapText="1"/>
    </xf>
    <xf numFmtId="0" fontId="16" fillId="11" borderId="12" xfId="0" applyNumberFormat="1" applyFont="1" applyFill="1" applyBorder="1" applyAlignment="1">
      <alignment horizontal="center" vertical="center" wrapText="1"/>
    </xf>
    <xf numFmtId="0" fontId="16" fillId="11" borderId="4" xfId="0" applyFont="1" applyFill="1" applyBorder="1" applyAlignment="1">
      <alignment horizontal="center" vertical="center" wrapText="1"/>
    </xf>
    <xf numFmtId="49" fontId="22" fillId="0" borderId="1" xfId="0" applyNumberFormat="1" applyFont="1" applyBorder="1" applyAlignment="1"/>
    <xf numFmtId="14" fontId="22" fillId="0" borderId="1" xfId="0" applyNumberFormat="1" applyFont="1" applyBorder="1" applyAlignment="1"/>
    <xf numFmtId="49" fontId="22" fillId="0" borderId="1" xfId="0" applyNumberFormat="1" applyFont="1" applyBorder="1" applyAlignment="1">
      <alignment horizontal="right"/>
    </xf>
    <xf numFmtId="49" fontId="22" fillId="0" borderId="1" xfId="0" applyNumberFormat="1" applyFont="1" applyBorder="1" applyAlignment="1">
      <alignment horizontal="center"/>
    </xf>
    <xf numFmtId="1" fontId="22" fillId="0" borderId="1" xfId="0" applyNumberFormat="1" applyFont="1" applyBorder="1" applyAlignment="1">
      <alignment horizontal="center"/>
    </xf>
    <xf numFmtId="164" fontId="22" fillId="0" borderId="1" xfId="0" applyNumberFormat="1" applyFont="1" applyBorder="1" applyAlignment="1"/>
    <xf numFmtId="0" fontId="23" fillId="0" borderId="1" xfId="0" applyFont="1" applyBorder="1" applyAlignment="1"/>
    <xf numFmtId="14" fontId="22" fillId="0" borderId="5" xfId="0" applyNumberFormat="1" applyFont="1" applyBorder="1" applyAlignment="1"/>
    <xf numFmtId="0" fontId="4" fillId="0" borderId="0" xfId="1" applyFill="1" applyAlignment="1" applyProtection="1"/>
    <xf numFmtId="0" fontId="0" fillId="0" borderId="0" xfId="0" applyAlignment="1">
      <alignment wrapText="1"/>
    </xf>
    <xf numFmtId="0" fontId="21" fillId="0" borderId="0" xfId="0" applyFont="1" applyAlignment="1" applyProtection="1"/>
    <xf numFmtId="0" fontId="5" fillId="2" borderId="6" xfId="0" applyFont="1" applyFill="1" applyBorder="1"/>
    <xf numFmtId="0" fontId="24" fillId="0" borderId="0" xfId="0" applyFont="1"/>
    <xf numFmtId="0" fontId="2" fillId="0" borderId="0" xfId="2" applyAlignment="1">
      <alignment wrapText="1"/>
    </xf>
    <xf numFmtId="0" fontId="1" fillId="0" borderId="5" xfId="2" applyFont="1" applyBorder="1" applyAlignment="1">
      <alignment horizontal="left" vertical="center" wrapText="1"/>
    </xf>
    <xf numFmtId="0" fontId="2" fillId="0" borderId="5" xfId="2" applyBorder="1" applyAlignment="1">
      <alignment horizontal="left" vertical="center" wrapText="1"/>
    </xf>
    <xf numFmtId="0" fontId="25" fillId="14" borderId="5" xfId="2" applyFont="1" applyFill="1" applyBorder="1" applyAlignment="1">
      <alignment horizontal="center" vertical="center" wrapText="1"/>
    </xf>
    <xf numFmtId="0" fontId="22" fillId="0" borderId="1" xfId="0" applyFont="1" applyBorder="1" applyAlignment="1">
      <alignment horizontal="center"/>
    </xf>
    <xf numFmtId="0" fontId="22" fillId="0" borderId="1" xfId="0" applyFont="1" applyBorder="1" applyAlignment="1"/>
    <xf numFmtId="49" fontId="26" fillId="15" borderId="16" xfId="0" applyNumberFormat="1" applyFont="1" applyFill="1" applyBorder="1" applyAlignment="1"/>
    <xf numFmtId="0" fontId="5" fillId="0" borderId="0" xfId="0" applyFont="1" applyAlignment="1" applyProtection="1">
      <alignment horizontal="right"/>
    </xf>
    <xf numFmtId="0" fontId="5" fillId="0" borderId="0" xfId="0" applyFont="1" applyAlignment="1" applyProtection="1">
      <alignment horizontal="right" wrapText="1"/>
    </xf>
    <xf numFmtId="0" fontId="27" fillId="0" borderId="0" xfId="0" applyFont="1"/>
    <xf numFmtId="0" fontId="28" fillId="0" borderId="4" xfId="0" applyFont="1" applyBorder="1" applyAlignment="1">
      <alignment vertical="center" wrapText="1"/>
    </xf>
    <xf numFmtId="0" fontId="29" fillId="0" borderId="0" xfId="0" applyFont="1" applyAlignment="1" applyProtection="1"/>
    <xf numFmtId="1" fontId="21" fillId="0" borderId="0" xfId="0" applyNumberFormat="1" applyFont="1"/>
    <xf numFmtId="0" fontId="30" fillId="0" borderId="0" xfId="0" applyFont="1"/>
    <xf numFmtId="49" fontId="31" fillId="15" borderId="1" xfId="0" applyNumberFormat="1" applyFont="1" applyFill="1" applyBorder="1" applyAlignment="1"/>
    <xf numFmtId="14" fontId="31" fillId="15" borderId="1" xfId="0" applyNumberFormat="1" applyFont="1" applyFill="1" applyBorder="1" applyAlignment="1"/>
    <xf numFmtId="0" fontId="31" fillId="15" borderId="1" xfId="0" applyFont="1" applyFill="1" applyBorder="1" applyAlignment="1"/>
    <xf numFmtId="49" fontId="31" fillId="15" borderId="1" xfId="0" applyNumberFormat="1" applyFont="1" applyFill="1" applyBorder="1" applyAlignment="1">
      <alignment horizontal="right"/>
    </xf>
    <xf numFmtId="49" fontId="31" fillId="15" borderId="1" xfId="0" applyNumberFormat="1" applyFont="1" applyFill="1" applyBorder="1" applyAlignment="1">
      <alignment horizontal="center"/>
    </xf>
    <xf numFmtId="49" fontId="26" fillId="15" borderId="1" xfId="0" applyNumberFormat="1" applyFont="1" applyFill="1" applyBorder="1" applyAlignment="1"/>
    <xf numFmtId="14" fontId="26" fillId="15" borderId="1" xfId="0" applyNumberFormat="1" applyFont="1" applyFill="1" applyBorder="1" applyAlignment="1"/>
    <xf numFmtId="0" fontId="26" fillId="15" borderId="1" xfId="0" applyFont="1" applyFill="1" applyBorder="1" applyAlignment="1"/>
    <xf numFmtId="49" fontId="26" fillId="15" borderId="1" xfId="0" applyNumberFormat="1" applyFont="1" applyFill="1" applyBorder="1" applyAlignment="1">
      <alignment horizontal="right"/>
    </xf>
    <xf numFmtId="49" fontId="26" fillId="15" borderId="1" xfId="0" applyNumberFormat="1" applyFont="1" applyFill="1" applyBorder="1" applyAlignment="1">
      <alignment horizontal="center"/>
    </xf>
    <xf numFmtId="22" fontId="0" fillId="0" borderId="0" xfId="0" applyNumberFormat="1"/>
    <xf numFmtId="165" fontId="0" fillId="0" borderId="0" xfId="0" applyNumberFormat="1"/>
    <xf numFmtId="0" fontId="18" fillId="11" borderId="5" xfId="0" applyFont="1" applyFill="1" applyBorder="1" applyAlignment="1">
      <alignment horizontal="center" vertical="center"/>
    </xf>
    <xf numFmtId="0" fontId="18" fillId="10" borderId="5" xfId="0" applyFont="1" applyFill="1" applyBorder="1" applyAlignment="1">
      <alignment horizontal="center" vertical="center"/>
    </xf>
    <xf numFmtId="0" fontId="6" fillId="4" borderId="12" xfId="0" applyFont="1" applyFill="1" applyBorder="1" applyAlignment="1" applyProtection="1">
      <alignment horizontal="center" shrinkToFit="1"/>
    </xf>
    <xf numFmtId="0" fontId="6" fillId="4" borderId="14" xfId="0" applyFont="1" applyFill="1" applyBorder="1" applyAlignment="1" applyProtection="1">
      <alignment horizontal="center" shrinkToFit="1"/>
    </xf>
    <xf numFmtId="0" fontId="6" fillId="4" borderId="6" xfId="0" applyFont="1" applyFill="1" applyBorder="1" applyAlignment="1" applyProtection="1">
      <alignment horizontal="center" shrinkToFit="1"/>
    </xf>
    <xf numFmtId="49" fontId="31" fillId="15" borderId="1" xfId="0" applyNumberFormat="1" applyFont="1" applyFill="1" applyBorder="1" applyAlignment="1">
      <alignment wrapText="1"/>
    </xf>
  </cellXfs>
  <cellStyles count="3">
    <cellStyle name="Hyperlink" xfId="1" builtinId="8"/>
    <cellStyle name="Normal" xfId="0" builtinId="0"/>
    <cellStyle name="Normal 2" xfId="2" xr:uid="{00000000-0005-0000-0000-000002000000}"/>
  </cellStyles>
  <dxfs count="19">
    <dxf>
      <font>
        <b val="0"/>
        <i val="0"/>
        <strike val="0"/>
        <condense val="0"/>
        <extend val="0"/>
        <outline val="0"/>
        <shadow val="0"/>
        <u val="none"/>
        <vertAlign val="baseline"/>
        <sz val="11"/>
        <color auto="1"/>
        <name val="Arial"/>
        <scheme val="none"/>
      </font>
    </dxf>
    <dxf>
      <font>
        <b val="0"/>
        <i val="0"/>
        <strike val="0"/>
        <condense val="0"/>
        <extend val="0"/>
        <outline val="0"/>
        <shadow val="0"/>
        <u val="none"/>
        <vertAlign val="baseline"/>
        <sz val="11"/>
        <color auto="1"/>
        <name val="Arial"/>
        <scheme val="none"/>
      </font>
    </dxf>
    <dxf>
      <font>
        <b val="0"/>
        <i val="0"/>
        <strike val="0"/>
        <condense val="0"/>
        <extend val="0"/>
        <outline val="0"/>
        <shadow val="0"/>
        <u val="none"/>
        <vertAlign val="baseline"/>
        <sz val="11"/>
        <color auto="1"/>
        <name val="Arial"/>
        <scheme val="none"/>
      </font>
    </dxf>
    <dxf>
      <font>
        <b val="0"/>
        <i val="0"/>
        <strike val="0"/>
        <condense val="0"/>
        <extend val="0"/>
        <outline val="0"/>
        <shadow val="0"/>
        <u val="none"/>
        <vertAlign val="baseline"/>
        <sz val="11"/>
        <color auto="1"/>
        <name val="MS Reference Sans Serif"/>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alignment horizontal="general" vertical="center" textRotation="0" wrapText="0" indent="0" justifyLastLine="0" shrinkToFit="0" readingOrder="0"/>
    </dxf>
    <dxf>
      <font>
        <strike val="0"/>
        <outline val="0"/>
        <shadow val="0"/>
        <u val="none"/>
        <vertAlign val="baseline"/>
        <color auto="1"/>
        <name val="Arial"/>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color auto="1"/>
        <name val="Arial"/>
        <scheme val="none"/>
      </font>
    </dxf>
    <dxf>
      <border>
        <bottom style="thin">
          <color indexed="64"/>
        </bottom>
      </border>
    </dxf>
    <dxf>
      <font>
        <strike val="0"/>
        <outline val="0"/>
        <shadow val="0"/>
        <u val="none"/>
        <vertAlign val="baseline"/>
        <color auto="1"/>
        <name val="Arial"/>
        <scheme val="none"/>
      </font>
      <border diagonalUp="0" diagonalDown="0"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2.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11</xdr:row>
      <xdr:rowOff>0</xdr:rowOff>
    </xdr:from>
    <xdr:to>
      <xdr:col>2</xdr:col>
      <xdr:colOff>254467</xdr:colOff>
      <xdr:row>27</xdr:row>
      <xdr:rowOff>0</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976563"/>
          <a:ext cx="7517280" cy="48121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31750</xdr:colOff>
          <xdr:row>1</xdr:row>
          <xdr:rowOff>69850</xdr:rowOff>
        </xdr:from>
        <xdr:to>
          <xdr:col>10</xdr:col>
          <xdr:colOff>1612900</xdr:colOff>
          <xdr:row>2</xdr:row>
          <xdr:rowOff>222250</xdr:rowOff>
        </xdr:to>
        <xdr:sp macro="" textlink="">
          <xdr:nvSpPr>
            <xdr:cNvPr id="8213" name="CommandButton2" hidden="1">
              <a:extLst>
                <a:ext uri="{63B3BB69-23CF-44E3-9099-C40C66FF867C}">
                  <a14:compatExt spid="_x0000_s8213"/>
                </a:ext>
                <a:ext uri="{FF2B5EF4-FFF2-40B4-BE49-F238E27FC236}">
                  <a16:creationId xmlns:a16="http://schemas.microsoft.com/office/drawing/2014/main" id="{00000000-0008-0000-0100-00001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1638300</xdr:colOff>
          <xdr:row>3</xdr:row>
          <xdr:rowOff>31750</xdr:rowOff>
        </xdr:from>
        <xdr:to>
          <xdr:col>13</xdr:col>
          <xdr:colOff>514350</xdr:colOff>
          <xdr:row>4</xdr:row>
          <xdr:rowOff>215900</xdr:rowOff>
        </xdr:to>
        <xdr:sp macro="" textlink="">
          <xdr:nvSpPr>
            <xdr:cNvPr id="8214" name="CommandButton3" hidden="1">
              <a:extLst>
                <a:ext uri="{63B3BB69-23CF-44E3-9099-C40C66FF867C}">
                  <a14:compatExt spid="_x0000_s8214"/>
                </a:ext>
                <a:ext uri="{FF2B5EF4-FFF2-40B4-BE49-F238E27FC236}">
                  <a16:creationId xmlns:a16="http://schemas.microsoft.com/office/drawing/2014/main" id="{00000000-0008-0000-0100-00001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3</xdr:row>
          <xdr:rowOff>38100</xdr:rowOff>
        </xdr:from>
        <xdr:to>
          <xdr:col>10</xdr:col>
          <xdr:colOff>1727200</xdr:colOff>
          <xdr:row>5</xdr:row>
          <xdr:rowOff>0</xdr:rowOff>
        </xdr:to>
        <xdr:sp macro="" textlink="">
          <xdr:nvSpPr>
            <xdr:cNvPr id="8264" name="CommandButton4" hidden="1">
              <a:extLst>
                <a:ext uri="{63B3BB69-23CF-44E3-9099-C40C66FF867C}">
                  <a14:compatExt spid="_x0000_s8264"/>
                </a:ext>
                <a:ext uri="{FF2B5EF4-FFF2-40B4-BE49-F238E27FC236}">
                  <a16:creationId xmlns:a16="http://schemas.microsoft.com/office/drawing/2014/main" id="{00000000-0008-0000-0100-00004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1631950</xdr:colOff>
          <xdr:row>1</xdr:row>
          <xdr:rowOff>50800</xdr:rowOff>
        </xdr:from>
        <xdr:to>
          <xdr:col>13</xdr:col>
          <xdr:colOff>336550</xdr:colOff>
          <xdr:row>2</xdr:row>
          <xdr:rowOff>190500</xdr:rowOff>
        </xdr:to>
        <xdr:sp macro="" textlink="">
          <xdr:nvSpPr>
            <xdr:cNvPr id="8294" name="CommandButton1" hidden="1">
              <a:extLst>
                <a:ext uri="{63B3BB69-23CF-44E3-9099-C40C66FF867C}">
                  <a14:compatExt spid="_x0000_s8294"/>
                </a:ext>
                <a:ext uri="{FF2B5EF4-FFF2-40B4-BE49-F238E27FC236}">
                  <a16:creationId xmlns:a16="http://schemas.microsoft.com/office/drawing/2014/main" id="{00000000-0008-0000-0100-00006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0</xdr:row>
          <xdr:rowOff>0</xdr:rowOff>
        </xdr:from>
        <xdr:to>
          <xdr:col>3</xdr:col>
          <xdr:colOff>82550</xdr:colOff>
          <xdr:row>1</xdr:row>
          <xdr:rowOff>0</xdr:rowOff>
        </xdr:to>
        <xdr:sp macro="" textlink="">
          <xdr:nvSpPr>
            <xdr:cNvPr id="8299" name="ComboBox1" hidden="1">
              <a:extLst>
                <a:ext uri="{63B3BB69-23CF-44E3-9099-C40C66FF867C}">
                  <a14:compatExt spid="_x0000_s8299"/>
                </a:ext>
                <a:ext uri="{FF2B5EF4-FFF2-40B4-BE49-F238E27FC236}">
                  <a16:creationId xmlns:a16="http://schemas.microsoft.com/office/drawing/2014/main" id="{00000000-0008-0000-0100-00006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D3:F25" totalsRowShown="0" headerRowDxfId="18" dataDxfId="16" headerRowBorderDxfId="17" tableBorderDxfId="15" totalsRowBorderDxfId="14">
  <tableColumns count="3">
    <tableColumn id="1" xr3:uid="{00000000-0010-0000-0000-000001000000}" name="#" dataDxfId="13"/>
    <tableColumn id="2" xr3:uid="{00000000-0010-0000-0000-000002000000}" name="Name" dataDxfId="12"/>
    <tableColumn id="3" xr3:uid="{00000000-0010-0000-0000-000003000000}" name="Description" dataDxf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3:B11" totalsRowShown="0" headerRowDxfId="10" dataDxfId="9">
  <tableColumns count="2">
    <tableColumn id="1" xr3:uid="{00000000-0010-0000-0100-000001000000}" name="#" dataDxfId="8"/>
    <tableColumn id="2" xr3:uid="{00000000-0010-0000-0100-000002000000}" name="General Guidelines" dataDxfId="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N4:Q97" totalsRowShown="0">
  <autoFilter ref="N4:Q97" xr:uid="{00000000-0009-0000-0100-000003000000}"/>
  <sortState xmlns:xlrd2="http://schemas.microsoft.com/office/spreadsheetml/2017/richdata2" ref="N5:Q96">
    <sortCondition ref="N4:N96"/>
  </sortState>
  <tableColumns count="4">
    <tableColumn id="1" xr3:uid="{00000000-0010-0000-0200-000001000000}" name="vslName" dataDxfId="3"/>
    <tableColumn id="2" xr3:uid="{00000000-0010-0000-0200-000002000000}" name="IMO" dataDxfId="2"/>
    <tableColumn id="3" xr3:uid="{00000000-0010-0000-0200-000003000000}" name="threeCode" dataDxfId="1"/>
    <tableColumn id="4" xr3:uid="{00000000-0010-0000-0200-000004000000}" name="DRSCode" dataDxfId="0"/>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control" Target="../activeX/activeX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4.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file:///\\ORCASVR-101\shares\drsapp\Incoming" TargetMode="External"/><Relationship Id="rId1" Type="http://schemas.openxmlformats.org/officeDocument/2006/relationships/hyperlink" Target="../../DRSendApp/script.bat" TargetMode="Externa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G4333"/>
  <sheetViews>
    <sheetView zoomScale="96" zoomScaleNormal="96" workbookViewId="0">
      <selection activeCell="B11" sqref="B11"/>
    </sheetView>
  </sheetViews>
  <sheetFormatPr defaultColWidth="0" defaultRowHeight="14" x14ac:dyDescent="0.2"/>
  <cols>
    <col min="1" max="1" width="4.08984375" style="55" bestFit="1" customWidth="1"/>
    <col min="2" max="2" width="91" style="57" bestFit="1" customWidth="1"/>
    <col min="3" max="3" width="3.453125" style="57" customWidth="1"/>
    <col min="4" max="4" width="4.6328125" style="57" customWidth="1"/>
    <col min="5" max="5" width="11.90625" style="57" customWidth="1"/>
    <col min="6" max="6" width="62.90625" style="57" customWidth="1"/>
    <col min="7" max="7" width="0" style="57" hidden="1" customWidth="1"/>
    <col min="8" max="16384" width="9" style="57" hidden="1"/>
  </cols>
  <sheetData>
    <row r="1" spans="1:6" s="54" customFormat="1" ht="28" x14ac:dyDescent="0.2">
      <c r="A1" s="130" t="s">
        <v>894</v>
      </c>
      <c r="B1" s="130"/>
      <c r="C1" s="75"/>
      <c r="D1" s="129" t="s">
        <v>603</v>
      </c>
      <c r="E1" s="129"/>
      <c r="F1" s="129"/>
    </row>
    <row r="2" spans="1:6" ht="7.5" customHeight="1" x14ac:dyDescent="0.2">
      <c r="B2" s="56"/>
      <c r="C2" s="73"/>
      <c r="E2" s="56"/>
    </row>
    <row r="3" spans="1:6" ht="15.5" x14ac:dyDescent="0.2">
      <c r="A3" s="55" t="s">
        <v>587</v>
      </c>
      <c r="B3" s="72" t="s">
        <v>894</v>
      </c>
      <c r="C3" s="73"/>
      <c r="D3" s="58" t="s">
        <v>587</v>
      </c>
      <c r="E3" s="59" t="s">
        <v>588</v>
      </c>
      <c r="F3" s="60" t="s">
        <v>589</v>
      </c>
    </row>
    <row r="4" spans="1:6" ht="25" x14ac:dyDescent="0.2">
      <c r="A4" s="61">
        <v>1</v>
      </c>
      <c r="B4" s="62" t="s">
        <v>623</v>
      </c>
      <c r="C4" s="73"/>
      <c r="D4" s="63">
        <v>1</v>
      </c>
      <c r="E4" s="64" t="s">
        <v>602</v>
      </c>
      <c r="F4" s="65" t="s">
        <v>622</v>
      </c>
    </row>
    <row r="5" spans="1:6" ht="26" x14ac:dyDescent="0.2">
      <c r="A5" s="61">
        <v>2</v>
      </c>
      <c r="B5" s="62" t="s">
        <v>624</v>
      </c>
      <c r="C5" s="73"/>
      <c r="D5" s="63">
        <v>2</v>
      </c>
      <c r="E5" s="64" t="s">
        <v>600</v>
      </c>
      <c r="F5" s="65" t="s">
        <v>601</v>
      </c>
    </row>
    <row r="6" spans="1:6" ht="26" x14ac:dyDescent="0.2">
      <c r="A6" s="61">
        <v>3</v>
      </c>
      <c r="B6" s="62" t="s">
        <v>898</v>
      </c>
      <c r="C6" s="73"/>
      <c r="D6" s="63">
        <v>3</v>
      </c>
      <c r="E6" s="64" t="s">
        <v>304</v>
      </c>
      <c r="F6" s="65" t="s">
        <v>599</v>
      </c>
    </row>
    <row r="7" spans="1:6" ht="26" x14ac:dyDescent="0.2">
      <c r="A7" s="61">
        <v>4</v>
      </c>
      <c r="B7" s="62" t="s">
        <v>604</v>
      </c>
      <c r="C7" s="73"/>
      <c r="D7" s="63">
        <v>4</v>
      </c>
      <c r="E7" s="64" t="s">
        <v>598</v>
      </c>
      <c r="F7" s="65" t="s">
        <v>621</v>
      </c>
    </row>
    <row r="8" spans="1:6" ht="25" x14ac:dyDescent="0.2">
      <c r="A8" s="61">
        <v>5</v>
      </c>
      <c r="B8" s="62" t="s">
        <v>625</v>
      </c>
      <c r="C8" s="73"/>
      <c r="D8" s="63">
        <v>5</v>
      </c>
      <c r="E8" s="64" t="s">
        <v>596</v>
      </c>
      <c r="F8" s="65" t="s">
        <v>597</v>
      </c>
    </row>
    <row r="9" spans="1:6" ht="37.5" x14ac:dyDescent="0.2">
      <c r="A9" s="61">
        <v>6</v>
      </c>
      <c r="B9" s="78" t="s">
        <v>1043</v>
      </c>
      <c r="C9" s="73"/>
      <c r="D9" s="63">
        <v>6</v>
      </c>
      <c r="E9" s="64" t="s">
        <v>896</v>
      </c>
      <c r="F9" s="65" t="s">
        <v>1044</v>
      </c>
    </row>
    <row r="10" spans="1:6" x14ac:dyDescent="0.2">
      <c r="A10" s="61">
        <v>7</v>
      </c>
      <c r="B10" s="78" t="s">
        <v>605</v>
      </c>
      <c r="C10" s="73"/>
      <c r="D10" s="63">
        <v>7</v>
      </c>
      <c r="E10" s="64" t="s">
        <v>897</v>
      </c>
      <c r="F10" s="65" t="s">
        <v>595</v>
      </c>
    </row>
    <row r="11" spans="1:6" ht="26" x14ac:dyDescent="0.2">
      <c r="A11" s="61">
        <v>8</v>
      </c>
      <c r="B11" s="113" t="s">
        <v>1097</v>
      </c>
      <c r="C11" s="73"/>
      <c r="D11" s="63">
        <v>8</v>
      </c>
      <c r="E11" s="64" t="s">
        <v>593</v>
      </c>
      <c r="F11" s="65" t="s">
        <v>594</v>
      </c>
    </row>
    <row r="12" spans="1:6" ht="26" x14ac:dyDescent="0.2">
      <c r="C12" s="73"/>
      <c r="D12" s="63">
        <v>9</v>
      </c>
      <c r="E12" s="64" t="s">
        <v>592</v>
      </c>
      <c r="F12" s="65" t="s">
        <v>620</v>
      </c>
    </row>
    <row r="13" spans="1:6" ht="25" x14ac:dyDescent="0.2">
      <c r="C13" s="73"/>
      <c r="D13" s="63">
        <v>10</v>
      </c>
      <c r="E13" s="64" t="s">
        <v>890</v>
      </c>
      <c r="F13" s="65" t="s">
        <v>975</v>
      </c>
    </row>
    <row r="14" spans="1:6" ht="25" x14ac:dyDescent="0.2">
      <c r="C14" s="73"/>
      <c r="D14" s="63">
        <v>11</v>
      </c>
      <c r="E14" s="64" t="s">
        <v>591</v>
      </c>
      <c r="F14" s="65" t="s">
        <v>976</v>
      </c>
    </row>
    <row r="15" spans="1:6" x14ac:dyDescent="0.2">
      <c r="C15" s="73"/>
      <c r="D15" s="63">
        <v>12</v>
      </c>
      <c r="E15" s="64" t="s">
        <v>590</v>
      </c>
      <c r="F15" s="65" t="s">
        <v>586</v>
      </c>
    </row>
    <row r="16" spans="1:6" ht="25" x14ac:dyDescent="0.2">
      <c r="C16" s="73"/>
      <c r="D16" s="63">
        <v>13</v>
      </c>
      <c r="E16" s="64" t="s">
        <v>606</v>
      </c>
      <c r="F16" s="65" t="s">
        <v>613</v>
      </c>
    </row>
    <row r="17" spans="3:6" ht="37.5" x14ac:dyDescent="0.2">
      <c r="C17" s="73"/>
      <c r="D17" s="63">
        <v>14</v>
      </c>
      <c r="E17" s="64" t="s">
        <v>607</v>
      </c>
      <c r="F17" s="65" t="s">
        <v>614</v>
      </c>
    </row>
    <row r="18" spans="3:6" ht="39" x14ac:dyDescent="0.2">
      <c r="C18" s="73"/>
      <c r="D18" s="63">
        <v>15</v>
      </c>
      <c r="E18" s="64" t="s">
        <v>608</v>
      </c>
      <c r="F18" s="65" t="s">
        <v>615</v>
      </c>
    </row>
    <row r="19" spans="3:6" ht="39" x14ac:dyDescent="0.2">
      <c r="C19" s="73"/>
      <c r="D19" s="63">
        <v>16</v>
      </c>
      <c r="E19" s="64" t="s">
        <v>609</v>
      </c>
      <c r="F19" s="65" t="s">
        <v>616</v>
      </c>
    </row>
    <row r="20" spans="3:6" ht="26" x14ac:dyDescent="0.2">
      <c r="C20" s="73"/>
      <c r="D20" s="66">
        <v>17</v>
      </c>
      <c r="E20" s="67" t="s">
        <v>610</v>
      </c>
      <c r="F20" s="68" t="s">
        <v>617</v>
      </c>
    </row>
    <row r="21" spans="3:6" x14ac:dyDescent="0.2">
      <c r="C21" s="73"/>
      <c r="D21" s="63">
        <v>18</v>
      </c>
      <c r="E21" s="67" t="s">
        <v>611</v>
      </c>
      <c r="F21" s="68"/>
    </row>
    <row r="22" spans="3:6" ht="26" x14ac:dyDescent="0.2">
      <c r="C22" s="73"/>
      <c r="D22" s="66">
        <v>19</v>
      </c>
      <c r="E22" s="67" t="s">
        <v>487</v>
      </c>
      <c r="F22" s="68" t="s">
        <v>618</v>
      </c>
    </row>
    <row r="23" spans="3:6" ht="25" x14ac:dyDescent="0.2">
      <c r="C23" s="73"/>
      <c r="D23" s="63">
        <v>20</v>
      </c>
      <c r="E23" s="69" t="s">
        <v>488</v>
      </c>
      <c r="F23" s="68" t="s">
        <v>619</v>
      </c>
    </row>
    <row r="24" spans="3:6" ht="25" x14ac:dyDescent="0.2">
      <c r="C24" s="73"/>
      <c r="D24" s="66">
        <v>21</v>
      </c>
      <c r="E24" s="69" t="s">
        <v>612</v>
      </c>
      <c r="F24" s="68" t="s">
        <v>1045</v>
      </c>
    </row>
    <row r="25" spans="3:6" ht="25" x14ac:dyDescent="0.2">
      <c r="C25" s="73"/>
      <c r="D25" s="63">
        <v>22</v>
      </c>
      <c r="E25" s="69" t="s">
        <v>1046</v>
      </c>
      <c r="F25" s="68" t="s">
        <v>1047</v>
      </c>
    </row>
    <row r="26" spans="3:6" x14ac:dyDescent="0.2">
      <c r="C26" s="73"/>
      <c r="D26" s="74"/>
      <c r="E26" s="74"/>
      <c r="F26" s="74"/>
    </row>
    <row r="27" spans="3:6" x14ac:dyDescent="0.2">
      <c r="C27" s="73"/>
      <c r="D27" s="74"/>
      <c r="E27" s="74"/>
      <c r="F27" s="74"/>
    </row>
    <row r="28" spans="3:6" x14ac:dyDescent="0.2">
      <c r="D28" s="70"/>
      <c r="E28" s="70"/>
      <c r="F28" s="70"/>
    </row>
    <row r="29" spans="3:6" x14ac:dyDescent="0.2">
      <c r="D29" s="71"/>
      <c r="E29" s="71"/>
    </row>
    <row r="30" spans="3:6" x14ac:dyDescent="0.2">
      <c r="D30" s="71"/>
      <c r="E30" s="71"/>
      <c r="F30" s="71"/>
    </row>
    <row r="31" spans="3:6" x14ac:dyDescent="0.2">
      <c r="D31" s="71"/>
      <c r="E31" s="71"/>
      <c r="F31" s="71"/>
    </row>
    <row r="32" spans="3:6" x14ac:dyDescent="0.2">
      <c r="D32" s="71"/>
      <c r="E32" s="71"/>
      <c r="F32" s="71"/>
    </row>
    <row r="33" spans="4:6" x14ac:dyDescent="0.2">
      <c r="D33" s="71"/>
      <c r="E33" s="71"/>
      <c r="F33" s="71"/>
    </row>
    <row r="34" spans="4:6" x14ac:dyDescent="0.2">
      <c r="D34" s="71"/>
      <c r="E34" s="71"/>
      <c r="F34" s="71"/>
    </row>
    <row r="4333" spans="1:1" x14ac:dyDescent="0.2">
      <c r="A4333" s="55" t="s">
        <v>1059</v>
      </c>
    </row>
  </sheetData>
  <mergeCells count="2">
    <mergeCell ref="D1:F1"/>
    <mergeCell ref="A1:B1"/>
  </mergeCells>
  <pageMargins left="0.7" right="0.7" top="0.75" bottom="0.75" header="0.3" footer="0.3"/>
  <pageSetup paperSize="9" orientation="portrait"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V123"/>
  <sheetViews>
    <sheetView tabSelected="1" topLeftCell="B1" zoomScaleNormal="100" workbookViewId="0">
      <pane ySplit="6" topLeftCell="A79" activePane="bottomLeft" state="frozen"/>
      <selection pane="bottomLeft" activeCell="B93" sqref="B93"/>
    </sheetView>
  </sheetViews>
  <sheetFormatPr defaultColWidth="9" defaultRowHeight="15" customHeight="1" x14ac:dyDescent="0.2"/>
  <cols>
    <col min="1" max="1" width="9.90625" style="17" hidden="1" customWidth="1"/>
    <col min="2" max="2" width="11.90625" style="17" customWidth="1"/>
    <col min="3" max="3" width="20.08984375" style="17" customWidth="1"/>
    <col min="4" max="4" width="14.90625" style="17" customWidth="1"/>
    <col min="5" max="5" width="6.90625" style="17" hidden="1" customWidth="1"/>
    <col min="6" max="6" width="9.36328125" style="17" hidden="1" customWidth="1"/>
    <col min="7" max="7" width="11.453125" style="17" customWidth="1"/>
    <col min="8" max="8" width="16" style="17" customWidth="1"/>
    <col min="9" max="9" width="19.6328125" style="17" customWidth="1"/>
    <col min="10" max="10" width="8.6328125" style="17" customWidth="1"/>
    <col min="11" max="11" width="31.453125" style="17" customWidth="1"/>
    <col min="12" max="12" width="15.08984375" style="17" hidden="1" customWidth="1"/>
    <col min="13" max="13" width="9" style="17" customWidth="1"/>
    <col min="14" max="14" width="43" style="17" customWidth="1"/>
    <col min="15" max="15" width="33.453125" style="17" customWidth="1"/>
    <col min="16" max="16" width="11.453125" style="17" customWidth="1"/>
    <col min="17" max="17" width="13.08984375" style="17" customWidth="1"/>
    <col min="18" max="18" width="9.6328125" style="17" bestFit="1" customWidth="1"/>
    <col min="19" max="19" width="21.453125" style="17" customWidth="1"/>
    <col min="20" max="20" width="12.90625" style="17" customWidth="1"/>
    <col min="21" max="23" width="9" style="17" customWidth="1"/>
    <col min="24" max="24" width="21.453125" style="17" customWidth="1"/>
    <col min="25" max="25" width="11.08984375" style="17" customWidth="1"/>
    <col min="26" max="26" width="10.453125" style="17" customWidth="1"/>
    <col min="27" max="27" width="16.90625" style="17" customWidth="1"/>
    <col min="28" max="28" width="23.453125" style="17" customWidth="1"/>
    <col min="29" max="29" width="13.453125" style="17" customWidth="1"/>
    <col min="30" max="30" width="9" style="17" customWidth="1"/>
    <col min="31" max="31" width="11.453125" style="17" customWidth="1"/>
    <col min="32" max="33" width="11" style="17" hidden="1" customWidth="1"/>
    <col min="34" max="34" width="11" style="17" customWidth="1"/>
    <col min="35" max="35" width="11.08984375" style="17" customWidth="1"/>
    <col min="36" max="36" width="11.6328125" style="17" customWidth="1"/>
    <col min="37" max="37" width="15.08984375" style="17" customWidth="1"/>
    <col min="38" max="38" width="15.453125" style="17" customWidth="1"/>
    <col min="39" max="39" width="20.453125" style="17" customWidth="1"/>
    <col min="40" max="40" width="11.08984375" style="17" customWidth="1"/>
    <col min="41" max="42" width="11" style="17" customWidth="1"/>
    <col min="43" max="43" width="14.453125" style="17" customWidth="1"/>
    <col min="44" max="47" width="11" style="17" customWidth="1"/>
    <col min="48" max="48" width="12.6328125" style="17" customWidth="1"/>
    <col min="49" max="49" width="12.453125" style="17" hidden="1" customWidth="1"/>
    <col min="50" max="50" width="14" style="17" hidden="1" customWidth="1"/>
    <col min="51" max="51" width="11" style="17" hidden="1" customWidth="1"/>
    <col min="52" max="52" width="11.453125" style="17" hidden="1" customWidth="1"/>
    <col min="53" max="53" width="11.08984375" style="17" hidden="1" customWidth="1"/>
    <col min="54" max="54" width="11" style="17" hidden="1" customWidth="1"/>
    <col min="55" max="55" width="12.453125" style="17" hidden="1" customWidth="1"/>
    <col min="56" max="56" width="15.08984375" style="17" hidden="1" customWidth="1"/>
    <col min="57" max="57" width="12.90625" style="17" hidden="1" customWidth="1"/>
    <col min="58" max="59" width="11" style="17" hidden="1" customWidth="1"/>
    <col min="60" max="60" width="12.453125" style="17" hidden="1" customWidth="1"/>
    <col min="61" max="63" width="11" style="17" hidden="1" customWidth="1"/>
    <col min="64" max="64" width="25.08984375" style="17" hidden="1" customWidth="1"/>
    <col min="65" max="65" width="13.6328125" style="17" hidden="1" customWidth="1"/>
    <col min="66" max="66" width="13.453125" style="17" hidden="1" customWidth="1"/>
    <col min="67" max="68" width="11.6328125" style="17" hidden="1" customWidth="1"/>
    <col min="69" max="69" width="11.08984375" style="17" hidden="1" customWidth="1"/>
    <col min="70" max="70" width="10" style="17" hidden="1" customWidth="1"/>
    <col min="71" max="74" width="9" style="17" hidden="1" customWidth="1"/>
    <col min="75" max="75" width="11.453125" style="17" hidden="1" customWidth="1"/>
    <col min="76" max="76" width="9" style="17" hidden="1" customWidth="1"/>
    <col min="77" max="77" width="10.90625" style="17" hidden="1" customWidth="1"/>
    <col min="78" max="78" width="8.453125" style="17" hidden="1" customWidth="1"/>
    <col min="79" max="81" width="10.453125" style="17" hidden="1" customWidth="1"/>
    <col min="82" max="99" width="9.90625" style="17" hidden="1" customWidth="1"/>
    <col min="100" max="100" width="13.6328125" style="17" hidden="1" customWidth="1"/>
    <col min="101" max="132" width="9" style="17" customWidth="1"/>
    <col min="133" max="133" width="38.6328125" style="17" customWidth="1"/>
    <col min="134" max="16384" width="9" style="17"/>
  </cols>
  <sheetData>
    <row r="1" spans="1:100" ht="18" customHeight="1" thickBot="1" x14ac:dyDescent="0.35">
      <c r="A1" s="14"/>
      <c r="B1" s="19" t="s">
        <v>799</v>
      </c>
      <c r="C1" s="13" t="s">
        <v>730</v>
      </c>
      <c r="D1" s="24" t="str">
        <f>VLOOKUP(C1,vesseldata,3,FALSE)</f>
        <v>GKI</v>
      </c>
      <c r="E1" s="14"/>
      <c r="F1" s="14"/>
      <c r="G1" s="14"/>
      <c r="H1" s="16" t="s">
        <v>296</v>
      </c>
      <c r="I1" s="10">
        <v>44567.712824074071</v>
      </c>
      <c r="J1" s="14"/>
      <c r="K1" s="10" t="s">
        <v>1095</v>
      </c>
      <c r="L1" s="14"/>
      <c r="M1" s="14" t="s">
        <v>1094</v>
      </c>
      <c r="N1" s="14"/>
      <c r="O1" s="14"/>
      <c r="P1" s="14"/>
      <c r="Q1" s="14"/>
      <c r="R1" s="14"/>
      <c r="S1" s="14"/>
      <c r="T1" s="14"/>
      <c r="U1" s="14"/>
      <c r="V1" s="14"/>
      <c r="W1" s="14"/>
      <c r="X1" s="14"/>
      <c r="Y1" s="14"/>
      <c r="Z1" s="14"/>
      <c r="AA1" s="14"/>
      <c r="AB1" s="14"/>
      <c r="AC1" s="14"/>
      <c r="AD1" s="14"/>
      <c r="AE1" s="14"/>
      <c r="AF1" s="14"/>
      <c r="AG1" s="14"/>
      <c r="AH1" s="12"/>
      <c r="AI1" s="12"/>
      <c r="AJ1" s="12"/>
      <c r="AK1" s="12"/>
      <c r="AL1" s="12"/>
      <c r="AM1" s="12"/>
      <c r="AN1" s="12"/>
      <c r="AO1" s="12"/>
      <c r="AP1" s="12"/>
      <c r="AQ1" s="12"/>
      <c r="AR1" s="12"/>
      <c r="AS1" s="12"/>
      <c r="AT1" s="12"/>
      <c r="AU1" s="14"/>
      <c r="AV1" s="14"/>
      <c r="AW1" s="14"/>
      <c r="AX1" s="14"/>
      <c r="AY1" s="14"/>
      <c r="AZ1" s="14"/>
      <c r="BA1" s="14"/>
      <c r="BB1" s="14"/>
      <c r="BC1" s="14"/>
      <c r="BD1" s="14"/>
      <c r="BE1" s="14"/>
      <c r="BF1" s="14"/>
      <c r="BG1" s="14"/>
      <c r="BH1" s="14"/>
      <c r="BI1" s="14"/>
      <c r="BJ1" s="14"/>
      <c r="BK1" s="14"/>
      <c r="BL1" s="14"/>
      <c r="BM1" s="14"/>
      <c r="BN1" s="14"/>
      <c r="BO1" s="14"/>
      <c r="BP1" s="14"/>
      <c r="BQ1" s="14"/>
      <c r="BR1" s="14"/>
      <c r="BS1" s="14"/>
      <c r="BT1" s="14"/>
      <c r="BU1" s="14"/>
      <c r="BV1" s="14"/>
      <c r="BW1" s="14"/>
      <c r="BX1" s="14"/>
      <c r="BY1" s="14"/>
      <c r="BZ1" s="14"/>
      <c r="CA1" s="14"/>
      <c r="CB1" s="14"/>
      <c r="CC1" s="14"/>
      <c r="CD1" s="14"/>
      <c r="CE1" s="14"/>
      <c r="CF1" s="14"/>
      <c r="CG1" s="14"/>
      <c r="CH1" s="14"/>
      <c r="CI1" s="14"/>
      <c r="CJ1" s="14"/>
      <c r="CK1" s="14"/>
      <c r="CL1" s="14"/>
      <c r="CM1" s="14"/>
      <c r="CN1" s="14"/>
      <c r="CO1" s="14"/>
      <c r="CP1" s="14"/>
      <c r="CQ1" s="14"/>
      <c r="CR1" s="14"/>
      <c r="CS1" s="14"/>
      <c r="CT1" s="14"/>
      <c r="CU1" s="14"/>
      <c r="CV1" s="14"/>
    </row>
    <row r="2" spans="1:100" ht="18" customHeight="1" thickBot="1" x14ac:dyDescent="0.35">
      <c r="A2" s="14"/>
      <c r="B2" s="15" t="s">
        <v>297</v>
      </c>
      <c r="C2" s="82" t="str">
        <f>VLOOKUP($C$1,vesseldata,4,FALSE)</f>
        <v>TP2019005</v>
      </c>
      <c r="D2" s="14"/>
      <c r="E2" s="14"/>
      <c r="F2" s="14"/>
      <c r="G2" s="14"/>
      <c r="H2" s="16"/>
      <c r="I2" s="11"/>
      <c r="J2" s="14"/>
      <c r="K2" s="76"/>
      <c r="L2" s="76"/>
      <c r="M2" s="76"/>
      <c r="N2" s="76"/>
      <c r="O2" s="14"/>
      <c r="P2" s="14"/>
      <c r="Q2" s="14"/>
      <c r="R2" s="14"/>
      <c r="S2" s="14"/>
      <c r="T2" s="14"/>
      <c r="U2" s="14"/>
      <c r="V2" s="14"/>
      <c r="W2" s="14"/>
      <c r="X2" s="14"/>
      <c r="Y2" s="14"/>
      <c r="Z2" s="14"/>
      <c r="AA2" s="14"/>
      <c r="AB2" s="14"/>
      <c r="AC2" s="14"/>
      <c r="AD2" s="14"/>
      <c r="AE2" s="14"/>
      <c r="AF2" s="14"/>
      <c r="AG2" s="14"/>
      <c r="AH2" s="12"/>
      <c r="AI2" s="12"/>
      <c r="AJ2" s="12"/>
      <c r="AK2" s="12"/>
      <c r="AL2" s="12"/>
      <c r="AM2" s="12"/>
      <c r="AN2" s="12"/>
      <c r="AO2" s="12"/>
      <c r="AP2" s="12"/>
      <c r="AQ2" s="12"/>
      <c r="AR2" s="12"/>
      <c r="AS2" s="12"/>
      <c r="AT2" s="12"/>
      <c r="AU2" s="14"/>
      <c r="AV2" s="14"/>
      <c r="AW2" s="14"/>
      <c r="AX2" s="14"/>
      <c r="AY2" s="14"/>
      <c r="AZ2" s="14"/>
      <c r="BA2" s="14"/>
      <c r="BB2" s="14"/>
      <c r="BC2" s="14"/>
      <c r="BD2" s="14"/>
      <c r="BE2" s="14"/>
      <c r="BF2" s="14"/>
      <c r="BG2" s="14"/>
      <c r="BH2" s="14"/>
      <c r="BI2" s="14"/>
      <c r="BJ2" s="14"/>
      <c r="BK2" s="14"/>
      <c r="BL2" s="14"/>
      <c r="BM2" s="14"/>
      <c r="BN2" s="14"/>
      <c r="BO2" s="14"/>
      <c r="BP2" s="14"/>
      <c r="BQ2" s="14"/>
      <c r="BR2" s="14"/>
      <c r="BS2" s="14"/>
      <c r="BT2" s="14"/>
      <c r="BU2" s="14"/>
      <c r="BV2" s="14"/>
      <c r="BW2" s="14"/>
      <c r="BX2" s="14"/>
      <c r="BY2" s="14"/>
      <c r="BZ2" s="14"/>
      <c r="CA2" s="14"/>
      <c r="CB2" s="14"/>
      <c r="CC2" s="14"/>
      <c r="CD2" s="14"/>
      <c r="CE2" s="14"/>
      <c r="CF2" s="14"/>
      <c r="CG2" s="14"/>
      <c r="CH2" s="14"/>
      <c r="CI2" s="14"/>
      <c r="CJ2" s="14"/>
      <c r="CK2" s="14"/>
      <c r="CL2" s="14"/>
      <c r="CM2" s="14"/>
      <c r="CN2" s="14"/>
      <c r="CO2" s="14"/>
      <c r="CP2" s="14"/>
      <c r="CQ2" s="14"/>
      <c r="CR2" s="14"/>
      <c r="CS2" s="14"/>
      <c r="CT2" s="14"/>
      <c r="CU2" s="14"/>
      <c r="CV2" s="14"/>
    </row>
    <row r="3" spans="1:100" ht="18" customHeight="1" thickBot="1" x14ac:dyDescent="0.35">
      <c r="A3" s="14"/>
      <c r="B3" s="15" t="s">
        <v>298</v>
      </c>
      <c r="C3" s="24">
        <f ca="1">TODAY()</f>
        <v>44617</v>
      </c>
      <c r="D3" s="14"/>
      <c r="E3" s="14"/>
      <c r="F3" s="14"/>
      <c r="G3" s="14"/>
      <c r="H3" s="16" t="s">
        <v>299</v>
      </c>
      <c r="I3" s="10">
        <v>44617.828819444447</v>
      </c>
      <c r="J3" s="14"/>
      <c r="K3" s="76"/>
      <c r="L3" s="76"/>
      <c r="M3" s="76"/>
      <c r="N3" s="76"/>
      <c r="O3" s="14"/>
      <c r="P3" s="14"/>
      <c r="Q3" s="14"/>
      <c r="R3" s="14"/>
      <c r="S3" s="14"/>
      <c r="T3" s="14"/>
      <c r="U3" s="14"/>
      <c r="V3" s="14"/>
      <c r="W3" s="14"/>
      <c r="X3" s="14"/>
      <c r="Y3" s="14"/>
      <c r="Z3" s="14"/>
      <c r="AA3" s="14"/>
      <c r="AB3" s="14"/>
      <c r="AC3" s="14"/>
      <c r="AD3" s="14"/>
      <c r="AE3" s="14"/>
      <c r="AF3" s="14"/>
      <c r="AG3" s="14"/>
      <c r="AH3" s="12"/>
      <c r="AI3" s="12"/>
      <c r="AJ3" s="12"/>
      <c r="AK3" s="12"/>
      <c r="AL3" s="12"/>
      <c r="AM3" s="12"/>
      <c r="AN3" s="12"/>
      <c r="AO3" s="12"/>
      <c r="AP3" s="12"/>
      <c r="AQ3" s="12"/>
      <c r="AR3" s="12"/>
      <c r="AS3" s="12"/>
      <c r="AT3" s="12"/>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c r="BU3" s="14"/>
      <c r="BV3" s="14"/>
      <c r="BW3" s="14"/>
      <c r="BX3" s="14"/>
      <c r="BY3" s="14"/>
      <c r="BZ3" s="14"/>
      <c r="CA3" s="14"/>
      <c r="CB3" s="14"/>
      <c r="CC3" s="14"/>
      <c r="CD3" s="14"/>
      <c r="CE3" s="14"/>
      <c r="CF3" s="14"/>
      <c r="CG3" s="14"/>
      <c r="CH3" s="14"/>
      <c r="CI3" s="14"/>
      <c r="CJ3" s="14"/>
      <c r="CK3" s="14"/>
      <c r="CL3" s="14"/>
      <c r="CM3" s="14"/>
      <c r="CN3" s="14"/>
      <c r="CO3" s="14"/>
      <c r="CP3" s="14"/>
      <c r="CQ3" s="14"/>
      <c r="CR3" s="14"/>
      <c r="CS3" s="14"/>
      <c r="CT3" s="14"/>
      <c r="CU3" s="14"/>
      <c r="CV3" s="14"/>
    </row>
    <row r="4" spans="1:100" ht="18" customHeight="1" thickBot="1" x14ac:dyDescent="0.35">
      <c r="A4" s="14"/>
      <c r="B4" s="15" t="s">
        <v>300</v>
      </c>
      <c r="C4" s="20" t="s">
        <v>1101</v>
      </c>
      <c r="D4" s="14"/>
      <c r="E4" s="14"/>
      <c r="F4" s="14"/>
      <c r="G4" s="14"/>
      <c r="H4" s="14"/>
      <c r="I4" s="14"/>
      <c r="J4" s="14"/>
      <c r="K4" s="76"/>
      <c r="L4" s="76"/>
      <c r="M4" s="76"/>
      <c r="N4" s="76"/>
      <c r="O4" s="14"/>
      <c r="P4" s="14"/>
      <c r="Q4" s="14"/>
      <c r="R4" s="14"/>
      <c r="S4" s="14"/>
      <c r="T4" s="14"/>
      <c r="U4" s="14"/>
      <c r="V4" s="14"/>
      <c r="W4" s="14"/>
      <c r="X4" s="14"/>
      <c r="Y4" s="14"/>
      <c r="Z4" s="14"/>
      <c r="AA4" s="14"/>
      <c r="AB4" s="14"/>
      <c r="AC4" s="14"/>
      <c r="AD4" s="14"/>
      <c r="AE4" s="14"/>
      <c r="AF4" s="14"/>
      <c r="AG4" s="14"/>
      <c r="AH4" s="12"/>
      <c r="AI4" s="12"/>
      <c r="AJ4" s="12"/>
      <c r="AK4" s="12"/>
      <c r="AL4" s="12"/>
      <c r="AM4" s="12"/>
      <c r="AN4" s="12"/>
      <c r="AO4" s="12"/>
      <c r="AP4" s="12"/>
      <c r="AQ4" s="12"/>
      <c r="AR4" s="12"/>
      <c r="AS4" s="12"/>
      <c r="AT4" s="12"/>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c r="BU4" s="14"/>
      <c r="BV4" s="14"/>
      <c r="BW4" s="14"/>
      <c r="BX4" s="14"/>
      <c r="BY4" s="14"/>
      <c r="BZ4" s="14"/>
      <c r="CA4" s="14"/>
      <c r="CB4" s="14"/>
      <c r="CC4" s="14"/>
      <c r="CD4" s="14"/>
      <c r="CE4" s="14"/>
      <c r="CF4" s="21"/>
      <c r="CG4" s="21"/>
      <c r="CH4" s="14"/>
      <c r="CI4" s="14"/>
      <c r="CJ4" s="14"/>
      <c r="CK4" s="14"/>
      <c r="CL4" s="14"/>
      <c r="CM4" s="14"/>
      <c r="CN4" s="14"/>
      <c r="CO4" s="14"/>
      <c r="CP4" s="14"/>
      <c r="CQ4" s="14"/>
      <c r="CR4" s="14"/>
      <c r="CS4" s="14"/>
      <c r="CT4" s="14"/>
      <c r="CU4" s="14"/>
      <c r="CV4" s="14"/>
    </row>
    <row r="5" spans="1:100" ht="18" customHeight="1" x14ac:dyDescent="0.3">
      <c r="A5" s="14"/>
      <c r="B5" s="77" t="s">
        <v>481</v>
      </c>
      <c r="C5" s="79">
        <f>VLOOKUP($C$1,vesseldata,2,FALSE)</f>
        <v>9228291</v>
      </c>
      <c r="D5" s="14"/>
      <c r="E5" s="14"/>
      <c r="F5" s="14"/>
      <c r="G5" s="14"/>
      <c r="H5" s="14"/>
      <c r="I5" s="14"/>
      <c r="J5" s="14"/>
      <c r="K5" s="76"/>
      <c r="L5" s="76"/>
      <c r="M5" s="76"/>
      <c r="N5" s="76"/>
      <c r="O5" s="14"/>
      <c r="P5" s="14"/>
      <c r="Q5" s="14"/>
      <c r="R5" s="14"/>
      <c r="S5" s="14"/>
      <c r="T5" s="14"/>
      <c r="U5" s="14"/>
      <c r="V5" s="14"/>
      <c r="W5" s="14"/>
      <c r="X5" s="131" t="s">
        <v>301</v>
      </c>
      <c r="Y5" s="132"/>
      <c r="Z5" s="132"/>
      <c r="AA5" s="132"/>
      <c r="AB5" s="132"/>
      <c r="AC5" s="132"/>
      <c r="AD5" s="132"/>
      <c r="AE5" s="133"/>
      <c r="AF5" s="14"/>
      <c r="AG5" s="14"/>
      <c r="AH5" s="12"/>
      <c r="AI5" s="12"/>
      <c r="AJ5" s="12"/>
      <c r="AK5" s="12"/>
      <c r="AL5" s="12"/>
      <c r="AM5" s="12"/>
      <c r="AN5" s="12"/>
      <c r="AO5" s="12"/>
      <c r="AP5" s="12"/>
      <c r="AQ5" s="12"/>
      <c r="AR5" s="12"/>
      <c r="AS5" s="12"/>
      <c r="AT5" s="12"/>
      <c r="AU5" s="14"/>
      <c r="AV5" s="14"/>
      <c r="AW5" s="14"/>
      <c r="AX5" s="14"/>
      <c r="AY5" s="14"/>
      <c r="AZ5" s="14"/>
      <c r="BA5" s="14"/>
      <c r="BB5" s="14"/>
      <c r="BC5" s="14"/>
      <c r="BD5" s="14"/>
      <c r="BE5" s="14"/>
      <c r="BF5" s="14"/>
      <c r="BG5" s="14"/>
      <c r="BH5" s="14"/>
      <c r="BI5" s="14"/>
      <c r="BJ5" s="14"/>
      <c r="BK5" s="14"/>
      <c r="BL5" s="14"/>
      <c r="BM5" s="14"/>
      <c r="BN5" s="14"/>
      <c r="BO5" s="14"/>
      <c r="BP5" s="14"/>
      <c r="BQ5" s="14"/>
      <c r="BR5" s="14"/>
      <c r="BS5" s="14"/>
      <c r="BT5" s="14"/>
      <c r="BU5" s="14"/>
      <c r="BV5" s="14"/>
      <c r="BW5" s="14"/>
      <c r="BX5" s="14"/>
      <c r="BY5" s="14"/>
      <c r="BZ5" s="14"/>
      <c r="CA5" s="14"/>
      <c r="CB5" s="14"/>
      <c r="CC5" s="14"/>
      <c r="CD5" s="14"/>
      <c r="CE5" s="14"/>
      <c r="CF5" s="14"/>
      <c r="CG5" s="14"/>
      <c r="CH5" s="14"/>
      <c r="CI5" s="14"/>
      <c r="CJ5" s="14"/>
      <c r="CK5" s="14"/>
      <c r="CL5" s="14"/>
      <c r="CM5" s="14"/>
      <c r="CN5" s="14"/>
      <c r="CO5" s="14"/>
      <c r="CP5" s="14"/>
      <c r="CQ5" s="14"/>
      <c r="CR5" s="14"/>
      <c r="CS5" s="14"/>
      <c r="CT5" s="14"/>
      <c r="CU5" s="14"/>
      <c r="CV5" s="14"/>
    </row>
    <row r="6" spans="1:100" s="99" customFormat="1" ht="24.75" customHeight="1" x14ac:dyDescent="0.2">
      <c r="A6" s="83" t="s">
        <v>302</v>
      </c>
      <c r="B6" s="83" t="s">
        <v>303</v>
      </c>
      <c r="C6" s="83" t="s">
        <v>304</v>
      </c>
      <c r="D6" s="83" t="s">
        <v>305</v>
      </c>
      <c r="E6" s="83" t="s">
        <v>497</v>
      </c>
      <c r="F6" s="83" t="s">
        <v>498</v>
      </c>
      <c r="G6" s="83" t="s">
        <v>306</v>
      </c>
      <c r="H6" s="83" t="s">
        <v>307</v>
      </c>
      <c r="I6" s="83" t="s">
        <v>308</v>
      </c>
      <c r="J6" s="83" t="s">
        <v>500</v>
      </c>
      <c r="K6" s="83" t="s">
        <v>309</v>
      </c>
      <c r="L6" s="83" t="s">
        <v>891</v>
      </c>
      <c r="M6" s="84" t="s">
        <v>954</v>
      </c>
      <c r="N6" s="83" t="s">
        <v>311</v>
      </c>
      <c r="O6" s="83" t="s">
        <v>312</v>
      </c>
      <c r="P6" s="83" t="s">
        <v>313</v>
      </c>
      <c r="Q6" s="83" t="s">
        <v>314</v>
      </c>
      <c r="R6" s="83" t="s">
        <v>315</v>
      </c>
      <c r="S6" s="83" t="s">
        <v>316</v>
      </c>
      <c r="T6" s="83" t="s">
        <v>317</v>
      </c>
      <c r="U6" s="83" t="s">
        <v>318</v>
      </c>
      <c r="V6" s="83" t="s">
        <v>319</v>
      </c>
      <c r="W6" s="83" t="s">
        <v>320</v>
      </c>
      <c r="X6" s="85" t="s">
        <v>321</v>
      </c>
      <c r="Y6" s="85" t="s">
        <v>322</v>
      </c>
      <c r="Z6" s="85" t="s">
        <v>893</v>
      </c>
      <c r="AA6" s="85" t="s">
        <v>323</v>
      </c>
      <c r="AB6" s="85" t="s">
        <v>324</v>
      </c>
      <c r="AC6" s="85" t="s">
        <v>325</v>
      </c>
      <c r="AD6" s="85" t="s">
        <v>326</v>
      </c>
      <c r="AE6" s="85" t="s">
        <v>955</v>
      </c>
      <c r="AF6" s="86" t="s">
        <v>499</v>
      </c>
      <c r="AG6" s="86" t="s">
        <v>892</v>
      </c>
      <c r="AH6" s="87" t="s">
        <v>890</v>
      </c>
      <c r="AI6" s="87" t="s">
        <v>482</v>
      </c>
      <c r="AJ6" s="87" t="s">
        <v>508</v>
      </c>
      <c r="AK6" s="87" t="s">
        <v>483</v>
      </c>
      <c r="AL6" s="87" t="s">
        <v>490</v>
      </c>
      <c r="AM6" s="87" t="s">
        <v>489</v>
      </c>
      <c r="AN6" s="87" t="s">
        <v>484</v>
      </c>
      <c r="AO6" s="87" t="s">
        <v>485</v>
      </c>
      <c r="AP6" s="87" t="s">
        <v>486</v>
      </c>
      <c r="AQ6" s="87" t="s">
        <v>487</v>
      </c>
      <c r="AR6" s="87" t="s">
        <v>488</v>
      </c>
      <c r="AS6" s="87" t="s">
        <v>342</v>
      </c>
      <c r="AT6" s="87" t="s">
        <v>492</v>
      </c>
      <c r="AU6" s="87" t="s">
        <v>491</v>
      </c>
      <c r="AV6" s="87" t="s">
        <v>493</v>
      </c>
      <c r="AW6" s="87" t="s">
        <v>494</v>
      </c>
      <c r="AX6" s="87" t="s">
        <v>495</v>
      </c>
      <c r="AY6" s="87" t="s">
        <v>496</v>
      </c>
      <c r="AZ6" s="87" t="s">
        <v>501</v>
      </c>
      <c r="BA6" s="87" t="s">
        <v>895</v>
      </c>
      <c r="BB6" s="87" t="s">
        <v>754</v>
      </c>
      <c r="BC6" s="87" t="s">
        <v>502</v>
      </c>
      <c r="BD6" s="87" t="s">
        <v>504</v>
      </c>
      <c r="BE6" s="87" t="s">
        <v>503</v>
      </c>
      <c r="BF6" s="87" t="s">
        <v>506</v>
      </c>
      <c r="BG6" s="87" t="s">
        <v>507</v>
      </c>
      <c r="BH6" s="87" t="s">
        <v>509</v>
      </c>
      <c r="BI6" s="87" t="s">
        <v>570</v>
      </c>
      <c r="BJ6" s="87" t="s">
        <v>585</v>
      </c>
      <c r="BK6" s="87" t="s">
        <v>626</v>
      </c>
      <c r="BL6" s="87" t="s">
        <v>855</v>
      </c>
      <c r="BM6" s="87" t="s">
        <v>856</v>
      </c>
      <c r="BN6" s="87" t="s">
        <v>880</v>
      </c>
      <c r="BO6" s="87" t="s">
        <v>881</v>
      </c>
      <c r="BP6" s="87" t="s">
        <v>961</v>
      </c>
      <c r="BQ6" s="87" t="s">
        <v>882</v>
      </c>
      <c r="BR6" s="87" t="s">
        <v>883</v>
      </c>
      <c r="BS6" s="87" t="s">
        <v>884</v>
      </c>
      <c r="BT6" s="87" t="s">
        <v>885</v>
      </c>
      <c r="BU6" s="87" t="s">
        <v>960</v>
      </c>
      <c r="BV6" s="87" t="s">
        <v>886</v>
      </c>
      <c r="BW6" s="87" t="s">
        <v>887</v>
      </c>
      <c r="BX6" s="87" t="s">
        <v>889</v>
      </c>
      <c r="BY6" s="87" t="s">
        <v>888</v>
      </c>
      <c r="BZ6" s="87" t="s">
        <v>860</v>
      </c>
      <c r="CA6" s="87" t="s">
        <v>861</v>
      </c>
      <c r="CB6" s="87" t="s">
        <v>857</v>
      </c>
      <c r="CC6" s="88" t="s">
        <v>859</v>
      </c>
      <c r="CD6" s="87" t="s">
        <v>862</v>
      </c>
      <c r="CE6" s="87" t="s">
        <v>863</v>
      </c>
      <c r="CF6" s="87" t="s">
        <v>864</v>
      </c>
      <c r="CG6" s="87" t="s">
        <v>865</v>
      </c>
      <c r="CH6" s="87" t="s">
        <v>866</v>
      </c>
      <c r="CI6" s="87" t="s">
        <v>867</v>
      </c>
      <c r="CJ6" s="87" t="s">
        <v>868</v>
      </c>
      <c r="CK6" s="87" t="s">
        <v>869</v>
      </c>
      <c r="CL6" s="87" t="s">
        <v>870</v>
      </c>
      <c r="CM6" s="87" t="s">
        <v>871</v>
      </c>
      <c r="CN6" s="87" t="s">
        <v>858</v>
      </c>
      <c r="CO6" s="87" t="s">
        <v>872</v>
      </c>
      <c r="CP6" s="87" t="s">
        <v>873</v>
      </c>
      <c r="CQ6" s="87" t="s">
        <v>874</v>
      </c>
      <c r="CR6" s="87" t="s">
        <v>875</v>
      </c>
      <c r="CS6" s="87" t="s">
        <v>876</v>
      </c>
      <c r="CT6" s="87" t="s">
        <v>877</v>
      </c>
      <c r="CU6" s="87" t="s">
        <v>878</v>
      </c>
      <c r="CV6" s="89" t="s">
        <v>879</v>
      </c>
    </row>
    <row r="7" spans="1:100" ht="15" hidden="1" customHeight="1" x14ac:dyDescent="0.3">
      <c r="A7" s="90" t="s">
        <v>568</v>
      </c>
      <c r="B7" s="91"/>
      <c r="C7" s="90"/>
      <c r="D7" s="90"/>
      <c r="E7" s="108" t="str">
        <f>LEFT(D7,1)&amp;"moge"</f>
        <v>moge</v>
      </c>
      <c r="F7" s="90" t="str">
        <f>LEFT(D7,1)&amp;"hoge"</f>
        <v>hoge</v>
      </c>
      <c r="G7" s="90"/>
      <c r="H7" s="90"/>
      <c r="I7" s="90"/>
      <c r="J7" s="90" t="str">
        <f>LEFT(I7,3)</f>
        <v/>
      </c>
      <c r="K7" s="90"/>
      <c r="L7" s="90" t="str">
        <f>LEFT(K7,5)</f>
        <v/>
      </c>
      <c r="M7" s="108" t="s">
        <v>346</v>
      </c>
      <c r="N7" s="90"/>
      <c r="O7" s="90"/>
      <c r="P7" s="90"/>
      <c r="Q7" s="91"/>
      <c r="R7" s="91"/>
      <c r="S7" s="90"/>
      <c r="T7" s="91"/>
      <c r="U7" s="92" t="s">
        <v>295</v>
      </c>
      <c r="V7" s="92" t="s">
        <v>295</v>
      </c>
      <c r="W7" s="93" t="s">
        <v>262</v>
      </c>
      <c r="X7" s="90"/>
      <c r="Y7" s="90"/>
      <c r="Z7" s="90"/>
      <c r="AA7" s="90"/>
      <c r="AB7" s="90"/>
      <c r="AC7" s="91"/>
      <c r="AD7" s="90" t="s">
        <v>261</v>
      </c>
      <c r="AE7" s="90"/>
      <c r="AF7" s="90"/>
      <c r="AG7" s="90" t="s">
        <v>0</v>
      </c>
      <c r="AH7" s="93" t="s">
        <v>972</v>
      </c>
      <c r="AI7" s="93" t="b">
        <v>0</v>
      </c>
      <c r="AJ7" s="93"/>
      <c r="AK7" s="93" t="b">
        <v>0</v>
      </c>
      <c r="AL7" s="93"/>
      <c r="AM7" s="93" t="b">
        <v>0</v>
      </c>
      <c r="AN7" s="93" t="b">
        <v>0</v>
      </c>
      <c r="AO7" s="93" t="b">
        <v>0</v>
      </c>
      <c r="AP7" s="93" t="b">
        <v>0</v>
      </c>
      <c r="AQ7" s="93" t="b">
        <v>0</v>
      </c>
      <c r="AR7" s="93" t="b">
        <v>0</v>
      </c>
      <c r="AS7" s="93" t="b">
        <v>0</v>
      </c>
      <c r="AT7" s="107"/>
      <c r="AU7" s="94">
        <f>$C$5</f>
        <v>9228291</v>
      </c>
      <c r="AV7" s="90" t="str">
        <f>$C$1</f>
        <v>Ginga Kite</v>
      </c>
      <c r="AW7" s="108" t="str">
        <f>$C$2</f>
        <v>TP2019005</v>
      </c>
      <c r="AX7" s="91">
        <f ca="1">$C$3</f>
        <v>44617</v>
      </c>
      <c r="AY7" s="108" t="str">
        <f>$C$4</f>
        <v>Capt. Samindra Singh</v>
      </c>
      <c r="AZ7" s="90"/>
      <c r="BA7" s="90"/>
      <c r="BB7" s="90"/>
      <c r="BC7" s="90"/>
      <c r="BD7" s="90"/>
      <c r="BE7" s="90"/>
      <c r="BF7" s="90"/>
      <c r="BG7" s="91"/>
      <c r="BH7" s="93" t="b">
        <v>0</v>
      </c>
      <c r="BI7" s="90"/>
      <c r="BJ7" s="90"/>
      <c r="BK7" s="90"/>
      <c r="BL7" s="90"/>
      <c r="BM7" s="90"/>
      <c r="BN7" s="90"/>
      <c r="BO7" s="90"/>
      <c r="BP7" s="90"/>
      <c r="BQ7" s="90"/>
      <c r="BR7" s="95"/>
      <c r="BS7" s="90"/>
      <c r="BT7" s="90"/>
      <c r="BU7" s="90"/>
      <c r="BV7" s="90"/>
      <c r="BW7" s="90"/>
      <c r="BX7" s="90"/>
      <c r="BY7" s="90"/>
      <c r="BZ7" s="90"/>
      <c r="CA7" s="90"/>
      <c r="CB7" s="90"/>
      <c r="CC7" s="91"/>
      <c r="CD7" s="90"/>
      <c r="CE7" s="91"/>
      <c r="CF7" s="90"/>
      <c r="CG7" s="91"/>
      <c r="CH7" s="90"/>
      <c r="CI7" s="91"/>
      <c r="CJ7" s="90"/>
      <c r="CK7" s="91"/>
      <c r="CL7" s="90"/>
      <c r="CM7" s="91"/>
      <c r="CN7" s="96"/>
      <c r="CO7" s="91"/>
      <c r="CP7" s="90"/>
      <c r="CQ7" s="90"/>
      <c r="CR7" s="90"/>
      <c r="CS7" s="90"/>
      <c r="CT7" s="91"/>
      <c r="CU7" s="90"/>
      <c r="CV7" s="97"/>
    </row>
    <row r="8" spans="1:100" ht="15" customHeight="1" x14ac:dyDescent="0.3">
      <c r="A8" s="117" t="s">
        <v>1102</v>
      </c>
      <c r="B8" s="118">
        <v>43863</v>
      </c>
      <c r="C8" s="117" t="s">
        <v>1103</v>
      </c>
      <c r="D8" s="117" t="s">
        <v>364</v>
      </c>
      <c r="E8" s="119" t="s">
        <v>1104</v>
      </c>
      <c r="F8" s="117" t="s">
        <v>1105</v>
      </c>
      <c r="G8" s="117" t="s">
        <v>390</v>
      </c>
      <c r="H8" s="117" t="s">
        <v>1106</v>
      </c>
      <c r="I8" s="117" t="s">
        <v>584</v>
      </c>
      <c r="J8" s="117" t="s">
        <v>1107</v>
      </c>
      <c r="K8" s="117" t="s">
        <v>82</v>
      </c>
      <c r="L8" s="117" t="s">
        <v>1108</v>
      </c>
      <c r="M8" s="119" t="s">
        <v>346</v>
      </c>
      <c r="N8" s="117" t="s">
        <v>1109</v>
      </c>
      <c r="O8" s="117" t="s">
        <v>1110</v>
      </c>
      <c r="P8" s="117" t="s">
        <v>1111</v>
      </c>
      <c r="Q8" s="118">
        <v>43866</v>
      </c>
      <c r="R8" s="118">
        <v>44074</v>
      </c>
      <c r="S8" s="117" t="s">
        <v>1112</v>
      </c>
      <c r="T8" s="118">
        <v>44285</v>
      </c>
      <c r="U8" s="120" t="s">
        <v>295</v>
      </c>
      <c r="V8" s="120" t="s">
        <v>295</v>
      </c>
      <c r="W8" s="121" t="s">
        <v>262</v>
      </c>
      <c r="X8" s="117" t="s">
        <v>1113</v>
      </c>
      <c r="Y8" s="117"/>
      <c r="Z8" s="117"/>
      <c r="AA8" s="117" t="s">
        <v>1</v>
      </c>
      <c r="AB8" s="117" t="s">
        <v>1114</v>
      </c>
      <c r="AC8" s="118">
        <v>44285</v>
      </c>
      <c r="AD8" s="117" t="s">
        <v>349</v>
      </c>
      <c r="AE8" s="117" t="s">
        <v>1115</v>
      </c>
      <c r="AF8" s="90" t="s">
        <v>1116</v>
      </c>
      <c r="AG8" s="90" t="s">
        <v>0</v>
      </c>
      <c r="AH8" s="93" t="s">
        <v>972</v>
      </c>
      <c r="AI8" s="93" t="b">
        <v>0</v>
      </c>
      <c r="AJ8" s="93"/>
      <c r="AK8" s="93" t="b">
        <v>0</v>
      </c>
      <c r="AL8" s="93"/>
      <c r="AM8" s="93" t="b">
        <v>0</v>
      </c>
      <c r="AN8" s="93" t="b">
        <v>0</v>
      </c>
      <c r="AO8" s="93" t="b">
        <v>0</v>
      </c>
      <c r="AP8" s="93" t="b">
        <v>1</v>
      </c>
      <c r="AQ8" s="93" t="b">
        <v>0</v>
      </c>
      <c r="AR8" s="93" t="b">
        <v>0</v>
      </c>
      <c r="AS8" s="93" t="b">
        <v>0</v>
      </c>
      <c r="AT8" s="107" t="s">
        <v>1119</v>
      </c>
      <c r="AU8" s="94">
        <v>9228291</v>
      </c>
      <c r="AV8" s="90" t="s">
        <v>730</v>
      </c>
      <c r="AW8" s="108" t="s">
        <v>951</v>
      </c>
      <c r="AX8" s="91">
        <v>44509</v>
      </c>
      <c r="AY8" s="108" t="s">
        <v>1101</v>
      </c>
      <c r="AZ8" s="90" t="s">
        <v>584</v>
      </c>
      <c r="BA8" s="90" t="s">
        <v>82</v>
      </c>
      <c r="BB8" s="90" t="s">
        <v>38</v>
      </c>
      <c r="BC8" s="90"/>
      <c r="BD8" s="90" t="s">
        <v>28</v>
      </c>
      <c r="BE8" s="90"/>
      <c r="BF8" s="90" t="s">
        <v>486</v>
      </c>
      <c r="BG8" s="91">
        <v>44286</v>
      </c>
      <c r="BH8" s="93" t="b">
        <v>0</v>
      </c>
      <c r="BI8" s="90"/>
      <c r="BJ8" s="90" t="s">
        <v>1117</v>
      </c>
      <c r="BK8" s="90" t="s">
        <v>1118</v>
      </c>
      <c r="BL8" s="90"/>
      <c r="BM8" s="90"/>
      <c r="BN8" s="90"/>
      <c r="BO8" s="90"/>
      <c r="BP8" s="90"/>
      <c r="BQ8" s="90"/>
      <c r="BR8" s="95"/>
      <c r="BS8" s="90"/>
      <c r="BT8" s="90"/>
      <c r="BU8" s="90"/>
      <c r="BV8" s="90"/>
      <c r="BW8" s="90"/>
      <c r="BX8" s="90"/>
      <c r="BY8" s="90"/>
      <c r="BZ8" s="90"/>
      <c r="CA8" s="90"/>
      <c r="CB8" s="90"/>
      <c r="CC8" s="91"/>
      <c r="CD8" s="90"/>
      <c r="CE8" s="91"/>
      <c r="CF8" s="90"/>
      <c r="CG8" s="91"/>
      <c r="CH8" s="90"/>
      <c r="CI8" s="91"/>
      <c r="CJ8" s="90"/>
      <c r="CK8" s="91"/>
      <c r="CL8" s="90"/>
      <c r="CM8" s="91"/>
      <c r="CN8" s="96"/>
      <c r="CO8" s="91"/>
      <c r="CP8" s="90"/>
      <c r="CQ8" s="90"/>
      <c r="CR8" s="90"/>
      <c r="CS8" s="90"/>
      <c r="CT8" s="91"/>
      <c r="CU8" s="90"/>
      <c r="CV8" s="97"/>
    </row>
    <row r="9" spans="1:100" ht="15" customHeight="1" x14ac:dyDescent="0.3">
      <c r="A9" s="117" t="s">
        <v>1120</v>
      </c>
      <c r="B9" s="118">
        <v>43905</v>
      </c>
      <c r="C9" s="117" t="s">
        <v>1121</v>
      </c>
      <c r="D9" s="117" t="s">
        <v>364</v>
      </c>
      <c r="E9" s="119" t="s">
        <v>1104</v>
      </c>
      <c r="F9" s="117" t="s">
        <v>1105</v>
      </c>
      <c r="G9" s="117" t="s">
        <v>390</v>
      </c>
      <c r="H9" s="117" t="s">
        <v>1122</v>
      </c>
      <c r="I9" s="117" t="s">
        <v>581</v>
      </c>
      <c r="J9" s="117" t="s">
        <v>1123</v>
      </c>
      <c r="K9" s="117" t="s">
        <v>172</v>
      </c>
      <c r="L9" s="117" t="s">
        <v>1124</v>
      </c>
      <c r="M9" s="119" t="s">
        <v>346</v>
      </c>
      <c r="N9" s="117" t="s">
        <v>1125</v>
      </c>
      <c r="O9" s="117" t="s">
        <v>1126</v>
      </c>
      <c r="P9" s="117" t="s">
        <v>1127</v>
      </c>
      <c r="Q9" s="118">
        <v>43913</v>
      </c>
      <c r="R9" s="118">
        <v>44004</v>
      </c>
      <c r="S9" s="117" t="s">
        <v>1128</v>
      </c>
      <c r="T9" s="118">
        <v>44285</v>
      </c>
      <c r="U9" s="120" t="s">
        <v>295</v>
      </c>
      <c r="V9" s="120" t="s">
        <v>295</v>
      </c>
      <c r="W9" s="121" t="s">
        <v>262</v>
      </c>
      <c r="X9" s="117" t="s">
        <v>1129</v>
      </c>
      <c r="Y9" s="117"/>
      <c r="Z9" s="117"/>
      <c r="AA9" s="117" t="s">
        <v>1</v>
      </c>
      <c r="AB9" s="117" t="s">
        <v>1130</v>
      </c>
      <c r="AC9" s="118">
        <v>44285</v>
      </c>
      <c r="AD9" s="117" t="s">
        <v>349</v>
      </c>
      <c r="AE9" s="117" t="s">
        <v>1115</v>
      </c>
      <c r="AF9" s="90" t="s">
        <v>1116</v>
      </c>
      <c r="AG9" s="90" t="s">
        <v>0</v>
      </c>
      <c r="AH9" s="93" t="s">
        <v>972</v>
      </c>
      <c r="AI9" s="93" t="b">
        <v>0</v>
      </c>
      <c r="AJ9" s="93"/>
      <c r="AK9" s="93" t="b">
        <v>0</v>
      </c>
      <c r="AL9" s="93"/>
      <c r="AM9" s="93" t="b">
        <v>0</v>
      </c>
      <c r="AN9" s="93" t="b">
        <v>0</v>
      </c>
      <c r="AO9" s="93" t="b">
        <v>0</v>
      </c>
      <c r="AP9" s="93" t="b">
        <v>1</v>
      </c>
      <c r="AQ9" s="93" t="b">
        <v>0</v>
      </c>
      <c r="AR9" s="93" t="b">
        <v>0</v>
      </c>
      <c r="AS9" s="93" t="b">
        <v>0</v>
      </c>
      <c r="AT9" s="107" t="s">
        <v>1132</v>
      </c>
      <c r="AU9" s="94">
        <v>9228291</v>
      </c>
      <c r="AV9" s="90" t="s">
        <v>730</v>
      </c>
      <c r="AW9" s="108" t="s">
        <v>951</v>
      </c>
      <c r="AX9" s="91">
        <v>44509</v>
      </c>
      <c r="AY9" s="108" t="s">
        <v>1101</v>
      </c>
      <c r="AZ9" s="90" t="s">
        <v>581</v>
      </c>
      <c r="BA9" s="90" t="s">
        <v>172</v>
      </c>
      <c r="BB9" s="90" t="s">
        <v>37</v>
      </c>
      <c r="BC9" s="90"/>
      <c r="BD9" s="90" t="s">
        <v>28</v>
      </c>
      <c r="BE9" s="90"/>
      <c r="BF9" s="90" t="s">
        <v>486</v>
      </c>
      <c r="BG9" s="91">
        <v>44286</v>
      </c>
      <c r="BH9" s="93" t="b">
        <v>0</v>
      </c>
      <c r="BI9" s="90"/>
      <c r="BJ9" s="90" t="s">
        <v>1131</v>
      </c>
      <c r="BK9" s="90" t="s">
        <v>1118</v>
      </c>
      <c r="BL9" s="90"/>
      <c r="BM9" s="90"/>
      <c r="BN9" s="90"/>
      <c r="BO9" s="90"/>
      <c r="BP9" s="90"/>
      <c r="BQ9" s="90"/>
      <c r="BR9" s="95"/>
      <c r="BS9" s="90"/>
      <c r="BT9" s="90"/>
      <c r="BU9" s="90"/>
      <c r="BV9" s="90"/>
      <c r="BW9" s="90"/>
      <c r="BX9" s="90"/>
      <c r="BY9" s="90"/>
      <c r="BZ9" s="90"/>
      <c r="CA9" s="90"/>
      <c r="CB9" s="90"/>
      <c r="CC9" s="91"/>
      <c r="CD9" s="90"/>
      <c r="CE9" s="91"/>
      <c r="CF9" s="90"/>
      <c r="CG9" s="91"/>
      <c r="CH9" s="90"/>
      <c r="CI9" s="91"/>
      <c r="CJ9" s="90"/>
      <c r="CK9" s="91"/>
      <c r="CL9" s="90"/>
      <c r="CM9" s="91"/>
      <c r="CN9" s="96"/>
      <c r="CO9" s="91"/>
      <c r="CP9" s="90"/>
      <c r="CQ9" s="90"/>
      <c r="CR9" s="90"/>
      <c r="CS9" s="90"/>
      <c r="CT9" s="91"/>
      <c r="CU9" s="90"/>
      <c r="CV9" s="97"/>
    </row>
    <row r="10" spans="1:100" ht="15" customHeight="1" x14ac:dyDescent="0.3">
      <c r="A10" s="117" t="s">
        <v>1133</v>
      </c>
      <c r="B10" s="118">
        <v>43905</v>
      </c>
      <c r="C10" s="117" t="s">
        <v>1134</v>
      </c>
      <c r="D10" s="117" t="s">
        <v>364</v>
      </c>
      <c r="E10" s="119" t="s">
        <v>1104</v>
      </c>
      <c r="F10" s="117" t="s">
        <v>1105</v>
      </c>
      <c r="G10" s="117" t="s">
        <v>390</v>
      </c>
      <c r="H10" s="117" t="s">
        <v>1122</v>
      </c>
      <c r="I10" s="117" t="s">
        <v>581</v>
      </c>
      <c r="J10" s="117" t="s">
        <v>1123</v>
      </c>
      <c r="K10" s="117" t="s">
        <v>172</v>
      </c>
      <c r="L10" s="117" t="s">
        <v>1124</v>
      </c>
      <c r="M10" s="119" t="s">
        <v>346</v>
      </c>
      <c r="N10" s="117" t="s">
        <v>1135</v>
      </c>
      <c r="O10" s="117" t="s">
        <v>1126</v>
      </c>
      <c r="P10" s="117" t="s">
        <v>1136</v>
      </c>
      <c r="Q10" s="118">
        <v>43905</v>
      </c>
      <c r="R10" s="118">
        <v>44004</v>
      </c>
      <c r="S10" s="117" t="s">
        <v>1137</v>
      </c>
      <c r="T10" s="118">
        <v>44285</v>
      </c>
      <c r="U10" s="120" t="s">
        <v>295</v>
      </c>
      <c r="V10" s="120" t="s">
        <v>295</v>
      </c>
      <c r="W10" s="121" t="s">
        <v>262</v>
      </c>
      <c r="X10" s="117" t="s">
        <v>1138</v>
      </c>
      <c r="Y10" s="117"/>
      <c r="Z10" s="117"/>
      <c r="AA10" s="117" t="s">
        <v>1</v>
      </c>
      <c r="AB10" s="117" t="s">
        <v>1139</v>
      </c>
      <c r="AC10" s="118">
        <v>44285</v>
      </c>
      <c r="AD10" s="117" t="s">
        <v>349</v>
      </c>
      <c r="AE10" s="117" t="s">
        <v>1115</v>
      </c>
      <c r="AF10" s="90" t="s">
        <v>1116</v>
      </c>
      <c r="AG10" s="90" t="s">
        <v>0</v>
      </c>
      <c r="AH10" s="93" t="s">
        <v>972</v>
      </c>
      <c r="AI10" s="93" t="b">
        <v>0</v>
      </c>
      <c r="AJ10" s="93"/>
      <c r="AK10" s="93" t="b">
        <v>0</v>
      </c>
      <c r="AL10" s="93"/>
      <c r="AM10" s="93" t="b">
        <v>0</v>
      </c>
      <c r="AN10" s="93" t="b">
        <v>0</v>
      </c>
      <c r="AO10" s="93" t="b">
        <v>0</v>
      </c>
      <c r="AP10" s="93" t="b">
        <v>1</v>
      </c>
      <c r="AQ10" s="93" t="b">
        <v>0</v>
      </c>
      <c r="AR10" s="93" t="b">
        <v>0</v>
      </c>
      <c r="AS10" s="93" t="b">
        <v>0</v>
      </c>
      <c r="AT10" s="107" t="s">
        <v>1141</v>
      </c>
      <c r="AU10" s="94">
        <v>9228291</v>
      </c>
      <c r="AV10" s="90" t="s">
        <v>730</v>
      </c>
      <c r="AW10" s="108" t="s">
        <v>951</v>
      </c>
      <c r="AX10" s="91">
        <v>44509</v>
      </c>
      <c r="AY10" s="108" t="s">
        <v>1101</v>
      </c>
      <c r="AZ10" s="90" t="s">
        <v>581</v>
      </c>
      <c r="BA10" s="90" t="s">
        <v>172</v>
      </c>
      <c r="BB10" s="90" t="s">
        <v>42</v>
      </c>
      <c r="BC10" s="90"/>
      <c r="BD10" s="90" t="s">
        <v>755</v>
      </c>
      <c r="BE10" s="90"/>
      <c r="BF10" s="90" t="s">
        <v>486</v>
      </c>
      <c r="BG10" s="91">
        <v>44286</v>
      </c>
      <c r="BH10" s="93" t="b">
        <v>0</v>
      </c>
      <c r="BI10" s="90"/>
      <c r="BJ10" s="90" t="s">
        <v>1140</v>
      </c>
      <c r="BK10" s="90" t="s">
        <v>1118</v>
      </c>
      <c r="BL10" s="90"/>
      <c r="BM10" s="90"/>
      <c r="BN10" s="90"/>
      <c r="BO10" s="90"/>
      <c r="BP10" s="90"/>
      <c r="BQ10" s="90"/>
      <c r="BR10" s="95"/>
      <c r="BS10" s="90"/>
      <c r="BT10" s="90"/>
      <c r="BU10" s="90"/>
      <c r="BV10" s="90"/>
      <c r="BW10" s="90"/>
      <c r="BX10" s="90"/>
      <c r="BY10" s="90"/>
      <c r="BZ10" s="90"/>
      <c r="CA10" s="90"/>
      <c r="CB10" s="90"/>
      <c r="CC10" s="91"/>
      <c r="CD10" s="90"/>
      <c r="CE10" s="91"/>
      <c r="CF10" s="90"/>
      <c r="CG10" s="91"/>
      <c r="CH10" s="90"/>
      <c r="CI10" s="91"/>
      <c r="CJ10" s="90"/>
      <c r="CK10" s="91"/>
      <c r="CL10" s="90"/>
      <c r="CM10" s="91"/>
      <c r="CN10" s="96"/>
      <c r="CO10" s="91"/>
      <c r="CP10" s="90"/>
      <c r="CQ10" s="90"/>
      <c r="CR10" s="90"/>
      <c r="CS10" s="90"/>
      <c r="CT10" s="91"/>
      <c r="CU10" s="90"/>
      <c r="CV10" s="97"/>
    </row>
    <row r="11" spans="1:100" ht="15" customHeight="1" x14ac:dyDescent="0.3">
      <c r="A11" s="117" t="s">
        <v>1142</v>
      </c>
      <c r="B11" s="118">
        <v>43913</v>
      </c>
      <c r="C11" s="117" t="s">
        <v>1143</v>
      </c>
      <c r="D11" s="117" t="s">
        <v>364</v>
      </c>
      <c r="E11" s="119" t="s">
        <v>1104</v>
      </c>
      <c r="F11" s="117" t="s">
        <v>1105</v>
      </c>
      <c r="G11" s="117" t="s">
        <v>389</v>
      </c>
      <c r="H11" s="117" t="s">
        <v>1144</v>
      </c>
      <c r="I11" s="117" t="s">
        <v>13</v>
      </c>
      <c r="J11" s="117" t="s">
        <v>1145</v>
      </c>
      <c r="K11" s="117" t="s">
        <v>83</v>
      </c>
      <c r="L11" s="117" t="s">
        <v>1146</v>
      </c>
      <c r="M11" s="119" t="s">
        <v>346</v>
      </c>
      <c r="N11" s="117" t="s">
        <v>1147</v>
      </c>
      <c r="O11" s="117" t="s">
        <v>1148</v>
      </c>
      <c r="P11" s="117" t="s">
        <v>1149</v>
      </c>
      <c r="Q11" s="118">
        <v>43884</v>
      </c>
      <c r="R11" s="118">
        <v>44004</v>
      </c>
      <c r="S11" s="117" t="s">
        <v>1150</v>
      </c>
      <c r="T11" s="118">
        <v>44284</v>
      </c>
      <c r="U11" s="120" t="s">
        <v>295</v>
      </c>
      <c r="V11" s="120" t="s">
        <v>295</v>
      </c>
      <c r="W11" s="121" t="s">
        <v>262</v>
      </c>
      <c r="X11" s="117" t="s">
        <v>1151</v>
      </c>
      <c r="Y11" s="117"/>
      <c r="Z11" s="117"/>
      <c r="AA11" s="117" t="s">
        <v>1</v>
      </c>
      <c r="AB11" s="117" t="s">
        <v>1152</v>
      </c>
      <c r="AC11" s="118">
        <v>44284</v>
      </c>
      <c r="AD11" s="117" t="s">
        <v>349</v>
      </c>
      <c r="AE11" s="117" t="s">
        <v>1115</v>
      </c>
      <c r="AF11" s="90" t="s">
        <v>1116</v>
      </c>
      <c r="AG11" s="90" t="s">
        <v>0</v>
      </c>
      <c r="AH11" s="93" t="s">
        <v>972</v>
      </c>
      <c r="AI11" s="93" t="b">
        <v>0</v>
      </c>
      <c r="AJ11" s="93"/>
      <c r="AK11" s="93" t="b">
        <v>0</v>
      </c>
      <c r="AL11" s="93"/>
      <c r="AM11" s="93" t="b">
        <v>0</v>
      </c>
      <c r="AN11" s="93" t="b">
        <v>0</v>
      </c>
      <c r="AO11" s="93" t="b">
        <v>0</v>
      </c>
      <c r="AP11" s="93" t="b">
        <v>1</v>
      </c>
      <c r="AQ11" s="93" t="b">
        <v>0</v>
      </c>
      <c r="AR11" s="93" t="b">
        <v>0</v>
      </c>
      <c r="AS11" s="93" t="b">
        <v>0</v>
      </c>
      <c r="AT11" s="107" t="s">
        <v>1154</v>
      </c>
      <c r="AU11" s="94">
        <v>9228291</v>
      </c>
      <c r="AV11" s="90" t="s">
        <v>730</v>
      </c>
      <c r="AW11" s="108" t="s">
        <v>951</v>
      </c>
      <c r="AX11" s="91">
        <v>44509</v>
      </c>
      <c r="AY11" s="108" t="s">
        <v>1101</v>
      </c>
      <c r="AZ11" s="90" t="s">
        <v>13</v>
      </c>
      <c r="BA11" s="90" t="s">
        <v>83</v>
      </c>
      <c r="BB11" s="90" t="s">
        <v>38</v>
      </c>
      <c r="BC11" s="90"/>
      <c r="BD11" s="90" t="s">
        <v>28</v>
      </c>
      <c r="BE11" s="90"/>
      <c r="BF11" s="90" t="s">
        <v>486</v>
      </c>
      <c r="BG11" s="91">
        <v>44286</v>
      </c>
      <c r="BH11" s="93" t="b">
        <v>0</v>
      </c>
      <c r="BI11" s="90"/>
      <c r="BJ11" s="90" t="s">
        <v>1153</v>
      </c>
      <c r="BK11" s="90" t="s">
        <v>1118</v>
      </c>
      <c r="BL11" s="90"/>
      <c r="BM11" s="90"/>
      <c r="BN11" s="90"/>
      <c r="BO11" s="90"/>
      <c r="BP11" s="90"/>
      <c r="BQ11" s="90"/>
      <c r="BR11" s="95"/>
      <c r="BS11" s="90"/>
      <c r="BT11" s="90"/>
      <c r="BU11" s="90"/>
      <c r="BV11" s="90"/>
      <c r="BW11" s="90"/>
      <c r="BX11" s="90"/>
      <c r="BY11" s="90"/>
      <c r="BZ11" s="90"/>
      <c r="CA11" s="90"/>
      <c r="CB11" s="90"/>
      <c r="CC11" s="91"/>
      <c r="CD11" s="90"/>
      <c r="CE11" s="91"/>
      <c r="CF11" s="90"/>
      <c r="CG11" s="91"/>
      <c r="CH11" s="90"/>
      <c r="CI11" s="91"/>
      <c r="CJ11" s="90"/>
      <c r="CK11" s="91"/>
      <c r="CL11" s="90"/>
      <c r="CM11" s="91"/>
      <c r="CN11" s="96"/>
      <c r="CO11" s="91"/>
      <c r="CP11" s="90"/>
      <c r="CQ11" s="90"/>
      <c r="CR11" s="90"/>
      <c r="CS11" s="90"/>
      <c r="CT11" s="91"/>
      <c r="CU11" s="90"/>
      <c r="CV11" s="97"/>
    </row>
    <row r="12" spans="1:100" ht="15" customHeight="1" x14ac:dyDescent="0.3">
      <c r="A12" s="117" t="s">
        <v>1155</v>
      </c>
      <c r="B12" s="118">
        <v>43913</v>
      </c>
      <c r="C12" s="117" t="s">
        <v>1156</v>
      </c>
      <c r="D12" s="117" t="s">
        <v>364</v>
      </c>
      <c r="E12" s="119" t="s">
        <v>1104</v>
      </c>
      <c r="F12" s="117" t="s">
        <v>1105</v>
      </c>
      <c r="G12" s="117" t="s">
        <v>389</v>
      </c>
      <c r="H12" s="117" t="s">
        <v>1157</v>
      </c>
      <c r="I12" s="117" t="s">
        <v>13</v>
      </c>
      <c r="J12" s="117" t="s">
        <v>1145</v>
      </c>
      <c r="K12" s="117" t="s">
        <v>83</v>
      </c>
      <c r="L12" s="117" t="s">
        <v>1146</v>
      </c>
      <c r="M12" s="119" t="s">
        <v>346</v>
      </c>
      <c r="N12" s="117" t="s">
        <v>1158</v>
      </c>
      <c r="O12" s="117" t="s">
        <v>1148</v>
      </c>
      <c r="P12" s="117" t="s">
        <v>1149</v>
      </c>
      <c r="Q12" s="118">
        <v>43913</v>
      </c>
      <c r="R12" s="118">
        <v>44004</v>
      </c>
      <c r="S12" s="117" t="s">
        <v>1159</v>
      </c>
      <c r="T12" s="118">
        <v>44285</v>
      </c>
      <c r="U12" s="120" t="s">
        <v>295</v>
      </c>
      <c r="V12" s="120" t="s">
        <v>295</v>
      </c>
      <c r="W12" s="121" t="s">
        <v>262</v>
      </c>
      <c r="X12" s="117" t="s">
        <v>1160</v>
      </c>
      <c r="Y12" s="117"/>
      <c r="Z12" s="117"/>
      <c r="AA12" s="117" t="s">
        <v>1</v>
      </c>
      <c r="AB12" s="117" t="s">
        <v>1161</v>
      </c>
      <c r="AC12" s="118">
        <v>44285</v>
      </c>
      <c r="AD12" s="117" t="s">
        <v>349</v>
      </c>
      <c r="AE12" s="117" t="s">
        <v>1115</v>
      </c>
      <c r="AF12" s="90" t="s">
        <v>1116</v>
      </c>
      <c r="AG12" s="90" t="s">
        <v>0</v>
      </c>
      <c r="AH12" s="93" t="s">
        <v>972</v>
      </c>
      <c r="AI12" s="93" t="b">
        <v>0</v>
      </c>
      <c r="AJ12" s="93"/>
      <c r="AK12" s="93" t="b">
        <v>0</v>
      </c>
      <c r="AL12" s="93"/>
      <c r="AM12" s="93" t="b">
        <v>0</v>
      </c>
      <c r="AN12" s="93" t="b">
        <v>0</v>
      </c>
      <c r="AO12" s="93" t="b">
        <v>0</v>
      </c>
      <c r="AP12" s="93" t="b">
        <v>1</v>
      </c>
      <c r="AQ12" s="93" t="b">
        <v>0</v>
      </c>
      <c r="AR12" s="93" t="b">
        <v>0</v>
      </c>
      <c r="AS12" s="93" t="b">
        <v>0</v>
      </c>
      <c r="AT12" s="107" t="s">
        <v>1163</v>
      </c>
      <c r="AU12" s="94">
        <v>9228291</v>
      </c>
      <c r="AV12" s="90" t="s">
        <v>730</v>
      </c>
      <c r="AW12" s="108" t="s">
        <v>951</v>
      </c>
      <c r="AX12" s="91">
        <v>44509</v>
      </c>
      <c r="AY12" s="108" t="s">
        <v>1101</v>
      </c>
      <c r="AZ12" s="90" t="s">
        <v>13</v>
      </c>
      <c r="BA12" s="90" t="s">
        <v>83</v>
      </c>
      <c r="BB12" s="90" t="s">
        <v>38</v>
      </c>
      <c r="BC12" s="90"/>
      <c r="BD12" s="90" t="s">
        <v>28</v>
      </c>
      <c r="BE12" s="90"/>
      <c r="BF12" s="90" t="s">
        <v>573</v>
      </c>
      <c r="BG12" s="91">
        <v>44286</v>
      </c>
      <c r="BH12" s="93" t="b">
        <v>0</v>
      </c>
      <c r="BI12" s="90"/>
      <c r="BJ12" s="90" t="s">
        <v>1162</v>
      </c>
      <c r="BK12" s="90" t="s">
        <v>1118</v>
      </c>
      <c r="BL12" s="90"/>
      <c r="BM12" s="90"/>
      <c r="BN12" s="90"/>
      <c r="BO12" s="90"/>
      <c r="BP12" s="90"/>
      <c r="BQ12" s="90"/>
      <c r="BR12" s="95"/>
      <c r="BS12" s="90"/>
      <c r="BT12" s="90"/>
      <c r="BU12" s="90"/>
      <c r="BV12" s="90"/>
      <c r="BW12" s="90"/>
      <c r="BX12" s="90"/>
      <c r="BY12" s="90"/>
      <c r="BZ12" s="90"/>
      <c r="CA12" s="90"/>
      <c r="CB12" s="90"/>
      <c r="CC12" s="91"/>
      <c r="CD12" s="90"/>
      <c r="CE12" s="91"/>
      <c r="CF12" s="90"/>
      <c r="CG12" s="91"/>
      <c r="CH12" s="90"/>
      <c r="CI12" s="91"/>
      <c r="CJ12" s="90"/>
      <c r="CK12" s="91"/>
      <c r="CL12" s="90"/>
      <c r="CM12" s="91"/>
      <c r="CN12" s="96"/>
      <c r="CO12" s="91"/>
      <c r="CP12" s="90"/>
      <c r="CQ12" s="90"/>
      <c r="CR12" s="90"/>
      <c r="CS12" s="90"/>
      <c r="CT12" s="91"/>
      <c r="CU12" s="90"/>
      <c r="CV12" s="97"/>
    </row>
    <row r="13" spans="1:100" ht="15" customHeight="1" x14ac:dyDescent="0.3">
      <c r="A13" s="117" t="s">
        <v>1165</v>
      </c>
      <c r="B13" s="118">
        <v>44020</v>
      </c>
      <c r="C13" s="117" t="s">
        <v>1166</v>
      </c>
      <c r="D13" s="117" t="s">
        <v>364</v>
      </c>
      <c r="E13" s="119" t="s">
        <v>1104</v>
      </c>
      <c r="F13" s="117" t="s">
        <v>1105</v>
      </c>
      <c r="G13" s="117" t="s">
        <v>390</v>
      </c>
      <c r="H13" s="117" t="s">
        <v>1167</v>
      </c>
      <c r="I13" s="117" t="s">
        <v>581</v>
      </c>
      <c r="J13" s="117" t="s">
        <v>1123</v>
      </c>
      <c r="K13" s="117" t="s">
        <v>172</v>
      </c>
      <c r="L13" s="117" t="s">
        <v>1124</v>
      </c>
      <c r="M13" s="119" t="s">
        <v>346</v>
      </c>
      <c r="N13" s="117" t="s">
        <v>1168</v>
      </c>
      <c r="O13" s="117" t="s">
        <v>1126</v>
      </c>
      <c r="P13" s="117" t="s">
        <v>1169</v>
      </c>
      <c r="Q13" s="118">
        <v>43959</v>
      </c>
      <c r="R13" s="118">
        <v>44111</v>
      </c>
      <c r="S13" s="117" t="s">
        <v>1170</v>
      </c>
      <c r="T13" s="118">
        <v>44285</v>
      </c>
      <c r="U13" s="120" t="s">
        <v>295</v>
      </c>
      <c r="V13" s="120" t="s">
        <v>295</v>
      </c>
      <c r="W13" s="121" t="s">
        <v>262</v>
      </c>
      <c r="X13" s="117" t="s">
        <v>1171</v>
      </c>
      <c r="Y13" s="117"/>
      <c r="Z13" s="117"/>
      <c r="AA13" s="117" t="s">
        <v>1</v>
      </c>
      <c r="AB13" s="117" t="s">
        <v>1172</v>
      </c>
      <c r="AC13" s="118">
        <v>44285</v>
      </c>
      <c r="AD13" s="117" t="s">
        <v>349</v>
      </c>
      <c r="AE13" s="117" t="s">
        <v>1115</v>
      </c>
      <c r="AF13" s="90" t="s">
        <v>1116</v>
      </c>
      <c r="AG13" s="90" t="s">
        <v>0</v>
      </c>
      <c r="AH13" s="93" t="s">
        <v>972</v>
      </c>
      <c r="AI13" s="93" t="b">
        <v>0</v>
      </c>
      <c r="AJ13" s="93"/>
      <c r="AK13" s="93" t="b">
        <v>0</v>
      </c>
      <c r="AL13" s="93"/>
      <c r="AM13" s="93" t="b">
        <v>0</v>
      </c>
      <c r="AN13" s="93" t="b">
        <v>0</v>
      </c>
      <c r="AO13" s="93" t="b">
        <v>0</v>
      </c>
      <c r="AP13" s="93" t="b">
        <v>1</v>
      </c>
      <c r="AQ13" s="93" t="b">
        <v>0</v>
      </c>
      <c r="AR13" s="93" t="b">
        <v>0</v>
      </c>
      <c r="AS13" s="93" t="b">
        <v>0</v>
      </c>
      <c r="AT13" s="107" t="s">
        <v>1175</v>
      </c>
      <c r="AU13" s="94">
        <v>9228291</v>
      </c>
      <c r="AV13" s="90" t="s">
        <v>730</v>
      </c>
      <c r="AW13" s="108" t="s">
        <v>951</v>
      </c>
      <c r="AX13" s="91">
        <v>44509</v>
      </c>
      <c r="AY13" s="108" t="s">
        <v>1101</v>
      </c>
      <c r="AZ13" s="90" t="s">
        <v>581</v>
      </c>
      <c r="BA13" s="90" t="s">
        <v>172</v>
      </c>
      <c r="BB13" s="90" t="s">
        <v>38</v>
      </c>
      <c r="BC13" s="90"/>
      <c r="BD13" s="90" t="s">
        <v>28</v>
      </c>
      <c r="BE13" s="90"/>
      <c r="BF13" s="90" t="s">
        <v>486</v>
      </c>
      <c r="BG13" s="91">
        <v>44286</v>
      </c>
      <c r="BH13" s="93" t="b">
        <v>0</v>
      </c>
      <c r="BI13" s="90" t="s">
        <v>1173</v>
      </c>
      <c r="BJ13" s="90" t="s">
        <v>1174</v>
      </c>
      <c r="BK13" s="90" t="s">
        <v>1118</v>
      </c>
      <c r="BL13" s="90"/>
      <c r="BM13" s="90"/>
      <c r="BN13" s="90"/>
      <c r="BO13" s="90"/>
      <c r="BP13" s="90"/>
      <c r="BQ13" s="90"/>
      <c r="BR13" s="95"/>
      <c r="BS13" s="90"/>
      <c r="BT13" s="90"/>
      <c r="BU13" s="90"/>
      <c r="BV13" s="90"/>
      <c r="BW13" s="90"/>
      <c r="BX13" s="90"/>
      <c r="BY13" s="90"/>
      <c r="BZ13" s="90"/>
      <c r="CA13" s="90"/>
      <c r="CB13" s="90"/>
      <c r="CC13" s="91"/>
      <c r="CD13" s="90"/>
      <c r="CE13" s="91"/>
      <c r="CF13" s="90"/>
      <c r="CG13" s="91"/>
      <c r="CH13" s="90"/>
      <c r="CI13" s="91"/>
      <c r="CJ13" s="90"/>
      <c r="CK13" s="91"/>
      <c r="CL13" s="90"/>
      <c r="CM13" s="91"/>
      <c r="CN13" s="96"/>
      <c r="CO13" s="91"/>
      <c r="CP13" s="90"/>
      <c r="CQ13" s="90"/>
      <c r="CR13" s="90"/>
      <c r="CS13" s="90"/>
      <c r="CT13" s="91"/>
      <c r="CU13" s="90"/>
      <c r="CV13" s="97"/>
    </row>
    <row r="14" spans="1:100" ht="15" customHeight="1" x14ac:dyDescent="0.3">
      <c r="A14" s="117" t="s">
        <v>1177</v>
      </c>
      <c r="B14" s="118">
        <v>43976</v>
      </c>
      <c r="C14" s="117" t="s">
        <v>1178</v>
      </c>
      <c r="D14" s="117" t="s">
        <v>352</v>
      </c>
      <c r="E14" s="119" t="s">
        <v>1179</v>
      </c>
      <c r="F14" s="117" t="s">
        <v>1180</v>
      </c>
      <c r="G14" s="117" t="s">
        <v>374</v>
      </c>
      <c r="H14" s="117" t="s">
        <v>1181</v>
      </c>
      <c r="I14" s="117" t="s">
        <v>354</v>
      </c>
      <c r="J14" s="117" t="s">
        <v>1182</v>
      </c>
      <c r="K14" s="117" t="s">
        <v>335</v>
      </c>
      <c r="L14" s="117" t="s">
        <v>1183</v>
      </c>
      <c r="M14" s="119" t="s">
        <v>346</v>
      </c>
      <c r="N14" s="117" t="s">
        <v>1184</v>
      </c>
      <c r="O14" s="117" t="s">
        <v>1185</v>
      </c>
      <c r="P14" s="117" t="s">
        <v>1186</v>
      </c>
      <c r="Q14" s="118">
        <v>43976</v>
      </c>
      <c r="R14" s="118">
        <v>44012</v>
      </c>
      <c r="S14" s="117" t="s">
        <v>1187</v>
      </c>
      <c r="T14" s="118">
        <v>44286</v>
      </c>
      <c r="U14" s="120" t="s">
        <v>295</v>
      </c>
      <c r="V14" s="120" t="s">
        <v>295</v>
      </c>
      <c r="W14" s="121" t="s">
        <v>262</v>
      </c>
      <c r="X14" s="117" t="s">
        <v>1188</v>
      </c>
      <c r="Y14" s="117"/>
      <c r="Z14" s="117"/>
      <c r="AA14" s="117" t="s">
        <v>3</v>
      </c>
      <c r="AB14" s="117" t="s">
        <v>1189</v>
      </c>
      <c r="AC14" s="118">
        <v>44285</v>
      </c>
      <c r="AD14" s="117" t="s">
        <v>349</v>
      </c>
      <c r="AE14" s="117" t="s">
        <v>1115</v>
      </c>
      <c r="AF14" s="90" t="s">
        <v>1116</v>
      </c>
      <c r="AG14" s="90" t="s">
        <v>0</v>
      </c>
      <c r="AH14" s="93" t="s">
        <v>972</v>
      </c>
      <c r="AI14" s="93" t="b">
        <v>0</v>
      </c>
      <c r="AJ14" s="93"/>
      <c r="AK14" s="93" t="b">
        <v>0</v>
      </c>
      <c r="AL14" s="93"/>
      <c r="AM14" s="93" t="b">
        <v>0</v>
      </c>
      <c r="AN14" s="93" t="b">
        <v>0</v>
      </c>
      <c r="AO14" s="93" t="b">
        <v>0</v>
      </c>
      <c r="AP14" s="93" t="b">
        <v>1</v>
      </c>
      <c r="AQ14" s="93" t="b">
        <v>0</v>
      </c>
      <c r="AR14" s="93" t="b">
        <v>0</v>
      </c>
      <c r="AS14" s="93" t="b">
        <v>0</v>
      </c>
      <c r="AT14" s="107" t="s">
        <v>1191</v>
      </c>
      <c r="AU14" s="94">
        <v>9228291</v>
      </c>
      <c r="AV14" s="90" t="s">
        <v>730</v>
      </c>
      <c r="AW14" s="108" t="s">
        <v>951</v>
      </c>
      <c r="AX14" s="91">
        <v>44509</v>
      </c>
      <c r="AY14" s="108" t="s">
        <v>1101</v>
      </c>
      <c r="AZ14" s="90" t="s">
        <v>391</v>
      </c>
      <c r="BA14" s="90" t="s">
        <v>141</v>
      </c>
      <c r="BB14" s="90" t="s">
        <v>336</v>
      </c>
      <c r="BC14" s="90"/>
      <c r="BD14" s="90" t="s">
        <v>29</v>
      </c>
      <c r="BE14" s="90"/>
      <c r="BF14" s="90" t="s">
        <v>486</v>
      </c>
      <c r="BG14" s="91">
        <v>44286</v>
      </c>
      <c r="BH14" s="93" t="b">
        <v>0</v>
      </c>
      <c r="BI14" s="90"/>
      <c r="BJ14" s="90" t="s">
        <v>1190</v>
      </c>
      <c r="BK14" s="90" t="s">
        <v>1118</v>
      </c>
      <c r="BL14" s="90"/>
      <c r="BM14" s="90"/>
      <c r="BN14" s="90"/>
      <c r="BO14" s="90"/>
      <c r="BP14" s="90"/>
      <c r="BQ14" s="90"/>
      <c r="BR14" s="95"/>
      <c r="BS14" s="90"/>
      <c r="BT14" s="90"/>
      <c r="BU14" s="90"/>
      <c r="BV14" s="90"/>
      <c r="BW14" s="90"/>
      <c r="BX14" s="90"/>
      <c r="BY14" s="90"/>
      <c r="BZ14" s="90"/>
      <c r="CA14" s="90"/>
      <c r="CB14" s="90"/>
      <c r="CC14" s="91"/>
      <c r="CD14" s="90"/>
      <c r="CE14" s="91"/>
      <c r="CF14" s="90"/>
      <c r="CG14" s="91"/>
      <c r="CH14" s="90"/>
      <c r="CI14" s="91"/>
      <c r="CJ14" s="90"/>
      <c r="CK14" s="91"/>
      <c r="CL14" s="90"/>
      <c r="CM14" s="91"/>
      <c r="CN14" s="96"/>
      <c r="CO14" s="91"/>
      <c r="CP14" s="90"/>
      <c r="CQ14" s="90"/>
      <c r="CR14" s="90"/>
      <c r="CS14" s="90"/>
      <c r="CT14" s="91"/>
      <c r="CU14" s="90"/>
      <c r="CV14" s="97"/>
    </row>
    <row r="15" spans="1:100" ht="15" customHeight="1" x14ac:dyDescent="0.3">
      <c r="A15" s="117" t="s">
        <v>1193</v>
      </c>
      <c r="B15" s="118">
        <v>43976</v>
      </c>
      <c r="C15" s="117" t="s">
        <v>1194</v>
      </c>
      <c r="D15" s="117" t="s">
        <v>352</v>
      </c>
      <c r="E15" s="119" t="s">
        <v>1179</v>
      </c>
      <c r="F15" s="117" t="s">
        <v>1180</v>
      </c>
      <c r="G15" s="117" t="s">
        <v>374</v>
      </c>
      <c r="H15" s="117" t="s">
        <v>1181</v>
      </c>
      <c r="I15" s="117" t="s">
        <v>354</v>
      </c>
      <c r="J15" s="117" t="s">
        <v>1182</v>
      </c>
      <c r="K15" s="117" t="s">
        <v>407</v>
      </c>
      <c r="L15" s="117" t="s">
        <v>1195</v>
      </c>
      <c r="M15" s="119" t="s">
        <v>346</v>
      </c>
      <c r="N15" s="117" t="s">
        <v>1196</v>
      </c>
      <c r="O15" s="117" t="s">
        <v>1197</v>
      </c>
      <c r="P15" s="117" t="s">
        <v>1198</v>
      </c>
      <c r="Q15" s="118">
        <v>43997</v>
      </c>
      <c r="R15" s="118">
        <v>44012</v>
      </c>
      <c r="S15" s="117" t="s">
        <v>1199</v>
      </c>
      <c r="T15" s="118">
        <v>44282</v>
      </c>
      <c r="U15" s="120" t="s">
        <v>295</v>
      </c>
      <c r="V15" s="120" t="s">
        <v>295</v>
      </c>
      <c r="W15" s="121" t="s">
        <v>262</v>
      </c>
      <c r="X15" s="117" t="s">
        <v>1200</v>
      </c>
      <c r="Y15" s="117"/>
      <c r="Z15" s="117"/>
      <c r="AA15" s="117" t="s">
        <v>4</v>
      </c>
      <c r="AB15" s="117" t="s">
        <v>1201</v>
      </c>
      <c r="AC15" s="118">
        <v>44285</v>
      </c>
      <c r="AD15" s="117" t="s">
        <v>349</v>
      </c>
      <c r="AE15" s="117" t="s">
        <v>1115</v>
      </c>
      <c r="AF15" s="90" t="s">
        <v>1116</v>
      </c>
      <c r="AG15" s="90" t="s">
        <v>0</v>
      </c>
      <c r="AH15" s="93" t="s">
        <v>972</v>
      </c>
      <c r="AI15" s="93" t="b">
        <v>0</v>
      </c>
      <c r="AJ15" s="93"/>
      <c r="AK15" s="93" t="b">
        <v>0</v>
      </c>
      <c r="AL15" s="93"/>
      <c r="AM15" s="93" t="b">
        <v>0</v>
      </c>
      <c r="AN15" s="93" t="b">
        <v>0</v>
      </c>
      <c r="AO15" s="93" t="b">
        <v>0</v>
      </c>
      <c r="AP15" s="93" t="b">
        <v>1</v>
      </c>
      <c r="AQ15" s="93" t="b">
        <v>0</v>
      </c>
      <c r="AR15" s="93" t="b">
        <v>0</v>
      </c>
      <c r="AS15" s="93" t="b">
        <v>0</v>
      </c>
      <c r="AT15" s="107" t="s">
        <v>1203</v>
      </c>
      <c r="AU15" s="94">
        <v>9228291</v>
      </c>
      <c r="AV15" s="90" t="s">
        <v>730</v>
      </c>
      <c r="AW15" s="108" t="s">
        <v>951</v>
      </c>
      <c r="AX15" s="91">
        <v>44509</v>
      </c>
      <c r="AY15" s="108" t="s">
        <v>1101</v>
      </c>
      <c r="AZ15" s="90" t="s">
        <v>13</v>
      </c>
      <c r="BA15" s="90" t="s">
        <v>83</v>
      </c>
      <c r="BB15" s="90" t="s">
        <v>34</v>
      </c>
      <c r="BC15" s="90"/>
      <c r="BD15" s="90" t="s">
        <v>757</v>
      </c>
      <c r="BE15" s="90"/>
      <c r="BF15" s="90" t="s">
        <v>486</v>
      </c>
      <c r="BG15" s="91">
        <v>44286</v>
      </c>
      <c r="BH15" s="93" t="b">
        <v>0</v>
      </c>
      <c r="BI15" s="90"/>
      <c r="BJ15" s="90" t="s">
        <v>1202</v>
      </c>
      <c r="BK15" s="90" t="s">
        <v>1118</v>
      </c>
      <c r="BL15" s="90"/>
      <c r="BM15" s="90"/>
      <c r="BN15" s="90"/>
      <c r="BO15" s="90"/>
      <c r="BP15" s="90"/>
      <c r="BQ15" s="90"/>
      <c r="BR15" s="95"/>
      <c r="BS15" s="90"/>
      <c r="BT15" s="90"/>
      <c r="BU15" s="90"/>
      <c r="BV15" s="90"/>
      <c r="BW15" s="90"/>
      <c r="BX15" s="90"/>
      <c r="BY15" s="90"/>
      <c r="BZ15" s="90"/>
      <c r="CA15" s="90"/>
      <c r="CB15" s="90"/>
      <c r="CC15" s="91"/>
      <c r="CD15" s="90"/>
      <c r="CE15" s="91"/>
      <c r="CF15" s="90"/>
      <c r="CG15" s="91"/>
      <c r="CH15" s="90"/>
      <c r="CI15" s="91"/>
      <c r="CJ15" s="90"/>
      <c r="CK15" s="91"/>
      <c r="CL15" s="90"/>
      <c r="CM15" s="91"/>
      <c r="CN15" s="96"/>
      <c r="CO15" s="91"/>
      <c r="CP15" s="90"/>
      <c r="CQ15" s="90"/>
      <c r="CR15" s="90"/>
      <c r="CS15" s="90"/>
      <c r="CT15" s="91"/>
      <c r="CU15" s="90"/>
      <c r="CV15" s="97"/>
    </row>
    <row r="16" spans="1:100" ht="15" customHeight="1" x14ac:dyDescent="0.3">
      <c r="A16" s="117" t="s">
        <v>1205</v>
      </c>
      <c r="B16" s="118">
        <v>43976</v>
      </c>
      <c r="C16" s="117" t="s">
        <v>1206</v>
      </c>
      <c r="D16" s="117" t="s">
        <v>352</v>
      </c>
      <c r="E16" s="119" t="s">
        <v>1179</v>
      </c>
      <c r="F16" s="117" t="s">
        <v>1180</v>
      </c>
      <c r="G16" s="117" t="s">
        <v>374</v>
      </c>
      <c r="H16" s="117" t="s">
        <v>1181</v>
      </c>
      <c r="I16" s="117" t="s">
        <v>354</v>
      </c>
      <c r="J16" s="117" t="s">
        <v>1182</v>
      </c>
      <c r="K16" s="117" t="s">
        <v>407</v>
      </c>
      <c r="L16" s="117" t="s">
        <v>1195</v>
      </c>
      <c r="M16" s="119" t="s">
        <v>346</v>
      </c>
      <c r="N16" s="117" t="s">
        <v>1207</v>
      </c>
      <c r="O16" s="117" t="s">
        <v>1208</v>
      </c>
      <c r="P16" s="117" t="s">
        <v>1209</v>
      </c>
      <c r="Q16" s="118">
        <v>43977</v>
      </c>
      <c r="R16" s="118">
        <v>44012</v>
      </c>
      <c r="S16" s="117" t="s">
        <v>1210</v>
      </c>
      <c r="T16" s="118">
        <v>44282</v>
      </c>
      <c r="U16" s="120" t="s">
        <v>295</v>
      </c>
      <c r="V16" s="120" t="s">
        <v>295</v>
      </c>
      <c r="W16" s="121" t="s">
        <v>262</v>
      </c>
      <c r="X16" s="117" t="s">
        <v>1211</v>
      </c>
      <c r="Y16" s="117"/>
      <c r="Z16" s="117"/>
      <c r="AA16" s="117" t="s">
        <v>1</v>
      </c>
      <c r="AB16" s="117" t="s">
        <v>1212</v>
      </c>
      <c r="AC16" s="118">
        <v>44282</v>
      </c>
      <c r="AD16" s="117" t="s">
        <v>349</v>
      </c>
      <c r="AE16" s="117" t="s">
        <v>1115</v>
      </c>
      <c r="AF16" s="90" t="s">
        <v>1116</v>
      </c>
      <c r="AG16" s="90" t="s">
        <v>0</v>
      </c>
      <c r="AH16" s="93" t="s">
        <v>972</v>
      </c>
      <c r="AI16" s="93" t="b">
        <v>0</v>
      </c>
      <c r="AJ16" s="93"/>
      <c r="AK16" s="93" t="b">
        <v>0</v>
      </c>
      <c r="AL16" s="93"/>
      <c r="AM16" s="93" t="b">
        <v>0</v>
      </c>
      <c r="AN16" s="93" t="b">
        <v>0</v>
      </c>
      <c r="AO16" s="93" t="b">
        <v>0</v>
      </c>
      <c r="AP16" s="93" t="b">
        <v>1</v>
      </c>
      <c r="AQ16" s="93" t="b">
        <v>0</v>
      </c>
      <c r="AR16" s="93" t="b">
        <v>0</v>
      </c>
      <c r="AS16" s="93" t="b">
        <v>0</v>
      </c>
      <c r="AT16" s="107" t="s">
        <v>1214</v>
      </c>
      <c r="AU16" s="94">
        <v>9228291</v>
      </c>
      <c r="AV16" s="90" t="s">
        <v>730</v>
      </c>
      <c r="AW16" s="108" t="s">
        <v>951</v>
      </c>
      <c r="AX16" s="91">
        <v>44509</v>
      </c>
      <c r="AY16" s="108" t="s">
        <v>1101</v>
      </c>
      <c r="AZ16" s="90" t="s">
        <v>584</v>
      </c>
      <c r="BA16" s="90" t="s">
        <v>82</v>
      </c>
      <c r="BB16" s="90" t="s">
        <v>34</v>
      </c>
      <c r="BC16" s="90"/>
      <c r="BD16" s="90" t="s">
        <v>30</v>
      </c>
      <c r="BE16" s="90"/>
      <c r="BF16" s="90" t="s">
        <v>486</v>
      </c>
      <c r="BG16" s="91">
        <v>44286</v>
      </c>
      <c r="BH16" s="93" t="b">
        <v>0</v>
      </c>
      <c r="BI16" s="90"/>
      <c r="BJ16" s="90" t="s">
        <v>1213</v>
      </c>
      <c r="BK16" s="90" t="s">
        <v>1118</v>
      </c>
      <c r="BL16" s="90"/>
      <c r="BM16" s="90"/>
      <c r="BN16" s="90"/>
      <c r="BO16" s="90"/>
      <c r="BP16" s="90"/>
      <c r="BQ16" s="90"/>
      <c r="BR16" s="95"/>
      <c r="BS16" s="90"/>
      <c r="BT16" s="90"/>
      <c r="BU16" s="90"/>
      <c r="BV16" s="90"/>
      <c r="BW16" s="90"/>
      <c r="BX16" s="90"/>
      <c r="BY16" s="90"/>
      <c r="BZ16" s="90"/>
      <c r="CA16" s="90"/>
      <c r="CB16" s="90"/>
      <c r="CC16" s="91"/>
      <c r="CD16" s="90"/>
      <c r="CE16" s="91"/>
      <c r="CF16" s="90"/>
      <c r="CG16" s="91"/>
      <c r="CH16" s="90"/>
      <c r="CI16" s="91"/>
      <c r="CJ16" s="90"/>
      <c r="CK16" s="91"/>
      <c r="CL16" s="90"/>
      <c r="CM16" s="91"/>
      <c r="CN16" s="96"/>
      <c r="CO16" s="91"/>
      <c r="CP16" s="90"/>
      <c r="CQ16" s="90"/>
      <c r="CR16" s="90"/>
      <c r="CS16" s="90"/>
      <c r="CT16" s="91"/>
      <c r="CU16" s="90"/>
      <c r="CV16" s="97"/>
    </row>
    <row r="17" spans="1:100" ht="15" customHeight="1" x14ac:dyDescent="0.3">
      <c r="A17" s="117" t="s">
        <v>1216</v>
      </c>
      <c r="B17" s="118">
        <v>43997</v>
      </c>
      <c r="C17" s="117" t="s">
        <v>1217</v>
      </c>
      <c r="D17" s="117" t="s">
        <v>364</v>
      </c>
      <c r="E17" s="119" t="s">
        <v>1104</v>
      </c>
      <c r="F17" s="117" t="s">
        <v>1105</v>
      </c>
      <c r="G17" s="117" t="s">
        <v>390</v>
      </c>
      <c r="H17" s="117" t="s">
        <v>1218</v>
      </c>
      <c r="I17" s="117" t="s">
        <v>582</v>
      </c>
      <c r="J17" s="117" t="s">
        <v>1219</v>
      </c>
      <c r="K17" s="117" t="s">
        <v>69</v>
      </c>
      <c r="L17" s="117" t="s">
        <v>1220</v>
      </c>
      <c r="M17" s="119" t="s">
        <v>346</v>
      </c>
      <c r="N17" s="117" t="s">
        <v>1221</v>
      </c>
      <c r="O17" s="117" t="s">
        <v>1222</v>
      </c>
      <c r="P17" s="117" t="s">
        <v>1223</v>
      </c>
      <c r="Q17" s="118">
        <v>44198</v>
      </c>
      <c r="R17" s="118">
        <v>44088</v>
      </c>
      <c r="S17" s="117" t="s">
        <v>1224</v>
      </c>
      <c r="T17" s="118">
        <v>44284</v>
      </c>
      <c r="U17" s="120" t="s">
        <v>295</v>
      </c>
      <c r="V17" s="120" t="s">
        <v>295</v>
      </c>
      <c r="W17" s="121" t="s">
        <v>262</v>
      </c>
      <c r="X17" s="117" t="s">
        <v>1225</v>
      </c>
      <c r="Y17" s="117"/>
      <c r="Z17" s="117"/>
      <c r="AA17" s="117" t="s">
        <v>1</v>
      </c>
      <c r="AB17" s="117" t="s">
        <v>1226</v>
      </c>
      <c r="AC17" s="118">
        <v>44284</v>
      </c>
      <c r="AD17" s="117" t="s">
        <v>349</v>
      </c>
      <c r="AE17" s="117" t="s">
        <v>1115</v>
      </c>
      <c r="AF17" s="90" t="s">
        <v>1116</v>
      </c>
      <c r="AG17" s="90" t="s">
        <v>0</v>
      </c>
      <c r="AH17" s="93" t="s">
        <v>972</v>
      </c>
      <c r="AI17" s="93" t="b">
        <v>0</v>
      </c>
      <c r="AJ17" s="93"/>
      <c r="AK17" s="93" t="b">
        <v>0</v>
      </c>
      <c r="AL17" s="93"/>
      <c r="AM17" s="93" t="b">
        <v>0</v>
      </c>
      <c r="AN17" s="93" t="b">
        <v>0</v>
      </c>
      <c r="AO17" s="93" t="b">
        <v>0</v>
      </c>
      <c r="AP17" s="93" t="b">
        <v>0</v>
      </c>
      <c r="AQ17" s="93" t="b">
        <v>0</v>
      </c>
      <c r="AR17" s="93" t="b">
        <v>0</v>
      </c>
      <c r="AS17" s="93" t="b">
        <v>0</v>
      </c>
      <c r="AT17" s="107" t="s">
        <v>1229</v>
      </c>
      <c r="AU17" s="94">
        <v>9228291</v>
      </c>
      <c r="AV17" s="90" t="s">
        <v>730</v>
      </c>
      <c r="AW17" s="108" t="s">
        <v>951</v>
      </c>
      <c r="AX17" s="91">
        <v>44509</v>
      </c>
      <c r="AY17" s="108" t="s">
        <v>1101</v>
      </c>
      <c r="AZ17" s="90" t="s">
        <v>582</v>
      </c>
      <c r="BA17" s="90" t="s">
        <v>69</v>
      </c>
      <c r="BB17" s="90" t="s">
        <v>40</v>
      </c>
      <c r="BC17" s="90"/>
      <c r="BD17" s="90" t="s">
        <v>30</v>
      </c>
      <c r="BE17" s="90"/>
      <c r="BF17" s="90" t="s">
        <v>574</v>
      </c>
      <c r="BG17" s="91">
        <v>44286</v>
      </c>
      <c r="BH17" s="93" t="b">
        <v>0</v>
      </c>
      <c r="BI17" s="90" t="s">
        <v>1227</v>
      </c>
      <c r="BJ17" s="90" t="s">
        <v>1228</v>
      </c>
      <c r="BK17" s="90" t="s">
        <v>1118</v>
      </c>
      <c r="BL17" s="90"/>
      <c r="BM17" s="90"/>
      <c r="BN17" s="90"/>
      <c r="BO17" s="90"/>
      <c r="BP17" s="90"/>
      <c r="BQ17" s="90"/>
      <c r="BR17" s="95"/>
      <c r="BS17" s="90"/>
      <c r="BT17" s="90"/>
      <c r="BU17" s="90"/>
      <c r="BV17" s="90"/>
      <c r="BW17" s="90"/>
      <c r="BX17" s="90"/>
      <c r="BY17" s="90"/>
      <c r="BZ17" s="90"/>
      <c r="CA17" s="90"/>
      <c r="CB17" s="90"/>
      <c r="CC17" s="91"/>
      <c r="CD17" s="90"/>
      <c r="CE17" s="91"/>
      <c r="CF17" s="90"/>
      <c r="CG17" s="91"/>
      <c r="CH17" s="90"/>
      <c r="CI17" s="91"/>
      <c r="CJ17" s="90"/>
      <c r="CK17" s="91"/>
      <c r="CL17" s="90"/>
      <c r="CM17" s="91"/>
      <c r="CN17" s="96"/>
      <c r="CO17" s="91"/>
      <c r="CP17" s="90"/>
      <c r="CQ17" s="90"/>
      <c r="CR17" s="90"/>
      <c r="CS17" s="90"/>
      <c r="CT17" s="91"/>
      <c r="CU17" s="90"/>
      <c r="CV17" s="97"/>
    </row>
    <row r="18" spans="1:100" ht="15" customHeight="1" x14ac:dyDescent="0.3">
      <c r="A18" s="117" t="s">
        <v>1230</v>
      </c>
      <c r="B18" s="118">
        <v>43997</v>
      </c>
      <c r="C18" s="117" t="s">
        <v>1231</v>
      </c>
      <c r="D18" s="117" t="s">
        <v>364</v>
      </c>
      <c r="E18" s="119" t="s">
        <v>1104</v>
      </c>
      <c r="F18" s="117" t="s">
        <v>1105</v>
      </c>
      <c r="G18" s="117" t="s">
        <v>390</v>
      </c>
      <c r="H18" s="117" t="s">
        <v>1218</v>
      </c>
      <c r="I18" s="117" t="s">
        <v>582</v>
      </c>
      <c r="J18" s="117" t="s">
        <v>1219</v>
      </c>
      <c r="K18" s="117" t="s">
        <v>69</v>
      </c>
      <c r="L18" s="117" t="s">
        <v>1220</v>
      </c>
      <c r="M18" s="119" t="s">
        <v>346</v>
      </c>
      <c r="N18" s="117" t="s">
        <v>1232</v>
      </c>
      <c r="O18" s="117" t="s">
        <v>1233</v>
      </c>
      <c r="P18" s="117" t="s">
        <v>1234</v>
      </c>
      <c r="Q18" s="118">
        <v>43999</v>
      </c>
      <c r="R18" s="118">
        <v>44088</v>
      </c>
      <c r="S18" s="117" t="s">
        <v>1235</v>
      </c>
      <c r="T18" s="118">
        <v>44284</v>
      </c>
      <c r="U18" s="120" t="s">
        <v>295</v>
      </c>
      <c r="V18" s="120" t="s">
        <v>295</v>
      </c>
      <c r="W18" s="121" t="s">
        <v>262</v>
      </c>
      <c r="X18" s="117" t="s">
        <v>1236</v>
      </c>
      <c r="Y18" s="117"/>
      <c r="Z18" s="117"/>
      <c r="AA18" s="117" t="s">
        <v>1</v>
      </c>
      <c r="AB18" s="117" t="s">
        <v>1237</v>
      </c>
      <c r="AC18" s="118">
        <v>44284</v>
      </c>
      <c r="AD18" s="117" t="s">
        <v>349</v>
      </c>
      <c r="AE18" s="117" t="s">
        <v>1115</v>
      </c>
      <c r="AF18" s="90" t="s">
        <v>1116</v>
      </c>
      <c r="AG18" s="90" t="s">
        <v>0</v>
      </c>
      <c r="AH18" s="93" t="s">
        <v>972</v>
      </c>
      <c r="AI18" s="93" t="b">
        <v>0</v>
      </c>
      <c r="AJ18" s="93"/>
      <c r="AK18" s="93" t="b">
        <v>0</v>
      </c>
      <c r="AL18" s="93"/>
      <c r="AM18" s="93" t="b">
        <v>0</v>
      </c>
      <c r="AN18" s="93" t="b">
        <v>0</v>
      </c>
      <c r="AO18" s="93" t="b">
        <v>0</v>
      </c>
      <c r="AP18" s="93" t="b">
        <v>0</v>
      </c>
      <c r="AQ18" s="93" t="b">
        <v>0</v>
      </c>
      <c r="AR18" s="93" t="b">
        <v>0</v>
      </c>
      <c r="AS18" s="93" t="b">
        <v>0</v>
      </c>
      <c r="AT18" s="107" t="s">
        <v>1239</v>
      </c>
      <c r="AU18" s="94">
        <v>9228291</v>
      </c>
      <c r="AV18" s="90" t="s">
        <v>730</v>
      </c>
      <c r="AW18" s="108" t="s">
        <v>951</v>
      </c>
      <c r="AX18" s="91">
        <v>44509</v>
      </c>
      <c r="AY18" s="108" t="s">
        <v>1101</v>
      </c>
      <c r="AZ18" s="90" t="s">
        <v>582</v>
      </c>
      <c r="BA18" s="90" t="s">
        <v>69</v>
      </c>
      <c r="BB18" s="90" t="s">
        <v>39</v>
      </c>
      <c r="BC18" s="90"/>
      <c r="BD18" s="90" t="s">
        <v>30</v>
      </c>
      <c r="BE18" s="90"/>
      <c r="BF18" s="90" t="s">
        <v>574</v>
      </c>
      <c r="BG18" s="91">
        <v>44286</v>
      </c>
      <c r="BH18" s="93" t="b">
        <v>0</v>
      </c>
      <c r="BI18" s="90" t="s">
        <v>1227</v>
      </c>
      <c r="BJ18" s="90" t="s">
        <v>1238</v>
      </c>
      <c r="BK18" s="90" t="s">
        <v>1118</v>
      </c>
      <c r="BL18" s="90"/>
      <c r="BM18" s="90"/>
      <c r="BN18" s="90"/>
      <c r="BO18" s="90"/>
      <c r="BP18" s="90"/>
      <c r="BQ18" s="90"/>
      <c r="BR18" s="95"/>
      <c r="BS18" s="90"/>
      <c r="BT18" s="90"/>
      <c r="BU18" s="90"/>
      <c r="BV18" s="90"/>
      <c r="BW18" s="90"/>
      <c r="BX18" s="90"/>
      <c r="BY18" s="90"/>
      <c r="BZ18" s="90"/>
      <c r="CA18" s="90"/>
      <c r="CB18" s="90"/>
      <c r="CC18" s="91"/>
      <c r="CD18" s="90"/>
      <c r="CE18" s="91"/>
      <c r="CF18" s="90"/>
      <c r="CG18" s="91"/>
      <c r="CH18" s="90"/>
      <c r="CI18" s="91"/>
      <c r="CJ18" s="90"/>
      <c r="CK18" s="91"/>
      <c r="CL18" s="90"/>
      <c r="CM18" s="91"/>
      <c r="CN18" s="96"/>
      <c r="CO18" s="91"/>
      <c r="CP18" s="90"/>
      <c r="CQ18" s="90"/>
      <c r="CR18" s="90"/>
      <c r="CS18" s="90"/>
      <c r="CT18" s="91"/>
      <c r="CU18" s="90"/>
      <c r="CV18" s="97"/>
    </row>
    <row r="19" spans="1:100" ht="15" customHeight="1" x14ac:dyDescent="0.3">
      <c r="A19" s="117" t="s">
        <v>1240</v>
      </c>
      <c r="B19" s="118">
        <v>43997</v>
      </c>
      <c r="C19" s="117" t="s">
        <v>1241</v>
      </c>
      <c r="D19" s="117" t="s">
        <v>364</v>
      </c>
      <c r="E19" s="119" t="s">
        <v>1104</v>
      </c>
      <c r="F19" s="117" t="s">
        <v>1105</v>
      </c>
      <c r="G19" s="117" t="s">
        <v>390</v>
      </c>
      <c r="H19" s="117" t="s">
        <v>1218</v>
      </c>
      <c r="I19" s="117" t="s">
        <v>582</v>
      </c>
      <c r="J19" s="117" t="s">
        <v>1219</v>
      </c>
      <c r="K19" s="117" t="s">
        <v>69</v>
      </c>
      <c r="L19" s="117" t="s">
        <v>1220</v>
      </c>
      <c r="M19" s="119" t="s">
        <v>346</v>
      </c>
      <c r="N19" s="117" t="s">
        <v>1242</v>
      </c>
      <c r="O19" s="117" t="s">
        <v>1243</v>
      </c>
      <c r="P19" s="117" t="s">
        <v>1244</v>
      </c>
      <c r="Q19" s="118">
        <v>43999</v>
      </c>
      <c r="R19" s="118">
        <v>44088</v>
      </c>
      <c r="S19" s="117" t="s">
        <v>1245</v>
      </c>
      <c r="T19" s="118">
        <v>44284</v>
      </c>
      <c r="U19" s="120" t="s">
        <v>295</v>
      </c>
      <c r="V19" s="120" t="s">
        <v>295</v>
      </c>
      <c r="W19" s="121" t="s">
        <v>262</v>
      </c>
      <c r="X19" s="117" t="s">
        <v>1246</v>
      </c>
      <c r="Y19" s="117"/>
      <c r="Z19" s="117"/>
      <c r="AA19" s="117" t="s">
        <v>1</v>
      </c>
      <c r="AB19" s="117" t="s">
        <v>1247</v>
      </c>
      <c r="AC19" s="118">
        <v>44284</v>
      </c>
      <c r="AD19" s="117" t="s">
        <v>349</v>
      </c>
      <c r="AE19" s="117" t="s">
        <v>1115</v>
      </c>
      <c r="AF19" s="90" t="s">
        <v>1116</v>
      </c>
      <c r="AG19" s="90" t="s">
        <v>0</v>
      </c>
      <c r="AH19" s="93" t="s">
        <v>972</v>
      </c>
      <c r="AI19" s="93" t="b">
        <v>0</v>
      </c>
      <c r="AJ19" s="93"/>
      <c r="AK19" s="93" t="b">
        <v>0</v>
      </c>
      <c r="AL19" s="93"/>
      <c r="AM19" s="93" t="b">
        <v>0</v>
      </c>
      <c r="AN19" s="93" t="b">
        <v>0</v>
      </c>
      <c r="AO19" s="93" t="b">
        <v>0</v>
      </c>
      <c r="AP19" s="93" t="b">
        <v>0</v>
      </c>
      <c r="AQ19" s="93" t="b">
        <v>0</v>
      </c>
      <c r="AR19" s="93" t="b">
        <v>0</v>
      </c>
      <c r="AS19" s="93" t="b">
        <v>0</v>
      </c>
      <c r="AT19" s="107" t="s">
        <v>1249</v>
      </c>
      <c r="AU19" s="94">
        <v>9228291</v>
      </c>
      <c r="AV19" s="90" t="s">
        <v>730</v>
      </c>
      <c r="AW19" s="108" t="s">
        <v>951</v>
      </c>
      <c r="AX19" s="91">
        <v>44509</v>
      </c>
      <c r="AY19" s="108" t="s">
        <v>1101</v>
      </c>
      <c r="AZ19" s="90" t="s">
        <v>582</v>
      </c>
      <c r="BA19" s="90" t="s">
        <v>69</v>
      </c>
      <c r="BB19" s="90" t="s">
        <v>40</v>
      </c>
      <c r="BC19" s="90"/>
      <c r="BD19" s="90" t="s">
        <v>30</v>
      </c>
      <c r="BE19" s="90"/>
      <c r="BF19" s="90" t="s">
        <v>574</v>
      </c>
      <c r="BG19" s="91">
        <v>44286</v>
      </c>
      <c r="BH19" s="93" t="b">
        <v>0</v>
      </c>
      <c r="BI19" s="90" t="s">
        <v>1227</v>
      </c>
      <c r="BJ19" s="90" t="s">
        <v>1248</v>
      </c>
      <c r="BK19" s="90" t="s">
        <v>1118</v>
      </c>
      <c r="BL19" s="90"/>
      <c r="BM19" s="90"/>
      <c r="BN19" s="90"/>
      <c r="BO19" s="90"/>
      <c r="BP19" s="90"/>
      <c r="BQ19" s="90"/>
      <c r="BR19" s="95"/>
      <c r="BS19" s="90"/>
      <c r="BT19" s="90"/>
      <c r="BU19" s="90"/>
      <c r="BV19" s="90"/>
      <c r="BW19" s="90"/>
      <c r="BX19" s="90"/>
      <c r="BY19" s="90"/>
      <c r="BZ19" s="90"/>
      <c r="CA19" s="90"/>
      <c r="CB19" s="90"/>
      <c r="CC19" s="91"/>
      <c r="CD19" s="90"/>
      <c r="CE19" s="91"/>
      <c r="CF19" s="90"/>
      <c r="CG19" s="91"/>
      <c r="CH19" s="90"/>
      <c r="CI19" s="91"/>
      <c r="CJ19" s="90"/>
      <c r="CK19" s="91"/>
      <c r="CL19" s="90"/>
      <c r="CM19" s="91"/>
      <c r="CN19" s="96"/>
      <c r="CO19" s="91"/>
      <c r="CP19" s="90"/>
      <c r="CQ19" s="90"/>
      <c r="CR19" s="90"/>
      <c r="CS19" s="90"/>
      <c r="CT19" s="91"/>
      <c r="CU19" s="90"/>
      <c r="CV19" s="97"/>
    </row>
    <row r="20" spans="1:100" ht="15" customHeight="1" x14ac:dyDescent="0.3">
      <c r="A20" s="117" t="s">
        <v>1250</v>
      </c>
      <c r="B20" s="118">
        <v>43997</v>
      </c>
      <c r="C20" s="117" t="s">
        <v>1251</v>
      </c>
      <c r="D20" s="117" t="s">
        <v>364</v>
      </c>
      <c r="E20" s="119" t="s">
        <v>1104</v>
      </c>
      <c r="F20" s="117" t="s">
        <v>1105</v>
      </c>
      <c r="G20" s="117" t="s">
        <v>390</v>
      </c>
      <c r="H20" s="117" t="s">
        <v>1218</v>
      </c>
      <c r="I20" s="117" t="s">
        <v>582</v>
      </c>
      <c r="J20" s="117" t="s">
        <v>1219</v>
      </c>
      <c r="K20" s="117" t="s">
        <v>69</v>
      </c>
      <c r="L20" s="117" t="s">
        <v>1220</v>
      </c>
      <c r="M20" s="119" t="s">
        <v>346</v>
      </c>
      <c r="N20" s="117" t="s">
        <v>1252</v>
      </c>
      <c r="O20" s="117" t="s">
        <v>1243</v>
      </c>
      <c r="P20" s="117" t="s">
        <v>1253</v>
      </c>
      <c r="Q20" s="118">
        <v>43999</v>
      </c>
      <c r="R20" s="118">
        <v>44088</v>
      </c>
      <c r="S20" s="117" t="s">
        <v>1254</v>
      </c>
      <c r="T20" s="118">
        <v>44284</v>
      </c>
      <c r="U20" s="120" t="s">
        <v>295</v>
      </c>
      <c r="V20" s="120" t="s">
        <v>295</v>
      </c>
      <c r="W20" s="121" t="s">
        <v>262</v>
      </c>
      <c r="X20" s="117" t="s">
        <v>1255</v>
      </c>
      <c r="Y20" s="117"/>
      <c r="Z20" s="117"/>
      <c r="AA20" s="117" t="s">
        <v>1</v>
      </c>
      <c r="AB20" s="117" t="s">
        <v>1256</v>
      </c>
      <c r="AC20" s="118">
        <v>44284</v>
      </c>
      <c r="AD20" s="117" t="s">
        <v>349</v>
      </c>
      <c r="AE20" s="117" t="s">
        <v>1115</v>
      </c>
      <c r="AF20" s="90" t="s">
        <v>1116</v>
      </c>
      <c r="AG20" s="90" t="s">
        <v>0</v>
      </c>
      <c r="AH20" s="93" t="s">
        <v>972</v>
      </c>
      <c r="AI20" s="93" t="b">
        <v>0</v>
      </c>
      <c r="AJ20" s="93"/>
      <c r="AK20" s="93" t="b">
        <v>0</v>
      </c>
      <c r="AL20" s="93"/>
      <c r="AM20" s="93" t="b">
        <v>0</v>
      </c>
      <c r="AN20" s="93" t="b">
        <v>0</v>
      </c>
      <c r="AO20" s="93" t="b">
        <v>0</v>
      </c>
      <c r="AP20" s="93" t="b">
        <v>0</v>
      </c>
      <c r="AQ20" s="93" t="b">
        <v>0</v>
      </c>
      <c r="AR20" s="93" t="b">
        <v>0</v>
      </c>
      <c r="AS20" s="93" t="b">
        <v>0</v>
      </c>
      <c r="AT20" s="107" t="s">
        <v>1258</v>
      </c>
      <c r="AU20" s="94">
        <v>9228291</v>
      </c>
      <c r="AV20" s="90" t="s">
        <v>730</v>
      </c>
      <c r="AW20" s="108" t="s">
        <v>951</v>
      </c>
      <c r="AX20" s="91">
        <v>44509</v>
      </c>
      <c r="AY20" s="108" t="s">
        <v>1101</v>
      </c>
      <c r="AZ20" s="90" t="s">
        <v>582</v>
      </c>
      <c r="BA20" s="90" t="s">
        <v>69</v>
      </c>
      <c r="BB20" s="90" t="s">
        <v>40</v>
      </c>
      <c r="BC20" s="90"/>
      <c r="BD20" s="90" t="s">
        <v>30</v>
      </c>
      <c r="BE20" s="90"/>
      <c r="BF20" s="90" t="s">
        <v>574</v>
      </c>
      <c r="BG20" s="91">
        <v>44286</v>
      </c>
      <c r="BH20" s="93" t="b">
        <v>0</v>
      </c>
      <c r="BI20" s="90" t="s">
        <v>1227</v>
      </c>
      <c r="BJ20" s="90" t="s">
        <v>1257</v>
      </c>
      <c r="BK20" s="90" t="s">
        <v>1118</v>
      </c>
      <c r="BL20" s="90"/>
      <c r="BM20" s="90"/>
      <c r="BN20" s="90"/>
      <c r="BO20" s="90"/>
      <c r="BP20" s="90"/>
      <c r="BQ20" s="90"/>
      <c r="BR20" s="95"/>
      <c r="BS20" s="90"/>
      <c r="BT20" s="90"/>
      <c r="BU20" s="90"/>
      <c r="BV20" s="90"/>
      <c r="BW20" s="90"/>
      <c r="BX20" s="90"/>
      <c r="BY20" s="90"/>
      <c r="BZ20" s="90"/>
      <c r="CA20" s="90"/>
      <c r="CB20" s="90"/>
      <c r="CC20" s="91"/>
      <c r="CD20" s="90"/>
      <c r="CE20" s="91"/>
      <c r="CF20" s="90"/>
      <c r="CG20" s="91"/>
      <c r="CH20" s="90"/>
      <c r="CI20" s="91"/>
      <c r="CJ20" s="90"/>
      <c r="CK20" s="91"/>
      <c r="CL20" s="90"/>
      <c r="CM20" s="91"/>
      <c r="CN20" s="96"/>
      <c r="CO20" s="91"/>
      <c r="CP20" s="90"/>
      <c r="CQ20" s="90"/>
      <c r="CR20" s="90"/>
      <c r="CS20" s="90"/>
      <c r="CT20" s="91"/>
      <c r="CU20" s="90"/>
      <c r="CV20" s="97"/>
    </row>
    <row r="21" spans="1:100" ht="15" customHeight="1" x14ac:dyDescent="0.3">
      <c r="A21" s="117" t="s">
        <v>1259</v>
      </c>
      <c r="B21" s="118">
        <v>44065</v>
      </c>
      <c r="C21" s="117" t="s">
        <v>1260</v>
      </c>
      <c r="D21" s="117" t="s">
        <v>364</v>
      </c>
      <c r="E21" s="119" t="s">
        <v>1104</v>
      </c>
      <c r="F21" s="117" t="s">
        <v>1105</v>
      </c>
      <c r="G21" s="117" t="s">
        <v>390</v>
      </c>
      <c r="H21" s="117" t="s">
        <v>1261</v>
      </c>
      <c r="I21" s="117" t="s">
        <v>13</v>
      </c>
      <c r="J21" s="117" t="s">
        <v>1123</v>
      </c>
      <c r="K21" s="117" t="s">
        <v>83</v>
      </c>
      <c r="L21" s="117" t="s">
        <v>1262</v>
      </c>
      <c r="M21" s="119" t="s">
        <v>346</v>
      </c>
      <c r="N21" s="117" t="s">
        <v>1263</v>
      </c>
      <c r="O21" s="117" t="s">
        <v>1264</v>
      </c>
      <c r="P21" s="117" t="s">
        <v>1265</v>
      </c>
      <c r="Q21" s="118">
        <v>44065</v>
      </c>
      <c r="R21" s="118">
        <v>44104</v>
      </c>
      <c r="S21" s="117" t="s">
        <v>1266</v>
      </c>
      <c r="T21" s="118">
        <v>44285</v>
      </c>
      <c r="U21" s="120" t="s">
        <v>295</v>
      </c>
      <c r="V21" s="120" t="s">
        <v>295</v>
      </c>
      <c r="W21" s="121" t="s">
        <v>262</v>
      </c>
      <c r="X21" s="117" t="s">
        <v>1267</v>
      </c>
      <c r="Y21" s="117"/>
      <c r="Z21" s="117"/>
      <c r="AA21" s="117" t="s">
        <v>1</v>
      </c>
      <c r="AB21" s="117" t="s">
        <v>1268</v>
      </c>
      <c r="AC21" s="118">
        <v>44285</v>
      </c>
      <c r="AD21" s="117" t="s">
        <v>349</v>
      </c>
      <c r="AE21" s="117" t="s">
        <v>1115</v>
      </c>
      <c r="AF21" s="90" t="s">
        <v>1116</v>
      </c>
      <c r="AG21" s="90" t="s">
        <v>0</v>
      </c>
      <c r="AH21" s="93" t="s">
        <v>972</v>
      </c>
      <c r="AI21" s="93" t="b">
        <v>0</v>
      </c>
      <c r="AJ21" s="93"/>
      <c r="AK21" s="93" t="b">
        <v>0</v>
      </c>
      <c r="AL21" s="93"/>
      <c r="AM21" s="93" t="b">
        <v>0</v>
      </c>
      <c r="AN21" s="93" t="b">
        <v>0</v>
      </c>
      <c r="AO21" s="93" t="b">
        <v>0</v>
      </c>
      <c r="AP21" s="93" t="b">
        <v>1</v>
      </c>
      <c r="AQ21" s="93" t="b">
        <v>0</v>
      </c>
      <c r="AR21" s="93" t="b">
        <v>0</v>
      </c>
      <c r="AS21" s="93" t="b">
        <v>0</v>
      </c>
      <c r="AT21" s="107" t="s">
        <v>1269</v>
      </c>
      <c r="AU21" s="94">
        <v>9228291</v>
      </c>
      <c r="AV21" s="90" t="s">
        <v>730</v>
      </c>
      <c r="AW21" s="108" t="s">
        <v>951</v>
      </c>
      <c r="AX21" s="91">
        <v>44509</v>
      </c>
      <c r="AY21" s="108" t="s">
        <v>1101</v>
      </c>
      <c r="AZ21" s="90" t="s">
        <v>13</v>
      </c>
      <c r="BA21" s="90" t="s">
        <v>83</v>
      </c>
      <c r="BB21" s="90" t="s">
        <v>40</v>
      </c>
      <c r="BC21" s="90"/>
      <c r="BD21" s="90" t="s">
        <v>30</v>
      </c>
      <c r="BE21" s="90"/>
      <c r="BF21" s="90" t="s">
        <v>574</v>
      </c>
      <c r="BG21" s="91">
        <v>44286</v>
      </c>
      <c r="BH21" s="93" t="b">
        <v>0</v>
      </c>
      <c r="BI21" s="90" t="s">
        <v>1227</v>
      </c>
      <c r="BJ21" s="90" t="s">
        <v>1257</v>
      </c>
      <c r="BK21" s="90" t="s">
        <v>1118</v>
      </c>
      <c r="BL21" s="90"/>
      <c r="BM21" s="90"/>
      <c r="BN21" s="90"/>
      <c r="BO21" s="90"/>
      <c r="BP21" s="90"/>
      <c r="BQ21" s="90"/>
      <c r="BR21" s="95"/>
      <c r="BS21" s="90"/>
      <c r="BT21" s="90"/>
      <c r="BU21" s="90"/>
      <c r="BV21" s="90"/>
      <c r="BW21" s="90"/>
      <c r="BX21" s="90"/>
      <c r="BY21" s="90"/>
      <c r="BZ21" s="90"/>
      <c r="CA21" s="90"/>
      <c r="CB21" s="90"/>
      <c r="CC21" s="91"/>
      <c r="CD21" s="90"/>
      <c r="CE21" s="91"/>
      <c r="CF21" s="90"/>
      <c r="CG21" s="91"/>
      <c r="CH21" s="90"/>
      <c r="CI21" s="91"/>
      <c r="CJ21" s="90"/>
      <c r="CK21" s="91"/>
      <c r="CL21" s="90"/>
      <c r="CM21" s="91"/>
      <c r="CN21" s="96"/>
      <c r="CO21" s="91"/>
      <c r="CP21" s="90"/>
      <c r="CQ21" s="90"/>
      <c r="CR21" s="90"/>
      <c r="CS21" s="90"/>
      <c r="CT21" s="91"/>
      <c r="CU21" s="90"/>
      <c r="CV21" s="97"/>
    </row>
    <row r="22" spans="1:100" ht="15" customHeight="1" x14ac:dyDescent="0.3">
      <c r="A22" s="117" t="s">
        <v>1270</v>
      </c>
      <c r="B22" s="118">
        <v>44066</v>
      </c>
      <c r="C22" s="117" t="s">
        <v>1271</v>
      </c>
      <c r="D22" s="117" t="s">
        <v>364</v>
      </c>
      <c r="E22" s="119" t="s">
        <v>1104</v>
      </c>
      <c r="F22" s="117" t="s">
        <v>1105</v>
      </c>
      <c r="G22" s="117" t="s">
        <v>390</v>
      </c>
      <c r="H22" s="117" t="s">
        <v>1261</v>
      </c>
      <c r="I22" s="117" t="s">
        <v>581</v>
      </c>
      <c r="J22" s="117" t="s">
        <v>1123</v>
      </c>
      <c r="K22" s="117" t="s">
        <v>172</v>
      </c>
      <c r="L22" s="117" t="s">
        <v>1124</v>
      </c>
      <c r="M22" s="119" t="s">
        <v>346</v>
      </c>
      <c r="N22" s="117" t="s">
        <v>1272</v>
      </c>
      <c r="O22" s="117" t="s">
        <v>1273</v>
      </c>
      <c r="P22" s="117" t="s">
        <v>1274</v>
      </c>
      <c r="Q22" s="118">
        <v>44066</v>
      </c>
      <c r="R22" s="118">
        <v>44104</v>
      </c>
      <c r="S22" s="117" t="s">
        <v>1275</v>
      </c>
      <c r="T22" s="118">
        <v>44285</v>
      </c>
      <c r="U22" s="120" t="s">
        <v>295</v>
      </c>
      <c r="V22" s="120" t="s">
        <v>295</v>
      </c>
      <c r="W22" s="121" t="s">
        <v>262</v>
      </c>
      <c r="X22" s="117" t="s">
        <v>1276</v>
      </c>
      <c r="Y22" s="117"/>
      <c r="Z22" s="117"/>
      <c r="AA22" s="117" t="s">
        <v>1</v>
      </c>
      <c r="AB22" s="117" t="s">
        <v>1277</v>
      </c>
      <c r="AC22" s="118">
        <v>44285</v>
      </c>
      <c r="AD22" s="117" t="s">
        <v>349</v>
      </c>
      <c r="AE22" s="117" t="s">
        <v>1115</v>
      </c>
      <c r="AF22" s="90" t="s">
        <v>1116</v>
      </c>
      <c r="AG22" s="90" t="s">
        <v>0</v>
      </c>
      <c r="AH22" s="93" t="s">
        <v>972</v>
      </c>
      <c r="AI22" s="93" t="b">
        <v>0</v>
      </c>
      <c r="AJ22" s="93"/>
      <c r="AK22" s="93" t="b">
        <v>0</v>
      </c>
      <c r="AL22" s="93"/>
      <c r="AM22" s="93" t="b">
        <v>0</v>
      </c>
      <c r="AN22" s="93" t="b">
        <v>0</v>
      </c>
      <c r="AO22" s="93" t="b">
        <v>0</v>
      </c>
      <c r="AP22" s="93" t="b">
        <v>1</v>
      </c>
      <c r="AQ22" s="93" t="b">
        <v>0</v>
      </c>
      <c r="AR22" s="93" t="b">
        <v>0</v>
      </c>
      <c r="AS22" s="93" t="b">
        <v>0</v>
      </c>
      <c r="AT22" s="107" t="s">
        <v>1279</v>
      </c>
      <c r="AU22" s="94">
        <v>9228291</v>
      </c>
      <c r="AV22" s="90" t="s">
        <v>730</v>
      </c>
      <c r="AW22" s="108" t="s">
        <v>951</v>
      </c>
      <c r="AX22" s="91">
        <v>44509</v>
      </c>
      <c r="AY22" s="108" t="s">
        <v>1101</v>
      </c>
      <c r="AZ22" s="90" t="s">
        <v>581</v>
      </c>
      <c r="BA22" s="90" t="s">
        <v>172</v>
      </c>
      <c r="BB22" s="90" t="s">
        <v>42</v>
      </c>
      <c r="BC22" s="90"/>
      <c r="BD22" s="90" t="s">
        <v>31</v>
      </c>
      <c r="BE22" s="90"/>
      <c r="BF22" s="90" t="s">
        <v>486</v>
      </c>
      <c r="BG22" s="91">
        <v>44286</v>
      </c>
      <c r="BH22" s="93" t="b">
        <v>0</v>
      </c>
      <c r="BI22" s="90"/>
      <c r="BJ22" s="90" t="s">
        <v>1278</v>
      </c>
      <c r="BK22" s="90" t="s">
        <v>1118</v>
      </c>
      <c r="BL22" s="90"/>
      <c r="BM22" s="90"/>
      <c r="BN22" s="90"/>
      <c r="BO22" s="90"/>
      <c r="BP22" s="90"/>
      <c r="BQ22" s="90"/>
      <c r="BR22" s="95"/>
      <c r="BS22" s="90"/>
      <c r="BT22" s="90"/>
      <c r="BU22" s="90"/>
      <c r="BV22" s="90"/>
      <c r="BW22" s="90"/>
      <c r="BX22" s="90"/>
      <c r="BY22" s="90"/>
      <c r="BZ22" s="90"/>
      <c r="CA22" s="90"/>
      <c r="CB22" s="90"/>
      <c r="CC22" s="91"/>
      <c r="CD22" s="90"/>
      <c r="CE22" s="91"/>
      <c r="CF22" s="90"/>
      <c r="CG22" s="91"/>
      <c r="CH22" s="90"/>
      <c r="CI22" s="91"/>
      <c r="CJ22" s="90"/>
      <c r="CK22" s="91"/>
      <c r="CL22" s="90"/>
      <c r="CM22" s="91"/>
      <c r="CN22" s="96"/>
      <c r="CO22" s="91"/>
      <c r="CP22" s="90"/>
      <c r="CQ22" s="90"/>
      <c r="CR22" s="90"/>
      <c r="CS22" s="90"/>
      <c r="CT22" s="91"/>
      <c r="CU22" s="90"/>
      <c r="CV22" s="97"/>
    </row>
    <row r="23" spans="1:100" ht="15" customHeight="1" x14ac:dyDescent="0.3">
      <c r="A23" s="117" t="s">
        <v>1280</v>
      </c>
      <c r="B23" s="118">
        <v>44068</v>
      </c>
      <c r="C23" s="117" t="s">
        <v>1281</v>
      </c>
      <c r="D23" s="117" t="s">
        <v>364</v>
      </c>
      <c r="E23" s="119" t="s">
        <v>1104</v>
      </c>
      <c r="F23" s="117" t="s">
        <v>1105</v>
      </c>
      <c r="G23" s="117" t="s">
        <v>390</v>
      </c>
      <c r="H23" s="117" t="s">
        <v>1261</v>
      </c>
      <c r="I23" s="117" t="s">
        <v>581</v>
      </c>
      <c r="J23" s="117" t="s">
        <v>1123</v>
      </c>
      <c r="K23" s="117" t="s">
        <v>172</v>
      </c>
      <c r="L23" s="117" t="s">
        <v>1124</v>
      </c>
      <c r="M23" s="119" t="s">
        <v>346</v>
      </c>
      <c r="N23" s="117" t="s">
        <v>1282</v>
      </c>
      <c r="O23" s="117" t="s">
        <v>1283</v>
      </c>
      <c r="P23" s="117" t="s">
        <v>1284</v>
      </c>
      <c r="Q23" s="118">
        <v>44068</v>
      </c>
      <c r="R23" s="118">
        <v>44104</v>
      </c>
      <c r="S23" s="117" t="s">
        <v>1285</v>
      </c>
      <c r="T23" s="118">
        <v>44284</v>
      </c>
      <c r="U23" s="120" t="s">
        <v>295</v>
      </c>
      <c r="V23" s="120" t="s">
        <v>295</v>
      </c>
      <c r="W23" s="121" t="s">
        <v>262</v>
      </c>
      <c r="X23" s="117" t="s">
        <v>1286</v>
      </c>
      <c r="Y23" s="117"/>
      <c r="Z23" s="117"/>
      <c r="AA23" s="117" t="s">
        <v>1</v>
      </c>
      <c r="AB23" s="117" t="s">
        <v>1287</v>
      </c>
      <c r="AC23" s="118">
        <v>44284</v>
      </c>
      <c r="AD23" s="117" t="s">
        <v>349</v>
      </c>
      <c r="AE23" s="117" t="s">
        <v>1115</v>
      </c>
      <c r="AF23" s="90" t="s">
        <v>1116</v>
      </c>
      <c r="AG23" s="90" t="s">
        <v>0</v>
      </c>
      <c r="AH23" s="93" t="s">
        <v>972</v>
      </c>
      <c r="AI23" s="93" t="b">
        <v>0</v>
      </c>
      <c r="AJ23" s="93"/>
      <c r="AK23" s="93" t="b">
        <v>0</v>
      </c>
      <c r="AL23" s="93"/>
      <c r="AM23" s="93" t="b">
        <v>0</v>
      </c>
      <c r="AN23" s="93" t="b">
        <v>0</v>
      </c>
      <c r="AO23" s="93" t="b">
        <v>0</v>
      </c>
      <c r="AP23" s="93" t="b">
        <v>1</v>
      </c>
      <c r="AQ23" s="93" t="b">
        <v>0</v>
      </c>
      <c r="AR23" s="93" t="b">
        <v>0</v>
      </c>
      <c r="AS23" s="93" t="b">
        <v>0</v>
      </c>
      <c r="AT23" s="107" t="s">
        <v>1288</v>
      </c>
      <c r="AU23" s="94">
        <v>9228291</v>
      </c>
      <c r="AV23" s="90" t="s">
        <v>730</v>
      </c>
      <c r="AW23" s="108" t="s">
        <v>951</v>
      </c>
      <c r="AX23" s="91">
        <v>44509</v>
      </c>
      <c r="AY23" s="108" t="s">
        <v>1101</v>
      </c>
      <c r="AZ23" s="90" t="s">
        <v>581</v>
      </c>
      <c r="BA23" s="90" t="s">
        <v>172</v>
      </c>
      <c r="BB23" s="90" t="s">
        <v>42</v>
      </c>
      <c r="BC23" s="90"/>
      <c r="BD23" s="90" t="s">
        <v>31</v>
      </c>
      <c r="BE23" s="90"/>
      <c r="BF23" s="90" t="s">
        <v>486</v>
      </c>
      <c r="BG23" s="91">
        <v>44286</v>
      </c>
      <c r="BH23" s="93" t="b">
        <v>0</v>
      </c>
      <c r="BI23" s="90"/>
      <c r="BJ23" s="90" t="s">
        <v>1278</v>
      </c>
      <c r="BK23" s="90" t="s">
        <v>1118</v>
      </c>
      <c r="BL23" s="90"/>
      <c r="BM23" s="90"/>
      <c r="BN23" s="90"/>
      <c r="BO23" s="90"/>
      <c r="BP23" s="90"/>
      <c r="BQ23" s="90"/>
      <c r="BR23" s="95"/>
      <c r="BS23" s="90"/>
      <c r="BT23" s="90"/>
      <c r="BU23" s="90"/>
      <c r="BV23" s="90"/>
      <c r="BW23" s="90"/>
      <c r="BX23" s="90"/>
      <c r="BY23" s="90"/>
      <c r="BZ23" s="90"/>
      <c r="CA23" s="90"/>
      <c r="CB23" s="90"/>
      <c r="CC23" s="91"/>
      <c r="CD23" s="90"/>
      <c r="CE23" s="91"/>
      <c r="CF23" s="90"/>
      <c r="CG23" s="91"/>
      <c r="CH23" s="90"/>
      <c r="CI23" s="91"/>
      <c r="CJ23" s="90"/>
      <c r="CK23" s="91"/>
      <c r="CL23" s="90"/>
      <c r="CM23" s="91"/>
      <c r="CN23" s="96"/>
      <c r="CO23" s="91"/>
      <c r="CP23" s="90"/>
      <c r="CQ23" s="90"/>
      <c r="CR23" s="90"/>
      <c r="CS23" s="90"/>
      <c r="CT23" s="91"/>
      <c r="CU23" s="90"/>
      <c r="CV23" s="97"/>
    </row>
    <row r="24" spans="1:100" ht="15" customHeight="1" x14ac:dyDescent="0.3">
      <c r="A24" s="117" t="s">
        <v>1289</v>
      </c>
      <c r="B24" s="118">
        <v>44032</v>
      </c>
      <c r="C24" s="117" t="s">
        <v>1290</v>
      </c>
      <c r="D24" s="117" t="s">
        <v>364</v>
      </c>
      <c r="E24" s="119" t="s">
        <v>1104</v>
      </c>
      <c r="F24" s="117" t="s">
        <v>1105</v>
      </c>
      <c r="G24" s="117" t="s">
        <v>389</v>
      </c>
      <c r="H24" s="117" t="s">
        <v>1291</v>
      </c>
      <c r="I24" s="117" t="s">
        <v>581</v>
      </c>
      <c r="J24" s="117" t="s">
        <v>1123</v>
      </c>
      <c r="K24" s="117" t="s">
        <v>172</v>
      </c>
      <c r="L24" s="117" t="s">
        <v>1124</v>
      </c>
      <c r="M24" s="119" t="s">
        <v>346</v>
      </c>
      <c r="N24" s="117" t="s">
        <v>1292</v>
      </c>
      <c r="O24" s="117" t="s">
        <v>1293</v>
      </c>
      <c r="P24" s="117" t="s">
        <v>1294</v>
      </c>
      <c r="Q24" s="118">
        <v>44072</v>
      </c>
      <c r="R24" s="118">
        <v>44104</v>
      </c>
      <c r="S24" s="117" t="s">
        <v>1295</v>
      </c>
      <c r="T24" s="118">
        <v>44284</v>
      </c>
      <c r="U24" s="120" t="s">
        <v>295</v>
      </c>
      <c r="V24" s="120" t="s">
        <v>295</v>
      </c>
      <c r="W24" s="121" t="s">
        <v>262</v>
      </c>
      <c r="X24" s="117" t="s">
        <v>1286</v>
      </c>
      <c r="Y24" s="117"/>
      <c r="Z24" s="117"/>
      <c r="AA24" s="117" t="s">
        <v>2</v>
      </c>
      <c r="AB24" s="117" t="s">
        <v>1296</v>
      </c>
      <c r="AC24" s="118">
        <v>44284</v>
      </c>
      <c r="AD24" s="117" t="s">
        <v>349</v>
      </c>
      <c r="AE24" s="117" t="s">
        <v>1115</v>
      </c>
      <c r="AF24" s="90" t="s">
        <v>1116</v>
      </c>
      <c r="AG24" s="90" t="s">
        <v>0</v>
      </c>
      <c r="AH24" s="93" t="s">
        <v>972</v>
      </c>
      <c r="AI24" s="93" t="b">
        <v>0</v>
      </c>
      <c r="AJ24" s="93"/>
      <c r="AK24" s="93" t="b">
        <v>0</v>
      </c>
      <c r="AL24" s="93"/>
      <c r="AM24" s="93" t="b">
        <v>0</v>
      </c>
      <c r="AN24" s="93" t="b">
        <v>0</v>
      </c>
      <c r="AO24" s="93" t="b">
        <v>0</v>
      </c>
      <c r="AP24" s="93" t="b">
        <v>1</v>
      </c>
      <c r="AQ24" s="93" t="b">
        <v>0</v>
      </c>
      <c r="AR24" s="93" t="b">
        <v>0</v>
      </c>
      <c r="AS24" s="93" t="b">
        <v>0</v>
      </c>
      <c r="AT24" s="107" t="s">
        <v>1298</v>
      </c>
      <c r="AU24" s="94">
        <v>9228291</v>
      </c>
      <c r="AV24" s="90" t="s">
        <v>730</v>
      </c>
      <c r="AW24" s="108" t="s">
        <v>951</v>
      </c>
      <c r="AX24" s="91">
        <v>44509</v>
      </c>
      <c r="AY24" s="108" t="s">
        <v>1101</v>
      </c>
      <c r="AZ24" s="90" t="s">
        <v>581</v>
      </c>
      <c r="BA24" s="90" t="s">
        <v>172</v>
      </c>
      <c r="BB24" s="90" t="s">
        <v>42</v>
      </c>
      <c r="BC24" s="90"/>
      <c r="BD24" s="90" t="s">
        <v>31</v>
      </c>
      <c r="BE24" s="90"/>
      <c r="BF24" s="90" t="s">
        <v>486</v>
      </c>
      <c r="BG24" s="91">
        <v>44286</v>
      </c>
      <c r="BH24" s="93" t="b">
        <v>0</v>
      </c>
      <c r="BI24" s="90"/>
      <c r="BJ24" s="90" t="s">
        <v>1297</v>
      </c>
      <c r="BK24" s="90" t="s">
        <v>1118</v>
      </c>
      <c r="BL24" s="90"/>
      <c r="BM24" s="90"/>
      <c r="BN24" s="90"/>
      <c r="BO24" s="90"/>
      <c r="BP24" s="90"/>
      <c r="BQ24" s="90"/>
      <c r="BR24" s="95"/>
      <c r="BS24" s="90"/>
      <c r="BT24" s="90"/>
      <c r="BU24" s="90"/>
      <c r="BV24" s="90"/>
      <c r="BW24" s="90"/>
      <c r="BX24" s="90"/>
      <c r="BY24" s="90"/>
      <c r="BZ24" s="90"/>
      <c r="CA24" s="90"/>
      <c r="CB24" s="90"/>
      <c r="CC24" s="91"/>
      <c r="CD24" s="90"/>
      <c r="CE24" s="91"/>
      <c r="CF24" s="90"/>
      <c r="CG24" s="91"/>
      <c r="CH24" s="90"/>
      <c r="CI24" s="91"/>
      <c r="CJ24" s="90"/>
      <c r="CK24" s="91"/>
      <c r="CL24" s="90"/>
      <c r="CM24" s="91"/>
      <c r="CN24" s="96"/>
      <c r="CO24" s="91"/>
      <c r="CP24" s="90"/>
      <c r="CQ24" s="90"/>
      <c r="CR24" s="90"/>
      <c r="CS24" s="90"/>
      <c r="CT24" s="91"/>
      <c r="CU24" s="90"/>
      <c r="CV24" s="97"/>
    </row>
    <row r="25" spans="1:100" ht="15" customHeight="1" x14ac:dyDescent="0.3">
      <c r="A25" s="117" t="s">
        <v>1299</v>
      </c>
      <c r="B25" s="118">
        <v>44068</v>
      </c>
      <c r="C25" s="117" t="s">
        <v>1300</v>
      </c>
      <c r="D25" s="117" t="s">
        <v>364</v>
      </c>
      <c r="E25" s="119" t="s">
        <v>1104</v>
      </c>
      <c r="F25" s="117" t="s">
        <v>1105</v>
      </c>
      <c r="G25" s="117" t="s">
        <v>390</v>
      </c>
      <c r="H25" s="117" t="s">
        <v>1261</v>
      </c>
      <c r="I25" s="117" t="s">
        <v>10</v>
      </c>
      <c r="J25" s="117" t="s">
        <v>1301</v>
      </c>
      <c r="K25" s="117" t="s">
        <v>80</v>
      </c>
      <c r="L25" s="117" t="s">
        <v>1302</v>
      </c>
      <c r="M25" s="119" t="s">
        <v>346</v>
      </c>
      <c r="N25" s="117" t="s">
        <v>1303</v>
      </c>
      <c r="O25" s="117" t="s">
        <v>1304</v>
      </c>
      <c r="P25" s="117" t="s">
        <v>1305</v>
      </c>
      <c r="Q25" s="118">
        <v>44197</v>
      </c>
      <c r="R25" s="118">
        <v>44134</v>
      </c>
      <c r="S25" s="117" t="s">
        <v>1306</v>
      </c>
      <c r="T25" s="118">
        <v>44284</v>
      </c>
      <c r="U25" s="120" t="s">
        <v>295</v>
      </c>
      <c r="V25" s="120" t="s">
        <v>295</v>
      </c>
      <c r="W25" s="121" t="s">
        <v>262</v>
      </c>
      <c r="X25" s="117" t="s">
        <v>1286</v>
      </c>
      <c r="Y25" s="117"/>
      <c r="Z25" s="117"/>
      <c r="AA25" s="117" t="s">
        <v>1</v>
      </c>
      <c r="AB25" s="117" t="s">
        <v>1307</v>
      </c>
      <c r="AC25" s="118">
        <v>44284</v>
      </c>
      <c r="AD25" s="117" t="s">
        <v>349</v>
      </c>
      <c r="AE25" s="117" t="s">
        <v>1115</v>
      </c>
      <c r="AF25" s="90" t="s">
        <v>1116</v>
      </c>
      <c r="AG25" s="90" t="s">
        <v>0</v>
      </c>
      <c r="AH25" s="93" t="s">
        <v>972</v>
      </c>
      <c r="AI25" s="93" t="b">
        <v>0</v>
      </c>
      <c r="AJ25" s="93"/>
      <c r="AK25" s="93" t="b">
        <v>0</v>
      </c>
      <c r="AL25" s="93"/>
      <c r="AM25" s="93" t="b">
        <v>1</v>
      </c>
      <c r="AN25" s="93" t="b">
        <v>0</v>
      </c>
      <c r="AO25" s="93" t="b">
        <v>0</v>
      </c>
      <c r="AP25" s="93" t="b">
        <v>1</v>
      </c>
      <c r="AQ25" s="93" t="b">
        <v>0</v>
      </c>
      <c r="AR25" s="93" t="b">
        <v>0</v>
      </c>
      <c r="AS25" s="93" t="b">
        <v>0</v>
      </c>
      <c r="AT25" s="107" t="s">
        <v>1308</v>
      </c>
      <c r="AU25" s="94">
        <v>9228291</v>
      </c>
      <c r="AV25" s="90" t="s">
        <v>730</v>
      </c>
      <c r="AW25" s="108" t="s">
        <v>951</v>
      </c>
      <c r="AX25" s="91">
        <v>44509</v>
      </c>
      <c r="AY25" s="108" t="s">
        <v>1101</v>
      </c>
      <c r="AZ25" s="90" t="s">
        <v>10</v>
      </c>
      <c r="BA25" s="90" t="s">
        <v>80</v>
      </c>
      <c r="BB25" s="90" t="s">
        <v>42</v>
      </c>
      <c r="BC25" s="90"/>
      <c r="BD25" s="90" t="s">
        <v>31</v>
      </c>
      <c r="BE25" s="90"/>
      <c r="BF25" s="90" t="s">
        <v>486</v>
      </c>
      <c r="BG25" s="91">
        <v>44286</v>
      </c>
      <c r="BH25" s="93" t="b">
        <v>0</v>
      </c>
      <c r="BI25" s="90"/>
      <c r="BJ25" s="90" t="s">
        <v>1297</v>
      </c>
      <c r="BK25" s="90" t="s">
        <v>1118</v>
      </c>
      <c r="BL25" s="90"/>
      <c r="BM25" s="90"/>
      <c r="BN25" s="90"/>
      <c r="BO25" s="90"/>
      <c r="BP25" s="90"/>
      <c r="BQ25" s="90"/>
      <c r="BR25" s="95"/>
      <c r="BS25" s="90"/>
      <c r="BT25" s="90"/>
      <c r="BU25" s="90"/>
      <c r="BV25" s="90"/>
      <c r="BW25" s="90"/>
      <c r="BX25" s="90"/>
      <c r="BY25" s="90"/>
      <c r="BZ25" s="90"/>
      <c r="CA25" s="90"/>
      <c r="CB25" s="90"/>
      <c r="CC25" s="91"/>
      <c r="CD25" s="90"/>
      <c r="CE25" s="91"/>
      <c r="CF25" s="90"/>
      <c r="CG25" s="91"/>
      <c r="CH25" s="90"/>
      <c r="CI25" s="91"/>
      <c r="CJ25" s="90"/>
      <c r="CK25" s="91"/>
      <c r="CL25" s="90"/>
      <c r="CM25" s="91"/>
      <c r="CN25" s="96"/>
      <c r="CO25" s="91"/>
      <c r="CP25" s="90"/>
      <c r="CQ25" s="90"/>
      <c r="CR25" s="90"/>
      <c r="CS25" s="90"/>
      <c r="CT25" s="91"/>
      <c r="CU25" s="90"/>
      <c r="CV25" s="97"/>
    </row>
    <row r="26" spans="1:100" ht="15" customHeight="1" x14ac:dyDescent="0.3">
      <c r="A26" s="117" t="s">
        <v>1309</v>
      </c>
      <c r="B26" s="118">
        <v>44079</v>
      </c>
      <c r="C26" s="117" t="s">
        <v>1310</v>
      </c>
      <c r="D26" s="117" t="s">
        <v>364</v>
      </c>
      <c r="E26" s="119" t="s">
        <v>1104</v>
      </c>
      <c r="F26" s="117" t="s">
        <v>1105</v>
      </c>
      <c r="G26" s="117" t="s">
        <v>389</v>
      </c>
      <c r="H26" s="117" t="s">
        <v>1311</v>
      </c>
      <c r="I26" s="117" t="s">
        <v>11</v>
      </c>
      <c r="J26" s="117" t="s">
        <v>1312</v>
      </c>
      <c r="K26" s="117" t="s">
        <v>81</v>
      </c>
      <c r="L26" s="117" t="s">
        <v>1313</v>
      </c>
      <c r="M26" s="119" t="s">
        <v>346</v>
      </c>
      <c r="N26" s="117" t="s">
        <v>1314</v>
      </c>
      <c r="O26" s="117" t="s">
        <v>1315</v>
      </c>
      <c r="P26" s="117" t="s">
        <v>1316</v>
      </c>
      <c r="Q26" s="118">
        <v>44198</v>
      </c>
      <c r="R26" s="118">
        <v>44104</v>
      </c>
      <c r="S26" s="117" t="s">
        <v>1317</v>
      </c>
      <c r="T26" s="118">
        <v>44303</v>
      </c>
      <c r="U26" s="120" t="s">
        <v>295</v>
      </c>
      <c r="V26" s="120" t="s">
        <v>295</v>
      </c>
      <c r="W26" s="121" t="s">
        <v>262</v>
      </c>
      <c r="X26" s="117" t="s">
        <v>1318</v>
      </c>
      <c r="Y26" s="117"/>
      <c r="Z26" s="117"/>
      <c r="AA26" s="117" t="s">
        <v>5</v>
      </c>
      <c r="AB26" s="117" t="s">
        <v>1319</v>
      </c>
      <c r="AC26" s="118">
        <v>44303</v>
      </c>
      <c r="AD26" s="117" t="s">
        <v>349</v>
      </c>
      <c r="AE26" s="117" t="s">
        <v>1115</v>
      </c>
      <c r="AF26" s="90" t="s">
        <v>1116</v>
      </c>
      <c r="AG26" s="90" t="s">
        <v>0</v>
      </c>
      <c r="AH26" s="93" t="s">
        <v>972</v>
      </c>
      <c r="AI26" s="93" t="b">
        <v>0</v>
      </c>
      <c r="AJ26" s="93"/>
      <c r="AK26" s="93" t="b">
        <v>0</v>
      </c>
      <c r="AL26" s="93"/>
      <c r="AM26" s="93" t="b">
        <v>0</v>
      </c>
      <c r="AN26" s="93" t="b">
        <v>0</v>
      </c>
      <c r="AO26" s="93" t="b">
        <v>0</v>
      </c>
      <c r="AP26" s="93" t="b">
        <v>0</v>
      </c>
      <c r="AQ26" s="93" t="b">
        <v>0</v>
      </c>
      <c r="AR26" s="93" t="b">
        <v>0</v>
      </c>
      <c r="AS26" s="93" t="b">
        <v>0</v>
      </c>
      <c r="AT26" s="107" t="s">
        <v>1321</v>
      </c>
      <c r="AU26" s="94">
        <v>9228291</v>
      </c>
      <c r="AV26" s="90" t="s">
        <v>730</v>
      </c>
      <c r="AW26" s="108" t="s">
        <v>951</v>
      </c>
      <c r="AX26" s="91">
        <v>44509</v>
      </c>
      <c r="AY26" s="108" t="s">
        <v>1101</v>
      </c>
      <c r="AZ26" s="90" t="s">
        <v>11</v>
      </c>
      <c r="BA26" s="90" t="s">
        <v>81</v>
      </c>
      <c r="BB26" s="90" t="s">
        <v>45</v>
      </c>
      <c r="BC26" s="90"/>
      <c r="BD26" s="90" t="s">
        <v>755</v>
      </c>
      <c r="BE26" s="90"/>
      <c r="BF26" s="90" t="s">
        <v>571</v>
      </c>
      <c r="BG26" s="91">
        <v>44286</v>
      </c>
      <c r="BH26" s="93" t="b">
        <v>0</v>
      </c>
      <c r="BI26" s="90"/>
      <c r="BJ26" s="90" t="s">
        <v>1320</v>
      </c>
      <c r="BK26" s="90" t="s">
        <v>1118</v>
      </c>
      <c r="BL26" s="90"/>
      <c r="BM26" s="90"/>
      <c r="BN26" s="90"/>
      <c r="BO26" s="90"/>
      <c r="BP26" s="90"/>
      <c r="BQ26" s="90"/>
      <c r="BR26" s="95"/>
      <c r="BS26" s="90"/>
      <c r="BT26" s="90"/>
      <c r="BU26" s="90"/>
      <c r="BV26" s="90"/>
      <c r="BW26" s="90"/>
      <c r="BX26" s="90"/>
      <c r="BY26" s="90"/>
      <c r="BZ26" s="90"/>
      <c r="CA26" s="90"/>
      <c r="CB26" s="90"/>
      <c r="CC26" s="91"/>
      <c r="CD26" s="90"/>
      <c r="CE26" s="91"/>
      <c r="CF26" s="90"/>
      <c r="CG26" s="91"/>
      <c r="CH26" s="90"/>
      <c r="CI26" s="91"/>
      <c r="CJ26" s="90"/>
      <c r="CK26" s="91"/>
      <c r="CL26" s="90"/>
      <c r="CM26" s="91"/>
      <c r="CN26" s="96"/>
      <c r="CO26" s="91"/>
      <c r="CP26" s="90"/>
      <c r="CQ26" s="90"/>
      <c r="CR26" s="90"/>
      <c r="CS26" s="90"/>
      <c r="CT26" s="91"/>
      <c r="CU26" s="90"/>
      <c r="CV26" s="97"/>
    </row>
    <row r="27" spans="1:100" ht="15" customHeight="1" x14ac:dyDescent="0.3">
      <c r="A27" s="117" t="s">
        <v>1322</v>
      </c>
      <c r="B27" s="118">
        <v>44089</v>
      </c>
      <c r="C27" s="117" t="s">
        <v>1323</v>
      </c>
      <c r="D27" s="117" t="s">
        <v>364</v>
      </c>
      <c r="E27" s="119" t="s">
        <v>1104</v>
      </c>
      <c r="F27" s="117" t="s">
        <v>1105</v>
      </c>
      <c r="G27" s="117" t="s">
        <v>390</v>
      </c>
      <c r="H27" s="117" t="s">
        <v>1324</v>
      </c>
      <c r="I27" s="117" t="s">
        <v>14</v>
      </c>
      <c r="J27" s="117" t="s">
        <v>1325</v>
      </c>
      <c r="K27" s="117" t="s">
        <v>91</v>
      </c>
      <c r="L27" s="117" t="s">
        <v>1326</v>
      </c>
      <c r="M27" s="119" t="s">
        <v>346</v>
      </c>
      <c r="N27" s="117" t="s">
        <v>1327</v>
      </c>
      <c r="O27" s="117" t="s">
        <v>1328</v>
      </c>
      <c r="P27" s="117" t="s">
        <v>1329</v>
      </c>
      <c r="Q27" s="118">
        <v>44089</v>
      </c>
      <c r="R27" s="118">
        <v>44179</v>
      </c>
      <c r="S27" s="117" t="s">
        <v>1330</v>
      </c>
      <c r="T27" s="118">
        <v>44284</v>
      </c>
      <c r="U27" s="120" t="s">
        <v>295</v>
      </c>
      <c r="V27" s="120" t="s">
        <v>295</v>
      </c>
      <c r="W27" s="121" t="s">
        <v>262</v>
      </c>
      <c r="X27" s="117" t="s">
        <v>1331</v>
      </c>
      <c r="Y27" s="117"/>
      <c r="Z27" s="117"/>
      <c r="AA27" s="117" t="s">
        <v>1</v>
      </c>
      <c r="AB27" s="117" t="s">
        <v>1332</v>
      </c>
      <c r="AC27" s="118">
        <v>44284</v>
      </c>
      <c r="AD27" s="117" t="s">
        <v>349</v>
      </c>
      <c r="AE27" s="117" t="s">
        <v>1115</v>
      </c>
      <c r="AF27" s="90" t="s">
        <v>1116</v>
      </c>
      <c r="AG27" s="90" t="s">
        <v>0</v>
      </c>
      <c r="AH27" s="93" t="s">
        <v>972</v>
      </c>
      <c r="AI27" s="93" t="b">
        <v>0</v>
      </c>
      <c r="AJ27" s="93"/>
      <c r="AK27" s="93" t="b">
        <v>0</v>
      </c>
      <c r="AL27" s="93"/>
      <c r="AM27" s="93" t="b">
        <v>0</v>
      </c>
      <c r="AN27" s="93" t="b">
        <v>0</v>
      </c>
      <c r="AO27" s="93" t="b">
        <v>0</v>
      </c>
      <c r="AP27" s="93" t="b">
        <v>1</v>
      </c>
      <c r="AQ27" s="93" t="b">
        <v>0</v>
      </c>
      <c r="AR27" s="93" t="b">
        <v>0</v>
      </c>
      <c r="AS27" s="93" t="b">
        <v>0</v>
      </c>
      <c r="AT27" s="107" t="s">
        <v>1334</v>
      </c>
      <c r="AU27" s="94">
        <v>9228291</v>
      </c>
      <c r="AV27" s="90" t="s">
        <v>730</v>
      </c>
      <c r="AW27" s="108" t="s">
        <v>951</v>
      </c>
      <c r="AX27" s="91">
        <v>44509</v>
      </c>
      <c r="AY27" s="108" t="s">
        <v>1101</v>
      </c>
      <c r="AZ27" s="90" t="s">
        <v>14</v>
      </c>
      <c r="BA27" s="90" t="s">
        <v>91</v>
      </c>
      <c r="BB27" s="90" t="s">
        <v>40</v>
      </c>
      <c r="BC27" s="90"/>
      <c r="BD27" s="90" t="s">
        <v>30</v>
      </c>
      <c r="BE27" s="90"/>
      <c r="BF27" s="90" t="s">
        <v>486</v>
      </c>
      <c r="BG27" s="91">
        <v>44286</v>
      </c>
      <c r="BH27" s="93" t="b">
        <v>0</v>
      </c>
      <c r="BI27" s="90"/>
      <c r="BJ27" s="90" t="s">
        <v>1333</v>
      </c>
      <c r="BK27" s="90" t="s">
        <v>1118</v>
      </c>
      <c r="BL27" s="90"/>
      <c r="BM27" s="90"/>
      <c r="BN27" s="90"/>
      <c r="BO27" s="90"/>
      <c r="BP27" s="90"/>
      <c r="BQ27" s="90"/>
      <c r="BR27" s="95"/>
      <c r="BS27" s="90"/>
      <c r="BT27" s="90"/>
      <c r="BU27" s="90"/>
      <c r="BV27" s="90"/>
      <c r="BW27" s="90"/>
      <c r="BX27" s="90"/>
      <c r="BY27" s="90"/>
      <c r="BZ27" s="90"/>
      <c r="CA27" s="90"/>
      <c r="CB27" s="90"/>
      <c r="CC27" s="91"/>
      <c r="CD27" s="90"/>
      <c r="CE27" s="91"/>
      <c r="CF27" s="90"/>
      <c r="CG27" s="91"/>
      <c r="CH27" s="90"/>
      <c r="CI27" s="91"/>
      <c r="CJ27" s="90"/>
      <c r="CK27" s="91"/>
      <c r="CL27" s="90"/>
      <c r="CM27" s="91"/>
      <c r="CN27" s="96"/>
      <c r="CO27" s="91"/>
      <c r="CP27" s="90"/>
      <c r="CQ27" s="90"/>
      <c r="CR27" s="90"/>
      <c r="CS27" s="90"/>
      <c r="CT27" s="91"/>
      <c r="CU27" s="90"/>
      <c r="CV27" s="97"/>
    </row>
    <row r="28" spans="1:100" ht="15" customHeight="1" x14ac:dyDescent="0.3">
      <c r="A28" s="117" t="s">
        <v>1335</v>
      </c>
      <c r="B28" s="118">
        <v>44122</v>
      </c>
      <c r="C28" s="117" t="s">
        <v>1336</v>
      </c>
      <c r="D28" s="117" t="s">
        <v>364</v>
      </c>
      <c r="E28" s="119" t="s">
        <v>1104</v>
      </c>
      <c r="F28" s="117" t="s">
        <v>1105</v>
      </c>
      <c r="G28" s="117" t="s">
        <v>390</v>
      </c>
      <c r="H28" s="117" t="s">
        <v>1337</v>
      </c>
      <c r="I28" s="117" t="s">
        <v>17</v>
      </c>
      <c r="J28" s="117" t="s">
        <v>1338</v>
      </c>
      <c r="K28" s="117" t="s">
        <v>131</v>
      </c>
      <c r="L28" s="117" t="s">
        <v>1339</v>
      </c>
      <c r="M28" s="119" t="s">
        <v>346</v>
      </c>
      <c r="N28" s="117" t="s">
        <v>1340</v>
      </c>
      <c r="O28" s="117" t="s">
        <v>1341</v>
      </c>
      <c r="P28" s="117" t="s">
        <v>1342</v>
      </c>
      <c r="Q28" s="118">
        <v>44123</v>
      </c>
      <c r="R28" s="118">
        <v>44213</v>
      </c>
      <c r="S28" s="117" t="s">
        <v>1343</v>
      </c>
      <c r="T28" s="118">
        <v>44246</v>
      </c>
      <c r="U28" s="120" t="s">
        <v>295</v>
      </c>
      <c r="V28" s="120" t="s">
        <v>295</v>
      </c>
      <c r="W28" s="121" t="s">
        <v>262</v>
      </c>
      <c r="X28" s="117" t="s">
        <v>1344</v>
      </c>
      <c r="Y28" s="117"/>
      <c r="Z28" s="117"/>
      <c r="AA28" s="117" t="s">
        <v>1</v>
      </c>
      <c r="AB28" s="117" t="s">
        <v>1345</v>
      </c>
      <c r="AC28" s="118">
        <v>44246</v>
      </c>
      <c r="AD28" s="117" t="s">
        <v>349</v>
      </c>
      <c r="AE28" s="117" t="s">
        <v>1115</v>
      </c>
      <c r="AF28" s="90" t="s">
        <v>1116</v>
      </c>
      <c r="AG28" s="90" t="s">
        <v>0</v>
      </c>
      <c r="AH28" s="93" t="s">
        <v>972</v>
      </c>
      <c r="AI28" s="93" t="b">
        <v>0</v>
      </c>
      <c r="AJ28" s="93"/>
      <c r="AK28" s="93" t="b">
        <v>0</v>
      </c>
      <c r="AL28" s="93"/>
      <c r="AM28" s="93" t="b">
        <v>0</v>
      </c>
      <c r="AN28" s="93" t="b">
        <v>0</v>
      </c>
      <c r="AO28" s="93" t="b">
        <v>0</v>
      </c>
      <c r="AP28" s="93" t="b">
        <v>0</v>
      </c>
      <c r="AQ28" s="93" t="b">
        <v>0</v>
      </c>
      <c r="AR28" s="93" t="b">
        <v>0</v>
      </c>
      <c r="AS28" s="93" t="b">
        <v>0</v>
      </c>
      <c r="AT28" s="107" t="s">
        <v>1348</v>
      </c>
      <c r="AU28" s="94">
        <v>9228291</v>
      </c>
      <c r="AV28" s="90" t="s">
        <v>730</v>
      </c>
      <c r="AW28" s="108" t="s">
        <v>951</v>
      </c>
      <c r="AX28" s="91">
        <v>44509</v>
      </c>
      <c r="AY28" s="108" t="s">
        <v>1101</v>
      </c>
      <c r="AZ28" s="90" t="s">
        <v>17</v>
      </c>
      <c r="BA28" s="90" t="s">
        <v>131</v>
      </c>
      <c r="BB28" s="90" t="s">
        <v>33</v>
      </c>
      <c r="BC28" s="90"/>
      <c r="BD28" s="90" t="s">
        <v>756</v>
      </c>
      <c r="BE28" s="90"/>
      <c r="BF28" s="90" t="s">
        <v>574</v>
      </c>
      <c r="BG28" s="91">
        <v>44286</v>
      </c>
      <c r="BH28" s="93" t="b">
        <v>0</v>
      </c>
      <c r="BI28" s="90" t="s">
        <v>1346</v>
      </c>
      <c r="BJ28" s="90" t="s">
        <v>1347</v>
      </c>
      <c r="BK28" s="90" t="s">
        <v>1118</v>
      </c>
      <c r="BL28" s="90"/>
      <c r="BM28" s="90"/>
      <c r="BN28" s="90"/>
      <c r="BO28" s="90"/>
      <c r="BP28" s="90"/>
      <c r="BQ28" s="90"/>
      <c r="BR28" s="95"/>
      <c r="BS28" s="90"/>
      <c r="BT28" s="90"/>
      <c r="BU28" s="90"/>
      <c r="BV28" s="90"/>
      <c r="BW28" s="90"/>
      <c r="BX28" s="90"/>
      <c r="BY28" s="90"/>
      <c r="BZ28" s="90"/>
      <c r="CA28" s="90"/>
      <c r="CB28" s="90"/>
      <c r="CC28" s="91"/>
      <c r="CD28" s="90"/>
      <c r="CE28" s="91"/>
      <c r="CF28" s="90"/>
      <c r="CG28" s="91"/>
      <c r="CH28" s="90"/>
      <c r="CI28" s="91"/>
      <c r="CJ28" s="90"/>
      <c r="CK28" s="91"/>
      <c r="CL28" s="90"/>
      <c r="CM28" s="91"/>
      <c r="CN28" s="96"/>
      <c r="CO28" s="91"/>
      <c r="CP28" s="90"/>
      <c r="CQ28" s="90"/>
      <c r="CR28" s="90"/>
      <c r="CS28" s="90"/>
      <c r="CT28" s="91"/>
      <c r="CU28" s="90"/>
      <c r="CV28" s="97"/>
    </row>
    <row r="29" spans="1:100" ht="15" customHeight="1" x14ac:dyDescent="0.3">
      <c r="A29" s="117" t="s">
        <v>1349</v>
      </c>
      <c r="B29" s="118">
        <v>44120</v>
      </c>
      <c r="C29" s="117" t="s">
        <v>1350</v>
      </c>
      <c r="D29" s="117" t="s">
        <v>364</v>
      </c>
      <c r="E29" s="119" t="s">
        <v>1104</v>
      </c>
      <c r="F29" s="117" t="s">
        <v>1105</v>
      </c>
      <c r="G29" s="117" t="s">
        <v>390</v>
      </c>
      <c r="H29" s="117" t="s">
        <v>1337</v>
      </c>
      <c r="I29" s="117" t="s">
        <v>13</v>
      </c>
      <c r="J29" s="117" t="s">
        <v>1145</v>
      </c>
      <c r="K29" s="117" t="s">
        <v>83</v>
      </c>
      <c r="L29" s="117" t="s">
        <v>1146</v>
      </c>
      <c r="M29" s="119" t="s">
        <v>346</v>
      </c>
      <c r="N29" s="117" t="s">
        <v>1351</v>
      </c>
      <c r="O29" s="117" t="s">
        <v>1352</v>
      </c>
      <c r="P29" s="117" t="s">
        <v>1353</v>
      </c>
      <c r="Q29" s="118">
        <v>44244</v>
      </c>
      <c r="R29" s="118">
        <v>44211</v>
      </c>
      <c r="S29" s="117" t="s">
        <v>1354</v>
      </c>
      <c r="T29" s="118">
        <v>44245</v>
      </c>
      <c r="U29" s="120" t="s">
        <v>295</v>
      </c>
      <c r="V29" s="120" t="s">
        <v>295</v>
      </c>
      <c r="W29" s="121" t="s">
        <v>262</v>
      </c>
      <c r="X29" s="117" t="s">
        <v>1355</v>
      </c>
      <c r="Y29" s="117"/>
      <c r="Z29" s="117"/>
      <c r="AA29" s="117" t="s">
        <v>4</v>
      </c>
      <c r="AB29" s="117"/>
      <c r="AC29" s="118">
        <v>44245</v>
      </c>
      <c r="AD29" s="117" t="s">
        <v>349</v>
      </c>
      <c r="AE29" s="117" t="s">
        <v>1356</v>
      </c>
      <c r="AF29" s="90" t="s">
        <v>1116</v>
      </c>
      <c r="AG29" s="90" t="s">
        <v>0</v>
      </c>
      <c r="AH29" s="93" t="s">
        <v>972</v>
      </c>
      <c r="AI29" s="93" t="b">
        <v>0</v>
      </c>
      <c r="AJ29" s="93"/>
      <c r="AK29" s="93" t="b">
        <v>0</v>
      </c>
      <c r="AL29" s="93"/>
      <c r="AM29" s="93" t="b">
        <v>0</v>
      </c>
      <c r="AN29" s="93" t="b">
        <v>0</v>
      </c>
      <c r="AO29" s="93" t="b">
        <v>0</v>
      </c>
      <c r="AP29" s="93" t="b">
        <v>0</v>
      </c>
      <c r="AQ29" s="93" t="b">
        <v>0</v>
      </c>
      <c r="AR29" s="93" t="b">
        <v>0</v>
      </c>
      <c r="AS29" s="93" t="b">
        <v>0</v>
      </c>
      <c r="AT29" s="107" t="s">
        <v>1359</v>
      </c>
      <c r="AU29" s="94">
        <v>9228291</v>
      </c>
      <c r="AV29" s="90" t="s">
        <v>730</v>
      </c>
      <c r="AW29" s="108" t="s">
        <v>951</v>
      </c>
      <c r="AX29" s="91">
        <v>44509</v>
      </c>
      <c r="AY29" s="108" t="s">
        <v>1101</v>
      </c>
      <c r="AZ29" s="90" t="s">
        <v>13</v>
      </c>
      <c r="BA29" s="90" t="s">
        <v>83</v>
      </c>
      <c r="BB29" s="90" t="s">
        <v>33</v>
      </c>
      <c r="BC29" s="90"/>
      <c r="BD29" s="90" t="s">
        <v>757</v>
      </c>
      <c r="BE29" s="90"/>
      <c r="BF29" s="90" t="s">
        <v>574</v>
      </c>
      <c r="BG29" s="91">
        <v>44286</v>
      </c>
      <c r="BH29" s="93" t="b">
        <v>0</v>
      </c>
      <c r="BI29" s="90" t="s">
        <v>1357</v>
      </c>
      <c r="BJ29" s="90" t="s">
        <v>1358</v>
      </c>
      <c r="BK29" s="90" t="s">
        <v>1118</v>
      </c>
      <c r="BL29" s="90"/>
      <c r="BM29" s="90"/>
      <c r="BN29" s="90"/>
      <c r="BO29" s="90"/>
      <c r="BP29" s="90"/>
      <c r="BQ29" s="90"/>
      <c r="BR29" s="95"/>
      <c r="BS29" s="90"/>
      <c r="BT29" s="90"/>
      <c r="BU29" s="90"/>
      <c r="BV29" s="90"/>
      <c r="BW29" s="90"/>
      <c r="BX29" s="90"/>
      <c r="BY29" s="90"/>
      <c r="BZ29" s="90"/>
      <c r="CA29" s="90"/>
      <c r="CB29" s="90"/>
      <c r="CC29" s="91"/>
      <c r="CD29" s="90"/>
      <c r="CE29" s="91"/>
      <c r="CF29" s="90"/>
      <c r="CG29" s="91"/>
      <c r="CH29" s="90"/>
      <c r="CI29" s="91"/>
      <c r="CJ29" s="90"/>
      <c r="CK29" s="91"/>
      <c r="CL29" s="90"/>
      <c r="CM29" s="91"/>
      <c r="CN29" s="96"/>
      <c r="CO29" s="91"/>
      <c r="CP29" s="90"/>
      <c r="CQ29" s="90"/>
      <c r="CR29" s="90"/>
      <c r="CS29" s="90"/>
      <c r="CT29" s="91"/>
      <c r="CU29" s="90"/>
      <c r="CV29" s="97"/>
    </row>
    <row r="30" spans="1:100" ht="15" customHeight="1" x14ac:dyDescent="0.3">
      <c r="A30" s="117" t="s">
        <v>1360</v>
      </c>
      <c r="B30" s="118">
        <v>44172</v>
      </c>
      <c r="C30" s="117" t="s">
        <v>1361</v>
      </c>
      <c r="D30" s="117" t="s">
        <v>364</v>
      </c>
      <c r="E30" s="119" t="s">
        <v>1104</v>
      </c>
      <c r="F30" s="117" t="s">
        <v>1105</v>
      </c>
      <c r="G30" s="117" t="s">
        <v>390</v>
      </c>
      <c r="H30" s="117" t="s">
        <v>1362</v>
      </c>
      <c r="I30" s="117" t="s">
        <v>12</v>
      </c>
      <c r="J30" s="117" t="s">
        <v>1363</v>
      </c>
      <c r="K30" s="117" t="s">
        <v>177</v>
      </c>
      <c r="L30" s="117" t="s">
        <v>1364</v>
      </c>
      <c r="M30" s="119" t="s">
        <v>346</v>
      </c>
      <c r="N30" s="117" t="s">
        <v>1365</v>
      </c>
      <c r="O30" s="117" t="s">
        <v>1366</v>
      </c>
      <c r="P30" s="117" t="s">
        <v>1367</v>
      </c>
      <c r="Q30" s="118">
        <v>44172</v>
      </c>
      <c r="R30" s="118">
        <v>44286</v>
      </c>
      <c r="S30" s="117" t="s">
        <v>1368</v>
      </c>
      <c r="T30" s="118">
        <v>44284</v>
      </c>
      <c r="U30" s="120" t="s">
        <v>295</v>
      </c>
      <c r="V30" s="120" t="s">
        <v>295</v>
      </c>
      <c r="W30" s="121" t="s">
        <v>262</v>
      </c>
      <c r="X30" s="117" t="s">
        <v>1369</v>
      </c>
      <c r="Y30" s="117"/>
      <c r="Z30" s="117"/>
      <c r="AA30" s="117" t="s">
        <v>4</v>
      </c>
      <c r="AB30" s="117" t="s">
        <v>1370</v>
      </c>
      <c r="AC30" s="118">
        <v>44284</v>
      </c>
      <c r="AD30" s="117" t="s">
        <v>349</v>
      </c>
      <c r="AE30" s="117" t="s">
        <v>1115</v>
      </c>
      <c r="AF30" s="90" t="s">
        <v>1116</v>
      </c>
      <c r="AG30" s="90" t="s">
        <v>0</v>
      </c>
      <c r="AH30" s="93" t="s">
        <v>972</v>
      </c>
      <c r="AI30" s="93" t="b">
        <v>0</v>
      </c>
      <c r="AJ30" s="93"/>
      <c r="AK30" s="93" t="b">
        <v>0</v>
      </c>
      <c r="AL30" s="93"/>
      <c r="AM30" s="93" t="b">
        <v>0</v>
      </c>
      <c r="AN30" s="93" t="b">
        <v>0</v>
      </c>
      <c r="AO30" s="93" t="b">
        <v>0</v>
      </c>
      <c r="AP30" s="93" t="b">
        <v>1</v>
      </c>
      <c r="AQ30" s="93" t="b">
        <v>0</v>
      </c>
      <c r="AR30" s="93" t="b">
        <v>0</v>
      </c>
      <c r="AS30" s="93" t="b">
        <v>0</v>
      </c>
      <c r="AT30" s="107" t="s">
        <v>1372</v>
      </c>
      <c r="AU30" s="94">
        <v>9228291</v>
      </c>
      <c r="AV30" s="90" t="s">
        <v>730</v>
      </c>
      <c r="AW30" s="108" t="s">
        <v>951</v>
      </c>
      <c r="AX30" s="91">
        <v>44509</v>
      </c>
      <c r="AY30" s="108" t="s">
        <v>1101</v>
      </c>
      <c r="AZ30" s="90" t="s">
        <v>12</v>
      </c>
      <c r="BA30" s="90" t="s">
        <v>177</v>
      </c>
      <c r="BB30" s="90" t="s">
        <v>36</v>
      </c>
      <c r="BC30" s="90"/>
      <c r="BD30" s="90" t="s">
        <v>28</v>
      </c>
      <c r="BE30" s="90"/>
      <c r="BF30" s="90" t="s">
        <v>486</v>
      </c>
      <c r="BG30" s="91">
        <v>44286</v>
      </c>
      <c r="BH30" s="93" t="b">
        <v>0</v>
      </c>
      <c r="BI30" s="90"/>
      <c r="BJ30" s="90" t="s">
        <v>1371</v>
      </c>
      <c r="BK30" s="90" t="s">
        <v>1118</v>
      </c>
      <c r="BL30" s="90"/>
      <c r="BM30" s="90"/>
      <c r="BN30" s="90"/>
      <c r="BO30" s="90"/>
      <c r="BP30" s="90"/>
      <c r="BQ30" s="90"/>
      <c r="BR30" s="95"/>
      <c r="BS30" s="90"/>
      <c r="BT30" s="90"/>
      <c r="BU30" s="90"/>
      <c r="BV30" s="90"/>
      <c r="BW30" s="90"/>
      <c r="BX30" s="90"/>
      <c r="BY30" s="90"/>
      <c r="BZ30" s="90"/>
      <c r="CA30" s="90"/>
      <c r="CB30" s="90"/>
      <c r="CC30" s="91"/>
      <c r="CD30" s="90"/>
      <c r="CE30" s="91"/>
      <c r="CF30" s="90"/>
      <c r="CG30" s="91"/>
      <c r="CH30" s="90"/>
      <c r="CI30" s="91"/>
      <c r="CJ30" s="90"/>
      <c r="CK30" s="91"/>
      <c r="CL30" s="90"/>
      <c r="CM30" s="91"/>
      <c r="CN30" s="96"/>
      <c r="CO30" s="91"/>
      <c r="CP30" s="90"/>
      <c r="CQ30" s="90"/>
      <c r="CR30" s="90"/>
      <c r="CS30" s="90"/>
      <c r="CT30" s="91"/>
      <c r="CU30" s="90"/>
      <c r="CV30" s="97"/>
    </row>
    <row r="31" spans="1:100" ht="15" customHeight="1" x14ac:dyDescent="0.3">
      <c r="A31" s="117" t="s">
        <v>1373</v>
      </c>
      <c r="B31" s="118">
        <v>44298</v>
      </c>
      <c r="C31" s="117" t="s">
        <v>1164</v>
      </c>
      <c r="D31" s="117" t="s">
        <v>364</v>
      </c>
      <c r="E31" s="119" t="s">
        <v>1104</v>
      </c>
      <c r="F31" s="117" t="s">
        <v>1105</v>
      </c>
      <c r="G31" s="117" t="s">
        <v>390</v>
      </c>
      <c r="H31" s="117" t="s">
        <v>1374</v>
      </c>
      <c r="I31" s="117" t="s">
        <v>12</v>
      </c>
      <c r="J31" s="117" t="s">
        <v>1363</v>
      </c>
      <c r="K31" s="117" t="s">
        <v>177</v>
      </c>
      <c r="L31" s="117" t="s">
        <v>1364</v>
      </c>
      <c r="M31" s="119" t="s">
        <v>346</v>
      </c>
      <c r="N31" s="117" t="s">
        <v>1375</v>
      </c>
      <c r="O31" s="117" t="s">
        <v>1376</v>
      </c>
      <c r="P31" s="117" t="s">
        <v>1377</v>
      </c>
      <c r="Q31" s="118">
        <v>44298</v>
      </c>
      <c r="R31" s="118">
        <v>44317</v>
      </c>
      <c r="S31" s="117" t="s">
        <v>1378</v>
      </c>
      <c r="T31" s="118">
        <v>44303</v>
      </c>
      <c r="U31" s="120" t="s">
        <v>295</v>
      </c>
      <c r="V31" s="120" t="s">
        <v>295</v>
      </c>
      <c r="W31" s="121" t="s">
        <v>262</v>
      </c>
      <c r="X31" s="117" t="s">
        <v>1379</v>
      </c>
      <c r="Y31" s="117"/>
      <c r="Z31" s="117"/>
      <c r="AA31" s="117" t="s">
        <v>2</v>
      </c>
      <c r="AB31" s="117" t="s">
        <v>1380</v>
      </c>
      <c r="AC31" s="118">
        <v>44303</v>
      </c>
      <c r="AD31" s="117" t="s">
        <v>349</v>
      </c>
      <c r="AE31" s="117" t="s">
        <v>1115</v>
      </c>
      <c r="AF31" s="90" t="s">
        <v>1116</v>
      </c>
      <c r="AG31" s="90" t="s">
        <v>0</v>
      </c>
      <c r="AH31" s="93" t="s">
        <v>972</v>
      </c>
      <c r="AI31" s="93" t="b">
        <v>0</v>
      </c>
      <c r="AJ31" s="93"/>
      <c r="AK31" s="93" t="b">
        <v>1</v>
      </c>
      <c r="AL31" s="93" t="s">
        <v>1381</v>
      </c>
      <c r="AM31" s="93" t="b">
        <v>0</v>
      </c>
      <c r="AN31" s="93" t="b">
        <v>1</v>
      </c>
      <c r="AO31" s="93" t="b">
        <v>0</v>
      </c>
      <c r="AP31" s="93" t="b">
        <v>0</v>
      </c>
      <c r="AQ31" s="93" t="b">
        <v>1</v>
      </c>
      <c r="AR31" s="93" t="b">
        <v>0</v>
      </c>
      <c r="AS31" s="93" t="b">
        <v>0</v>
      </c>
      <c r="AT31" s="107" t="s">
        <v>1383</v>
      </c>
      <c r="AU31" s="94">
        <v>9228291</v>
      </c>
      <c r="AV31" s="90" t="s">
        <v>730</v>
      </c>
      <c r="AW31" s="108" t="s">
        <v>951</v>
      </c>
      <c r="AX31" s="91">
        <v>44509</v>
      </c>
      <c r="AY31" s="108" t="s">
        <v>1101</v>
      </c>
      <c r="AZ31" s="90" t="s">
        <v>12</v>
      </c>
      <c r="BA31" s="90" t="s">
        <v>177</v>
      </c>
      <c r="BB31" s="90" t="s">
        <v>36</v>
      </c>
      <c r="BC31" s="90"/>
      <c r="BD31" s="90" t="s">
        <v>28</v>
      </c>
      <c r="BE31" s="90"/>
      <c r="BF31" s="90"/>
      <c r="BG31" s="91"/>
      <c r="BH31" s="93" t="b">
        <v>0</v>
      </c>
      <c r="BI31" s="90"/>
      <c r="BJ31" s="90"/>
      <c r="BK31" s="90" t="s">
        <v>1382</v>
      </c>
      <c r="BL31" s="90"/>
      <c r="BM31" s="90"/>
      <c r="BN31" s="90"/>
      <c r="BO31" s="90"/>
      <c r="BP31" s="90"/>
      <c r="BQ31" s="90"/>
      <c r="BR31" s="95"/>
      <c r="BS31" s="90"/>
      <c r="BT31" s="90"/>
      <c r="BU31" s="90"/>
      <c r="BV31" s="90"/>
      <c r="BW31" s="90"/>
      <c r="BX31" s="90"/>
      <c r="BY31" s="90"/>
      <c r="BZ31" s="90"/>
      <c r="CA31" s="90"/>
      <c r="CB31" s="90"/>
      <c r="CC31" s="91"/>
      <c r="CD31" s="90"/>
      <c r="CE31" s="91"/>
      <c r="CF31" s="90"/>
      <c r="CG31" s="91"/>
      <c r="CH31" s="90"/>
      <c r="CI31" s="91"/>
      <c r="CJ31" s="90"/>
      <c r="CK31" s="91"/>
      <c r="CL31" s="90"/>
      <c r="CM31" s="91"/>
      <c r="CN31" s="96"/>
      <c r="CO31" s="91"/>
      <c r="CP31" s="90"/>
      <c r="CQ31" s="90"/>
      <c r="CR31" s="90"/>
      <c r="CS31" s="90"/>
      <c r="CT31" s="91"/>
      <c r="CU31" s="90"/>
      <c r="CV31" s="97"/>
    </row>
    <row r="32" spans="1:100" ht="15" customHeight="1" x14ac:dyDescent="0.3">
      <c r="A32" s="117" t="s">
        <v>1384</v>
      </c>
      <c r="B32" s="118">
        <v>44307</v>
      </c>
      <c r="C32" s="117" t="s">
        <v>1176</v>
      </c>
      <c r="D32" s="117" t="s">
        <v>364</v>
      </c>
      <c r="E32" s="119" t="s">
        <v>1104</v>
      </c>
      <c r="F32" s="117" t="s">
        <v>1105</v>
      </c>
      <c r="G32" s="117" t="s">
        <v>389</v>
      </c>
      <c r="H32" s="117" t="s">
        <v>1385</v>
      </c>
      <c r="I32" s="117" t="s">
        <v>8</v>
      </c>
      <c r="J32" s="117" t="s">
        <v>1386</v>
      </c>
      <c r="K32" s="117" t="s">
        <v>75</v>
      </c>
      <c r="L32" s="117" t="s">
        <v>1387</v>
      </c>
      <c r="M32" s="119" t="s">
        <v>346</v>
      </c>
      <c r="N32" s="117" t="s">
        <v>1388</v>
      </c>
      <c r="O32" s="117" t="s">
        <v>1389</v>
      </c>
      <c r="P32" s="117" t="s">
        <v>1390</v>
      </c>
      <c r="Q32" s="118">
        <v>44330</v>
      </c>
      <c r="R32" s="118">
        <v>44397</v>
      </c>
      <c r="S32" s="117" t="s">
        <v>1391</v>
      </c>
      <c r="T32" s="118">
        <v>44385</v>
      </c>
      <c r="U32" s="120" t="s">
        <v>295</v>
      </c>
      <c r="V32" s="120" t="s">
        <v>295</v>
      </c>
      <c r="W32" s="121" t="s">
        <v>262</v>
      </c>
      <c r="X32" s="117" t="s">
        <v>1392</v>
      </c>
      <c r="Y32" s="117"/>
      <c r="Z32" s="117"/>
      <c r="AA32" s="117" t="s">
        <v>4</v>
      </c>
      <c r="AB32" s="117" t="s">
        <v>1393</v>
      </c>
      <c r="AC32" s="118">
        <v>44385</v>
      </c>
      <c r="AD32" s="117" t="s">
        <v>349</v>
      </c>
      <c r="AE32" s="117" t="s">
        <v>1115</v>
      </c>
      <c r="AF32" s="90" t="s">
        <v>1116</v>
      </c>
      <c r="AG32" s="90" t="s">
        <v>0</v>
      </c>
      <c r="AH32" s="93" t="s">
        <v>972</v>
      </c>
      <c r="AI32" s="93" t="b">
        <v>0</v>
      </c>
      <c r="AJ32" s="93"/>
      <c r="AK32" s="93" t="b">
        <v>0</v>
      </c>
      <c r="AL32" s="93"/>
      <c r="AM32" s="93" t="b">
        <v>0</v>
      </c>
      <c r="AN32" s="93" t="b">
        <v>0</v>
      </c>
      <c r="AO32" s="93" t="b">
        <v>0</v>
      </c>
      <c r="AP32" s="93" t="b">
        <v>0</v>
      </c>
      <c r="AQ32" s="93" t="b">
        <v>0</v>
      </c>
      <c r="AR32" s="93" t="b">
        <v>0</v>
      </c>
      <c r="AS32" s="93" t="b">
        <v>0</v>
      </c>
      <c r="AT32" s="107" t="s">
        <v>1395</v>
      </c>
      <c r="AU32" s="94">
        <v>9228291</v>
      </c>
      <c r="AV32" s="90" t="s">
        <v>730</v>
      </c>
      <c r="AW32" s="108" t="s">
        <v>951</v>
      </c>
      <c r="AX32" s="91">
        <v>44509</v>
      </c>
      <c r="AY32" s="108" t="s">
        <v>1101</v>
      </c>
      <c r="AZ32" s="90" t="s">
        <v>8</v>
      </c>
      <c r="BA32" s="90" t="s">
        <v>75</v>
      </c>
      <c r="BB32" s="90" t="s">
        <v>45</v>
      </c>
      <c r="BC32" s="90"/>
      <c r="BD32" s="90" t="s">
        <v>755</v>
      </c>
      <c r="BE32" s="90"/>
      <c r="BF32" s="90"/>
      <c r="BG32" s="91"/>
      <c r="BH32" s="93" t="b">
        <v>0</v>
      </c>
      <c r="BI32" s="90" t="s">
        <v>1394</v>
      </c>
      <c r="BJ32" s="90"/>
      <c r="BK32" s="90" t="s">
        <v>1382</v>
      </c>
      <c r="BL32" s="90"/>
      <c r="BM32" s="90"/>
      <c r="BN32" s="90"/>
      <c r="BO32" s="90"/>
      <c r="BP32" s="90"/>
      <c r="BQ32" s="90"/>
      <c r="BR32" s="95"/>
      <c r="BS32" s="90"/>
      <c r="BT32" s="90"/>
      <c r="BU32" s="90"/>
      <c r="BV32" s="90"/>
      <c r="BW32" s="90"/>
      <c r="BX32" s="90"/>
      <c r="BY32" s="90"/>
      <c r="BZ32" s="90"/>
      <c r="CA32" s="90"/>
      <c r="CB32" s="90"/>
      <c r="CC32" s="91"/>
      <c r="CD32" s="90"/>
      <c r="CE32" s="91"/>
      <c r="CF32" s="90"/>
      <c r="CG32" s="91"/>
      <c r="CH32" s="90"/>
      <c r="CI32" s="91"/>
      <c r="CJ32" s="90"/>
      <c r="CK32" s="91"/>
      <c r="CL32" s="90"/>
      <c r="CM32" s="91"/>
      <c r="CN32" s="96"/>
      <c r="CO32" s="91"/>
      <c r="CP32" s="90"/>
      <c r="CQ32" s="90"/>
      <c r="CR32" s="90"/>
      <c r="CS32" s="90"/>
      <c r="CT32" s="91"/>
      <c r="CU32" s="90"/>
      <c r="CV32" s="97"/>
    </row>
    <row r="33" spans="1:100" ht="15" customHeight="1" x14ac:dyDescent="0.3">
      <c r="A33" s="117" t="s">
        <v>1396</v>
      </c>
      <c r="B33" s="118">
        <v>44337</v>
      </c>
      <c r="C33" s="117" t="s">
        <v>1192</v>
      </c>
      <c r="D33" s="117" t="s">
        <v>364</v>
      </c>
      <c r="E33" s="119" t="s">
        <v>1104</v>
      </c>
      <c r="F33" s="117" t="s">
        <v>1105</v>
      </c>
      <c r="G33" s="117" t="s">
        <v>389</v>
      </c>
      <c r="H33" s="117" t="s">
        <v>1385</v>
      </c>
      <c r="I33" s="117" t="s">
        <v>8</v>
      </c>
      <c r="J33" s="117" t="s">
        <v>1386</v>
      </c>
      <c r="K33" s="117" t="s">
        <v>75</v>
      </c>
      <c r="L33" s="117" t="s">
        <v>1387</v>
      </c>
      <c r="M33" s="119" t="s">
        <v>346</v>
      </c>
      <c r="N33" s="117" t="s">
        <v>1397</v>
      </c>
      <c r="O33" s="117" t="s">
        <v>1389</v>
      </c>
      <c r="P33" s="117" t="s">
        <v>1398</v>
      </c>
      <c r="Q33" s="118">
        <v>44330</v>
      </c>
      <c r="R33" s="118">
        <v>44427</v>
      </c>
      <c r="S33" s="117" t="s">
        <v>1391</v>
      </c>
      <c r="T33" s="118">
        <v>44385</v>
      </c>
      <c r="U33" s="120" t="s">
        <v>295</v>
      </c>
      <c r="V33" s="120" t="s">
        <v>295</v>
      </c>
      <c r="W33" s="121" t="s">
        <v>262</v>
      </c>
      <c r="X33" s="117" t="s">
        <v>1399</v>
      </c>
      <c r="Y33" s="117"/>
      <c r="Z33" s="117"/>
      <c r="AA33" s="117" t="s">
        <v>4</v>
      </c>
      <c r="AB33" s="117" t="s">
        <v>1400</v>
      </c>
      <c r="AC33" s="118">
        <v>44385</v>
      </c>
      <c r="AD33" s="117" t="s">
        <v>349</v>
      </c>
      <c r="AE33" s="117" t="s">
        <v>1115</v>
      </c>
      <c r="AF33" s="90" t="s">
        <v>1116</v>
      </c>
      <c r="AG33" s="90" t="s">
        <v>0</v>
      </c>
      <c r="AH33" s="93" t="s">
        <v>972</v>
      </c>
      <c r="AI33" s="93" t="b">
        <v>0</v>
      </c>
      <c r="AJ33" s="93"/>
      <c r="AK33" s="93" t="b">
        <v>0</v>
      </c>
      <c r="AL33" s="93"/>
      <c r="AM33" s="93" t="b">
        <v>0</v>
      </c>
      <c r="AN33" s="93" t="b">
        <v>0</v>
      </c>
      <c r="AO33" s="93" t="b">
        <v>0</v>
      </c>
      <c r="AP33" s="93" t="b">
        <v>0</v>
      </c>
      <c r="AQ33" s="93" t="b">
        <v>0</v>
      </c>
      <c r="AR33" s="93" t="b">
        <v>0</v>
      </c>
      <c r="AS33" s="93" t="b">
        <v>0</v>
      </c>
      <c r="AT33" s="107" t="s">
        <v>1402</v>
      </c>
      <c r="AU33" s="94">
        <v>9228291</v>
      </c>
      <c r="AV33" s="90" t="s">
        <v>730</v>
      </c>
      <c r="AW33" s="108" t="s">
        <v>951</v>
      </c>
      <c r="AX33" s="91">
        <v>44509</v>
      </c>
      <c r="AY33" s="108" t="s">
        <v>1101</v>
      </c>
      <c r="AZ33" s="90" t="s">
        <v>8</v>
      </c>
      <c r="BA33" s="90" t="s">
        <v>75</v>
      </c>
      <c r="BB33" s="90" t="s">
        <v>45</v>
      </c>
      <c r="BC33" s="90"/>
      <c r="BD33" s="90" t="s">
        <v>755</v>
      </c>
      <c r="BE33" s="90"/>
      <c r="BF33" s="90" t="s">
        <v>574</v>
      </c>
      <c r="BG33" s="91">
        <v>44418</v>
      </c>
      <c r="BH33" s="93" t="b">
        <v>0</v>
      </c>
      <c r="BI33" s="90" t="s">
        <v>1394</v>
      </c>
      <c r="BJ33" s="90" t="s">
        <v>1401</v>
      </c>
      <c r="BK33" s="90" t="s">
        <v>1382</v>
      </c>
      <c r="BL33" s="90"/>
      <c r="BM33" s="90"/>
      <c r="BN33" s="90"/>
      <c r="BO33" s="90"/>
      <c r="BP33" s="90"/>
      <c r="BQ33" s="90"/>
      <c r="BR33" s="95"/>
      <c r="BS33" s="90"/>
      <c r="BT33" s="90"/>
      <c r="BU33" s="90"/>
      <c r="BV33" s="90"/>
      <c r="BW33" s="90"/>
      <c r="BX33" s="90"/>
      <c r="BY33" s="90"/>
      <c r="BZ33" s="90"/>
      <c r="CA33" s="90"/>
      <c r="CB33" s="90"/>
      <c r="CC33" s="91"/>
      <c r="CD33" s="90"/>
      <c r="CE33" s="91"/>
      <c r="CF33" s="90"/>
      <c r="CG33" s="91"/>
      <c r="CH33" s="90"/>
      <c r="CI33" s="91"/>
      <c r="CJ33" s="90"/>
      <c r="CK33" s="91"/>
      <c r="CL33" s="90"/>
      <c r="CM33" s="91"/>
      <c r="CN33" s="96"/>
      <c r="CO33" s="91"/>
      <c r="CP33" s="90"/>
      <c r="CQ33" s="90"/>
      <c r="CR33" s="90"/>
      <c r="CS33" s="90"/>
      <c r="CT33" s="91"/>
      <c r="CU33" s="90"/>
      <c r="CV33" s="97"/>
    </row>
    <row r="34" spans="1:100" ht="15" customHeight="1" x14ac:dyDescent="0.3">
      <c r="A34" s="117" t="s">
        <v>1403</v>
      </c>
      <c r="B34" s="118">
        <v>44303</v>
      </c>
      <c r="C34" s="117" t="s">
        <v>1204</v>
      </c>
      <c r="D34" s="117" t="s">
        <v>364</v>
      </c>
      <c r="E34" s="119" t="s">
        <v>1104</v>
      </c>
      <c r="F34" s="117" t="s">
        <v>1105</v>
      </c>
      <c r="G34" s="117" t="s">
        <v>389</v>
      </c>
      <c r="H34" s="117" t="s">
        <v>1404</v>
      </c>
      <c r="I34" s="117" t="s">
        <v>10</v>
      </c>
      <c r="J34" s="117" t="s">
        <v>1301</v>
      </c>
      <c r="K34" s="117" t="s">
        <v>80</v>
      </c>
      <c r="L34" s="117" t="s">
        <v>1302</v>
      </c>
      <c r="M34" s="119" t="s">
        <v>346</v>
      </c>
      <c r="N34" s="117" t="s">
        <v>1405</v>
      </c>
      <c r="O34" s="117" t="s">
        <v>1406</v>
      </c>
      <c r="P34" s="117" t="s">
        <v>1407</v>
      </c>
      <c r="Q34" s="118">
        <v>44303</v>
      </c>
      <c r="R34" s="118">
        <v>44363</v>
      </c>
      <c r="S34" s="117" t="s">
        <v>2139</v>
      </c>
      <c r="T34" s="118">
        <v>44523</v>
      </c>
      <c r="U34" s="120" t="s">
        <v>295</v>
      </c>
      <c r="V34" s="120" t="s">
        <v>295</v>
      </c>
      <c r="W34" s="121" t="s">
        <v>262</v>
      </c>
      <c r="X34" s="117" t="s">
        <v>1408</v>
      </c>
      <c r="Y34" s="117"/>
      <c r="Z34" s="117"/>
      <c r="AA34" s="117" t="s">
        <v>5</v>
      </c>
      <c r="AB34" s="117" t="s">
        <v>2139</v>
      </c>
      <c r="AC34" s="118">
        <v>44523</v>
      </c>
      <c r="AD34" s="117" t="s">
        <v>349</v>
      </c>
      <c r="AE34" s="117" t="s">
        <v>1115</v>
      </c>
      <c r="AF34" s="90" t="s">
        <v>1116</v>
      </c>
      <c r="AG34" s="90" t="s">
        <v>0</v>
      </c>
      <c r="AH34" s="93" t="s">
        <v>1409</v>
      </c>
      <c r="AI34" s="93" t="b">
        <v>0</v>
      </c>
      <c r="AJ34" s="93"/>
      <c r="AK34" s="93" t="b">
        <v>0</v>
      </c>
      <c r="AL34" s="93"/>
      <c r="AM34" s="93" t="b">
        <v>0</v>
      </c>
      <c r="AN34" s="93" t="b">
        <v>0</v>
      </c>
      <c r="AO34" s="93" t="b">
        <v>0</v>
      </c>
      <c r="AP34" s="93" t="b">
        <v>0</v>
      </c>
      <c r="AQ34" s="93" t="b">
        <v>0</v>
      </c>
      <c r="AR34" s="93" t="b">
        <v>1</v>
      </c>
      <c r="AS34" s="93" t="b">
        <v>0</v>
      </c>
      <c r="AT34" s="107" t="s">
        <v>2140</v>
      </c>
      <c r="AU34" s="94">
        <v>9228291</v>
      </c>
      <c r="AV34" s="90" t="s">
        <v>730</v>
      </c>
      <c r="AW34" s="108" t="s">
        <v>951</v>
      </c>
      <c r="AX34" s="91">
        <v>44538</v>
      </c>
      <c r="AY34" s="108" t="s">
        <v>1101</v>
      </c>
      <c r="AZ34" s="90" t="s">
        <v>10</v>
      </c>
      <c r="BA34" s="90" t="s">
        <v>80</v>
      </c>
      <c r="BB34" s="90" t="s">
        <v>41</v>
      </c>
      <c r="BC34" s="90"/>
      <c r="BD34" s="90" t="s">
        <v>757</v>
      </c>
      <c r="BE34" s="90"/>
      <c r="BF34" s="90" t="s">
        <v>575</v>
      </c>
      <c r="BG34" s="91">
        <v>44577</v>
      </c>
      <c r="BH34" s="93" t="b">
        <v>0</v>
      </c>
      <c r="BI34" s="90"/>
      <c r="BJ34" s="90" t="s">
        <v>1410</v>
      </c>
      <c r="BK34" s="90" t="s">
        <v>1118</v>
      </c>
      <c r="BL34" s="90"/>
      <c r="BM34" s="90"/>
      <c r="BN34" s="90"/>
      <c r="BO34" s="90"/>
      <c r="BP34" s="90"/>
      <c r="BQ34" s="90"/>
      <c r="BR34" s="95"/>
      <c r="BS34" s="90"/>
      <c r="BT34" s="90"/>
      <c r="BU34" s="90"/>
      <c r="BV34" s="90"/>
      <c r="BW34" s="90"/>
      <c r="BX34" s="90"/>
      <c r="BY34" s="90"/>
      <c r="BZ34" s="90"/>
      <c r="CA34" s="90"/>
      <c r="CB34" s="90"/>
      <c r="CC34" s="91"/>
      <c r="CD34" s="90"/>
      <c r="CE34" s="91"/>
      <c r="CF34" s="90"/>
      <c r="CG34" s="91"/>
      <c r="CH34" s="90"/>
      <c r="CI34" s="91"/>
      <c r="CJ34" s="90"/>
      <c r="CK34" s="91"/>
      <c r="CL34" s="90"/>
      <c r="CM34" s="91"/>
      <c r="CN34" s="96"/>
      <c r="CO34" s="91"/>
      <c r="CP34" s="90"/>
      <c r="CQ34" s="90"/>
      <c r="CR34" s="90"/>
      <c r="CS34" s="90"/>
      <c r="CT34" s="91"/>
      <c r="CU34" s="90"/>
      <c r="CV34" s="97"/>
    </row>
    <row r="35" spans="1:100" ht="15" customHeight="1" x14ac:dyDescent="0.3">
      <c r="A35" s="117" t="s">
        <v>1411</v>
      </c>
      <c r="B35" s="118">
        <v>44305</v>
      </c>
      <c r="C35" s="117" t="s">
        <v>1215</v>
      </c>
      <c r="D35" s="117" t="s">
        <v>364</v>
      </c>
      <c r="E35" s="119" t="s">
        <v>1104</v>
      </c>
      <c r="F35" s="117" t="s">
        <v>1105</v>
      </c>
      <c r="G35" s="117" t="s">
        <v>390</v>
      </c>
      <c r="H35" s="117" t="s">
        <v>1356</v>
      </c>
      <c r="I35" s="117" t="s">
        <v>15</v>
      </c>
      <c r="J35" s="117" t="s">
        <v>1412</v>
      </c>
      <c r="K35" s="117" t="s">
        <v>114</v>
      </c>
      <c r="L35" s="117" t="s">
        <v>1413</v>
      </c>
      <c r="M35" s="119" t="s">
        <v>341</v>
      </c>
      <c r="N35" s="117" t="s">
        <v>1414</v>
      </c>
      <c r="O35" s="117" t="s">
        <v>1415</v>
      </c>
      <c r="P35" s="117" t="s">
        <v>1416</v>
      </c>
      <c r="Q35" s="118">
        <v>44305</v>
      </c>
      <c r="R35" s="118">
        <v>44365</v>
      </c>
      <c r="S35" s="117" t="s">
        <v>1417</v>
      </c>
      <c r="T35" s="118">
        <v>44391</v>
      </c>
      <c r="U35" s="120" t="s">
        <v>295</v>
      </c>
      <c r="V35" s="120" t="s">
        <v>1418</v>
      </c>
      <c r="W35" s="121" t="s">
        <v>262</v>
      </c>
      <c r="X35" s="117" t="s">
        <v>1419</v>
      </c>
      <c r="Y35" s="117"/>
      <c r="Z35" s="117"/>
      <c r="AA35" s="117" t="s">
        <v>804</v>
      </c>
      <c r="AB35" s="117" t="s">
        <v>1420</v>
      </c>
      <c r="AC35" s="118">
        <v>44391</v>
      </c>
      <c r="AD35" s="117" t="s">
        <v>349</v>
      </c>
      <c r="AE35" s="117" t="s">
        <v>1115</v>
      </c>
      <c r="AF35" s="90" t="s">
        <v>1116</v>
      </c>
      <c r="AG35" s="90" t="s">
        <v>0</v>
      </c>
      <c r="AH35" s="93" t="s">
        <v>1409</v>
      </c>
      <c r="AI35" s="93" t="b">
        <v>1</v>
      </c>
      <c r="AJ35" s="93" t="s">
        <v>1418</v>
      </c>
      <c r="AK35" s="93" t="b">
        <v>1</v>
      </c>
      <c r="AL35" s="93" t="s">
        <v>1418</v>
      </c>
      <c r="AM35" s="93" t="b">
        <v>0</v>
      </c>
      <c r="AN35" s="93" t="b">
        <v>0</v>
      </c>
      <c r="AO35" s="93" t="b">
        <v>1</v>
      </c>
      <c r="AP35" s="93" t="b">
        <v>0</v>
      </c>
      <c r="AQ35" s="93" t="b">
        <v>0</v>
      </c>
      <c r="AR35" s="93" t="b">
        <v>0</v>
      </c>
      <c r="AS35" s="93" t="b">
        <v>0</v>
      </c>
      <c r="AT35" s="107" t="s">
        <v>1423</v>
      </c>
      <c r="AU35" s="94">
        <v>9228291</v>
      </c>
      <c r="AV35" s="90" t="s">
        <v>730</v>
      </c>
      <c r="AW35" s="108" t="s">
        <v>951</v>
      </c>
      <c r="AX35" s="91">
        <v>44509</v>
      </c>
      <c r="AY35" s="108" t="s">
        <v>1101</v>
      </c>
      <c r="AZ35" s="90" t="s">
        <v>15</v>
      </c>
      <c r="BA35" s="90" t="s">
        <v>114</v>
      </c>
      <c r="BB35" s="90" t="s">
        <v>39</v>
      </c>
      <c r="BC35" s="90"/>
      <c r="BD35" s="90" t="s">
        <v>756</v>
      </c>
      <c r="BE35" s="90"/>
      <c r="BF35" s="90" t="s">
        <v>574</v>
      </c>
      <c r="BG35" s="91">
        <v>44408</v>
      </c>
      <c r="BH35" s="93" t="b">
        <v>1</v>
      </c>
      <c r="BI35" s="90" t="s">
        <v>1421</v>
      </c>
      <c r="BJ35" s="90" t="s">
        <v>1422</v>
      </c>
      <c r="BK35" s="90" t="s">
        <v>1382</v>
      </c>
      <c r="BL35" s="90"/>
      <c r="BM35" s="90"/>
      <c r="BN35" s="90"/>
      <c r="BO35" s="90"/>
      <c r="BP35" s="90"/>
      <c r="BQ35" s="90"/>
      <c r="BR35" s="95"/>
      <c r="BS35" s="90"/>
      <c r="BT35" s="90"/>
      <c r="BU35" s="90"/>
      <c r="BV35" s="90"/>
      <c r="BW35" s="90"/>
      <c r="BX35" s="90"/>
      <c r="BY35" s="90"/>
      <c r="BZ35" s="90"/>
      <c r="CA35" s="90"/>
      <c r="CB35" s="90"/>
      <c r="CC35" s="91"/>
      <c r="CD35" s="90"/>
      <c r="CE35" s="91"/>
      <c r="CF35" s="90"/>
      <c r="CG35" s="91"/>
      <c r="CH35" s="90"/>
      <c r="CI35" s="91"/>
      <c r="CJ35" s="90"/>
      <c r="CK35" s="91"/>
      <c r="CL35" s="90"/>
      <c r="CM35" s="91"/>
      <c r="CN35" s="96"/>
      <c r="CO35" s="91"/>
      <c r="CP35" s="90"/>
      <c r="CQ35" s="90"/>
      <c r="CR35" s="90"/>
      <c r="CS35" s="90"/>
      <c r="CT35" s="91"/>
      <c r="CU35" s="90"/>
      <c r="CV35" s="97"/>
    </row>
    <row r="36" spans="1:100" ht="15" customHeight="1" x14ac:dyDescent="0.3">
      <c r="A36" s="117" t="s">
        <v>1425</v>
      </c>
      <c r="B36" s="118">
        <v>44253</v>
      </c>
      <c r="C36" s="117" t="s">
        <v>1424</v>
      </c>
      <c r="D36" s="117" t="s">
        <v>337</v>
      </c>
      <c r="E36" s="119" t="s">
        <v>1426</v>
      </c>
      <c r="F36" s="117" t="s">
        <v>1427</v>
      </c>
      <c r="G36" s="117" t="s">
        <v>370</v>
      </c>
      <c r="H36" s="117" t="s">
        <v>1428</v>
      </c>
      <c r="I36" s="117" t="s">
        <v>339</v>
      </c>
      <c r="J36" s="117" t="s">
        <v>1429</v>
      </c>
      <c r="K36" s="117" t="s">
        <v>28</v>
      </c>
      <c r="L36" s="117" t="s">
        <v>1430</v>
      </c>
      <c r="M36" s="119" t="s">
        <v>346</v>
      </c>
      <c r="N36" s="117" t="s">
        <v>1431</v>
      </c>
      <c r="O36" s="117" t="s">
        <v>1432</v>
      </c>
      <c r="P36" s="117"/>
      <c r="Q36" s="118"/>
      <c r="R36" s="118">
        <v>44343</v>
      </c>
      <c r="S36" s="117"/>
      <c r="T36" s="118"/>
      <c r="U36" s="120" t="s">
        <v>295</v>
      </c>
      <c r="V36" s="120" t="s">
        <v>295</v>
      </c>
      <c r="W36" s="121" t="s">
        <v>262</v>
      </c>
      <c r="X36" s="117" t="s">
        <v>1433</v>
      </c>
      <c r="Y36" s="117"/>
      <c r="Z36" s="117"/>
      <c r="AA36" s="117" t="s">
        <v>2</v>
      </c>
      <c r="AB36" s="117" t="s">
        <v>1434</v>
      </c>
      <c r="AC36" s="118">
        <v>44253</v>
      </c>
      <c r="AD36" s="117" t="s">
        <v>349</v>
      </c>
      <c r="AE36" s="117" t="s">
        <v>1435</v>
      </c>
      <c r="AF36" s="90" t="s">
        <v>1116</v>
      </c>
      <c r="AG36" s="90" t="s">
        <v>0</v>
      </c>
      <c r="AH36" s="93" t="s">
        <v>972</v>
      </c>
      <c r="AI36" s="93" t="b">
        <v>0</v>
      </c>
      <c r="AJ36" s="93"/>
      <c r="AK36" s="93" t="b">
        <v>0</v>
      </c>
      <c r="AL36" s="93"/>
      <c r="AM36" s="93" t="b">
        <v>0</v>
      </c>
      <c r="AN36" s="93" t="b">
        <v>0</v>
      </c>
      <c r="AO36" s="93" t="b">
        <v>0</v>
      </c>
      <c r="AP36" s="93" t="b">
        <v>0</v>
      </c>
      <c r="AQ36" s="93" t="b">
        <v>0</v>
      </c>
      <c r="AR36" s="93" t="b">
        <v>0</v>
      </c>
      <c r="AS36" s="93" t="b">
        <v>0</v>
      </c>
      <c r="AT36" s="107" t="s">
        <v>1446</v>
      </c>
      <c r="AU36" s="94">
        <v>9228291</v>
      </c>
      <c r="AV36" s="90" t="s">
        <v>730</v>
      </c>
      <c r="AW36" s="108" t="s">
        <v>951</v>
      </c>
      <c r="AX36" s="91">
        <v>44509</v>
      </c>
      <c r="AY36" s="108" t="s">
        <v>1101</v>
      </c>
      <c r="AZ36" s="90" t="s">
        <v>11</v>
      </c>
      <c r="BA36" s="90" t="s">
        <v>81</v>
      </c>
      <c r="BB36" s="90" t="s">
        <v>35</v>
      </c>
      <c r="BC36" s="90"/>
      <c r="BD36" s="90" t="s">
        <v>28</v>
      </c>
      <c r="BE36" s="90" t="s">
        <v>1436</v>
      </c>
      <c r="BF36" s="90"/>
      <c r="BG36" s="91"/>
      <c r="BH36" s="93" t="b">
        <v>0</v>
      </c>
      <c r="BI36" s="90"/>
      <c r="BJ36" s="90"/>
      <c r="BK36" s="90" t="s">
        <v>1382</v>
      </c>
      <c r="BL36" s="90" t="s">
        <v>1437</v>
      </c>
      <c r="BM36" s="90"/>
      <c r="BN36" s="90" t="s">
        <v>1438</v>
      </c>
      <c r="BO36" s="90" t="s">
        <v>1438</v>
      </c>
      <c r="BP36" s="90" t="s">
        <v>1439</v>
      </c>
      <c r="BQ36" s="90" t="s">
        <v>1440</v>
      </c>
      <c r="BR36" s="95"/>
      <c r="BS36" s="90" t="s">
        <v>1441</v>
      </c>
      <c r="BT36" s="90" t="s">
        <v>1442</v>
      </c>
      <c r="BU36" s="90" t="s">
        <v>1443</v>
      </c>
      <c r="BV36" s="90"/>
      <c r="BW36" s="90"/>
      <c r="BX36" s="90"/>
      <c r="BY36" s="90"/>
      <c r="BZ36" s="90"/>
      <c r="CA36" s="90"/>
      <c r="CB36" s="90"/>
      <c r="CC36" s="91"/>
      <c r="CD36" s="90"/>
      <c r="CE36" s="91"/>
      <c r="CF36" s="90"/>
      <c r="CG36" s="91"/>
      <c r="CH36" s="90"/>
      <c r="CI36" s="91"/>
      <c r="CJ36" s="90"/>
      <c r="CK36" s="91"/>
      <c r="CL36" s="90"/>
      <c r="CM36" s="91"/>
      <c r="CN36" s="96"/>
      <c r="CO36" s="91"/>
      <c r="CP36" s="90" t="s">
        <v>773</v>
      </c>
      <c r="CQ36" s="90" t="s">
        <v>1444</v>
      </c>
      <c r="CR36" s="90" t="s">
        <v>1445</v>
      </c>
      <c r="CS36" s="90">
        <v>8</v>
      </c>
      <c r="CT36" s="91">
        <v>44270</v>
      </c>
      <c r="CU36" s="90" t="s">
        <v>1435</v>
      </c>
      <c r="CV36" s="97"/>
    </row>
    <row r="37" spans="1:100" ht="15" customHeight="1" x14ac:dyDescent="0.3">
      <c r="A37" s="117" t="s">
        <v>1448</v>
      </c>
      <c r="B37" s="118">
        <v>44253</v>
      </c>
      <c r="C37" s="117" t="s">
        <v>1447</v>
      </c>
      <c r="D37" s="117" t="s">
        <v>337</v>
      </c>
      <c r="E37" s="119" t="s">
        <v>1426</v>
      </c>
      <c r="F37" s="117" t="s">
        <v>1427</v>
      </c>
      <c r="G37" s="117" t="s">
        <v>370</v>
      </c>
      <c r="H37" s="117" t="s">
        <v>1428</v>
      </c>
      <c r="I37" s="117" t="s">
        <v>339</v>
      </c>
      <c r="J37" s="117" t="s">
        <v>1429</v>
      </c>
      <c r="K37" s="117" t="s">
        <v>28</v>
      </c>
      <c r="L37" s="117" t="s">
        <v>1449</v>
      </c>
      <c r="M37" s="119" t="s">
        <v>346</v>
      </c>
      <c r="N37" s="117" t="s">
        <v>1450</v>
      </c>
      <c r="O37" s="117" t="s">
        <v>1451</v>
      </c>
      <c r="P37" s="117"/>
      <c r="Q37" s="118"/>
      <c r="R37" s="118"/>
      <c r="S37" s="117"/>
      <c r="T37" s="118"/>
      <c r="U37" s="120" t="s">
        <v>295</v>
      </c>
      <c r="V37" s="120" t="s">
        <v>295</v>
      </c>
      <c r="W37" s="121" t="s">
        <v>262</v>
      </c>
      <c r="X37" s="117" t="s">
        <v>1452</v>
      </c>
      <c r="Y37" s="117"/>
      <c r="Z37" s="117"/>
      <c r="AA37" s="117" t="s">
        <v>4</v>
      </c>
      <c r="AB37" s="117" t="s">
        <v>1453</v>
      </c>
      <c r="AC37" s="118">
        <v>44284</v>
      </c>
      <c r="AD37" s="117" t="s">
        <v>349</v>
      </c>
      <c r="AE37" s="117" t="s">
        <v>1435</v>
      </c>
      <c r="AF37" s="90" t="s">
        <v>1116</v>
      </c>
      <c r="AG37" s="90" t="s">
        <v>0</v>
      </c>
      <c r="AH37" s="93" t="s">
        <v>972</v>
      </c>
      <c r="AI37" s="93" t="b">
        <v>0</v>
      </c>
      <c r="AJ37" s="93"/>
      <c r="AK37" s="93" t="b">
        <v>0</v>
      </c>
      <c r="AL37" s="93"/>
      <c r="AM37" s="93" t="b">
        <v>0</v>
      </c>
      <c r="AN37" s="93" t="b">
        <v>0</v>
      </c>
      <c r="AO37" s="93" t="b">
        <v>0</v>
      </c>
      <c r="AP37" s="93" t="b">
        <v>0</v>
      </c>
      <c r="AQ37" s="93" t="b">
        <v>0</v>
      </c>
      <c r="AR37" s="93" t="b">
        <v>0</v>
      </c>
      <c r="AS37" s="93" t="b">
        <v>0</v>
      </c>
      <c r="AT37" s="107" t="s">
        <v>1454</v>
      </c>
      <c r="AU37" s="94">
        <v>9228291</v>
      </c>
      <c r="AV37" s="90" t="s">
        <v>730</v>
      </c>
      <c r="AW37" s="108" t="s">
        <v>951</v>
      </c>
      <c r="AX37" s="91">
        <v>44509</v>
      </c>
      <c r="AY37" s="108" t="s">
        <v>1101</v>
      </c>
      <c r="AZ37" s="90" t="s">
        <v>581</v>
      </c>
      <c r="BA37" s="90" t="s">
        <v>173</v>
      </c>
      <c r="BB37" s="90" t="s">
        <v>35</v>
      </c>
      <c r="BC37" s="90"/>
      <c r="BD37" s="90" t="s">
        <v>28</v>
      </c>
      <c r="BE37" s="90" t="s">
        <v>1436</v>
      </c>
      <c r="BF37" s="90"/>
      <c r="BG37" s="91"/>
      <c r="BH37" s="93" t="b">
        <v>0</v>
      </c>
      <c r="BI37" s="90"/>
      <c r="BJ37" s="90"/>
      <c r="BK37" s="90" t="s">
        <v>1382</v>
      </c>
      <c r="BL37" s="90" t="s">
        <v>1437</v>
      </c>
      <c r="BM37" s="90"/>
      <c r="BN37" s="90" t="s">
        <v>1438</v>
      </c>
      <c r="BO37" s="90" t="s">
        <v>1438</v>
      </c>
      <c r="BP37" s="90" t="s">
        <v>1439</v>
      </c>
      <c r="BQ37" s="90" t="s">
        <v>1440</v>
      </c>
      <c r="BR37" s="95"/>
      <c r="BS37" s="90" t="s">
        <v>1441</v>
      </c>
      <c r="BT37" s="90" t="s">
        <v>1442</v>
      </c>
      <c r="BU37" s="90" t="s">
        <v>1443</v>
      </c>
      <c r="BV37" s="90"/>
      <c r="BW37" s="90"/>
      <c r="BX37" s="90"/>
      <c r="BY37" s="90"/>
      <c r="BZ37" s="90"/>
      <c r="CA37" s="90"/>
      <c r="CB37" s="90"/>
      <c r="CC37" s="91"/>
      <c r="CD37" s="90"/>
      <c r="CE37" s="91"/>
      <c r="CF37" s="90"/>
      <c r="CG37" s="91"/>
      <c r="CH37" s="90"/>
      <c r="CI37" s="91"/>
      <c r="CJ37" s="90"/>
      <c r="CK37" s="91"/>
      <c r="CL37" s="90"/>
      <c r="CM37" s="91"/>
      <c r="CN37" s="96"/>
      <c r="CO37" s="91"/>
      <c r="CP37" s="90" t="s">
        <v>773</v>
      </c>
      <c r="CQ37" s="90" t="s">
        <v>1444</v>
      </c>
      <c r="CR37" s="90" t="s">
        <v>1445</v>
      </c>
      <c r="CS37" s="90">
        <v>5</v>
      </c>
      <c r="CT37" s="91">
        <v>44270</v>
      </c>
      <c r="CU37" s="90" t="s">
        <v>1435</v>
      </c>
      <c r="CV37" s="97"/>
    </row>
    <row r="38" spans="1:100" ht="15" customHeight="1" x14ac:dyDescent="0.3">
      <c r="A38" s="117" t="s">
        <v>1456</v>
      </c>
      <c r="B38" s="118">
        <v>44253</v>
      </c>
      <c r="C38" s="117" t="s">
        <v>1455</v>
      </c>
      <c r="D38" s="117" t="s">
        <v>337</v>
      </c>
      <c r="E38" s="119" t="s">
        <v>1426</v>
      </c>
      <c r="F38" s="117" t="s">
        <v>1427</v>
      </c>
      <c r="G38" s="117" t="s">
        <v>370</v>
      </c>
      <c r="H38" s="117" t="s">
        <v>1428</v>
      </c>
      <c r="I38" s="117" t="s">
        <v>339</v>
      </c>
      <c r="J38" s="117" t="s">
        <v>1429</v>
      </c>
      <c r="K38" s="117" t="s">
        <v>30</v>
      </c>
      <c r="L38" s="117" t="s">
        <v>1457</v>
      </c>
      <c r="M38" s="119" t="s">
        <v>346</v>
      </c>
      <c r="N38" s="117" t="s">
        <v>1458</v>
      </c>
      <c r="O38" s="117" t="s">
        <v>1459</v>
      </c>
      <c r="P38" s="117"/>
      <c r="Q38" s="118"/>
      <c r="R38" s="118"/>
      <c r="S38" s="117"/>
      <c r="T38" s="118"/>
      <c r="U38" s="120" t="s">
        <v>295</v>
      </c>
      <c r="V38" s="120" t="s">
        <v>295</v>
      </c>
      <c r="W38" s="121" t="s">
        <v>262</v>
      </c>
      <c r="X38" s="117" t="s">
        <v>1460</v>
      </c>
      <c r="Y38" s="117"/>
      <c r="Z38" s="117"/>
      <c r="AA38" s="117" t="s">
        <v>4</v>
      </c>
      <c r="AB38" s="117" t="s">
        <v>1461</v>
      </c>
      <c r="AC38" s="118">
        <v>44268</v>
      </c>
      <c r="AD38" s="117" t="s">
        <v>349</v>
      </c>
      <c r="AE38" s="117" t="s">
        <v>1435</v>
      </c>
      <c r="AF38" s="90" t="s">
        <v>1116</v>
      </c>
      <c r="AG38" s="90" t="s">
        <v>0</v>
      </c>
      <c r="AH38" s="93" t="s">
        <v>972</v>
      </c>
      <c r="AI38" s="93" t="b">
        <v>0</v>
      </c>
      <c r="AJ38" s="93"/>
      <c r="AK38" s="93" t="b">
        <v>0</v>
      </c>
      <c r="AL38" s="93"/>
      <c r="AM38" s="93" t="b">
        <v>0</v>
      </c>
      <c r="AN38" s="93" t="b">
        <v>0</v>
      </c>
      <c r="AO38" s="93" t="b">
        <v>0</v>
      </c>
      <c r="AP38" s="93" t="b">
        <v>0</v>
      </c>
      <c r="AQ38" s="93" t="b">
        <v>0</v>
      </c>
      <c r="AR38" s="93" t="b">
        <v>0</v>
      </c>
      <c r="AS38" s="93" t="b">
        <v>0</v>
      </c>
      <c r="AT38" s="107" t="s">
        <v>1463</v>
      </c>
      <c r="AU38" s="94">
        <v>9228291</v>
      </c>
      <c r="AV38" s="90" t="s">
        <v>730</v>
      </c>
      <c r="AW38" s="108" t="s">
        <v>951</v>
      </c>
      <c r="AX38" s="91">
        <v>44509</v>
      </c>
      <c r="AY38" s="108" t="s">
        <v>1101</v>
      </c>
      <c r="AZ38" s="90"/>
      <c r="BA38" s="90"/>
      <c r="BB38" s="90"/>
      <c r="BC38" s="90"/>
      <c r="BD38" s="90" t="s">
        <v>30</v>
      </c>
      <c r="BE38" s="90" t="s">
        <v>1462</v>
      </c>
      <c r="BF38" s="90" t="s">
        <v>573</v>
      </c>
      <c r="BG38" s="91">
        <v>44403</v>
      </c>
      <c r="BH38" s="93" t="b">
        <v>0</v>
      </c>
      <c r="BI38" s="90"/>
      <c r="BJ38" s="90"/>
      <c r="BK38" s="90" t="s">
        <v>1382</v>
      </c>
      <c r="BL38" s="90" t="s">
        <v>1437</v>
      </c>
      <c r="BM38" s="90"/>
      <c r="BN38" s="90" t="s">
        <v>1438</v>
      </c>
      <c r="BO38" s="90" t="s">
        <v>1438</v>
      </c>
      <c r="BP38" s="90" t="s">
        <v>1439</v>
      </c>
      <c r="BQ38" s="90" t="s">
        <v>1440</v>
      </c>
      <c r="BR38" s="95"/>
      <c r="BS38" s="90" t="s">
        <v>1441</v>
      </c>
      <c r="BT38" s="90" t="s">
        <v>1442</v>
      </c>
      <c r="BU38" s="90" t="s">
        <v>1443</v>
      </c>
      <c r="BV38" s="90"/>
      <c r="BW38" s="90"/>
      <c r="BX38" s="90"/>
      <c r="BY38" s="90"/>
      <c r="BZ38" s="90"/>
      <c r="CA38" s="90"/>
      <c r="CB38" s="90"/>
      <c r="CC38" s="91"/>
      <c r="CD38" s="90"/>
      <c r="CE38" s="91"/>
      <c r="CF38" s="90"/>
      <c r="CG38" s="91"/>
      <c r="CH38" s="90"/>
      <c r="CI38" s="91"/>
      <c r="CJ38" s="90"/>
      <c r="CK38" s="91"/>
      <c r="CL38" s="90"/>
      <c r="CM38" s="91"/>
      <c r="CN38" s="96"/>
      <c r="CO38" s="91"/>
      <c r="CP38" s="90" t="s">
        <v>773</v>
      </c>
      <c r="CQ38" s="90" t="s">
        <v>1444</v>
      </c>
      <c r="CR38" s="90" t="s">
        <v>1445</v>
      </c>
      <c r="CS38" s="90">
        <v>5</v>
      </c>
      <c r="CT38" s="91">
        <v>44270</v>
      </c>
      <c r="CU38" s="90" t="s">
        <v>1435</v>
      </c>
      <c r="CV38" s="97"/>
    </row>
    <row r="39" spans="1:100" ht="15" customHeight="1" x14ac:dyDescent="0.3">
      <c r="A39" s="117" t="s">
        <v>1465</v>
      </c>
      <c r="B39" s="118">
        <v>44253</v>
      </c>
      <c r="C39" s="117" t="s">
        <v>1464</v>
      </c>
      <c r="D39" s="117" t="s">
        <v>337</v>
      </c>
      <c r="E39" s="119" t="s">
        <v>1426</v>
      </c>
      <c r="F39" s="117" t="s">
        <v>1427</v>
      </c>
      <c r="G39" s="117" t="s">
        <v>370</v>
      </c>
      <c r="H39" s="117" t="s">
        <v>1428</v>
      </c>
      <c r="I39" s="117" t="s">
        <v>339</v>
      </c>
      <c r="J39" s="117" t="s">
        <v>1429</v>
      </c>
      <c r="K39" s="117" t="s">
        <v>756</v>
      </c>
      <c r="L39" s="117" t="s">
        <v>1466</v>
      </c>
      <c r="M39" s="119" t="s">
        <v>346</v>
      </c>
      <c r="N39" s="117" t="s">
        <v>1467</v>
      </c>
      <c r="O39" s="117" t="s">
        <v>1468</v>
      </c>
      <c r="P39" s="117"/>
      <c r="Q39" s="118"/>
      <c r="R39" s="118"/>
      <c r="S39" s="117"/>
      <c r="T39" s="118"/>
      <c r="U39" s="120" t="s">
        <v>295</v>
      </c>
      <c r="V39" s="120" t="s">
        <v>295</v>
      </c>
      <c r="W39" s="121" t="s">
        <v>262</v>
      </c>
      <c r="X39" s="117" t="s">
        <v>1469</v>
      </c>
      <c r="Y39" s="117"/>
      <c r="Z39" s="117"/>
      <c r="AA39" s="117" t="s">
        <v>2</v>
      </c>
      <c r="AB39" s="117" t="s">
        <v>1470</v>
      </c>
      <c r="AC39" s="118">
        <v>44253</v>
      </c>
      <c r="AD39" s="117" t="s">
        <v>349</v>
      </c>
      <c r="AE39" s="117" t="s">
        <v>1435</v>
      </c>
      <c r="AF39" s="90" t="s">
        <v>1116</v>
      </c>
      <c r="AG39" s="90" t="s">
        <v>0</v>
      </c>
      <c r="AH39" s="93" t="s">
        <v>972</v>
      </c>
      <c r="AI39" s="93" t="b">
        <v>0</v>
      </c>
      <c r="AJ39" s="93"/>
      <c r="AK39" s="93" t="b">
        <v>0</v>
      </c>
      <c r="AL39" s="93"/>
      <c r="AM39" s="93" t="b">
        <v>0</v>
      </c>
      <c r="AN39" s="93" t="b">
        <v>0</v>
      </c>
      <c r="AO39" s="93" t="b">
        <v>0</v>
      </c>
      <c r="AP39" s="93" t="b">
        <v>0</v>
      </c>
      <c r="AQ39" s="93" t="b">
        <v>0</v>
      </c>
      <c r="AR39" s="93" t="b">
        <v>0</v>
      </c>
      <c r="AS39" s="93" t="b">
        <v>0</v>
      </c>
      <c r="AT39" s="107" t="s">
        <v>1472</v>
      </c>
      <c r="AU39" s="94">
        <v>9228291</v>
      </c>
      <c r="AV39" s="90" t="s">
        <v>730</v>
      </c>
      <c r="AW39" s="108" t="s">
        <v>951</v>
      </c>
      <c r="AX39" s="91">
        <v>44509</v>
      </c>
      <c r="AY39" s="108" t="s">
        <v>1101</v>
      </c>
      <c r="AZ39" s="90" t="s">
        <v>15</v>
      </c>
      <c r="BA39" s="90" t="s">
        <v>114</v>
      </c>
      <c r="BB39" s="90" t="s">
        <v>43</v>
      </c>
      <c r="BC39" s="90"/>
      <c r="BD39" s="90" t="s">
        <v>756</v>
      </c>
      <c r="BE39" s="90" t="s">
        <v>1471</v>
      </c>
      <c r="BF39" s="90"/>
      <c r="BG39" s="91"/>
      <c r="BH39" s="93" t="b">
        <v>0</v>
      </c>
      <c r="BI39" s="90"/>
      <c r="BJ39" s="90"/>
      <c r="BK39" s="90" t="s">
        <v>1382</v>
      </c>
      <c r="BL39" s="90" t="s">
        <v>1437</v>
      </c>
      <c r="BM39" s="90"/>
      <c r="BN39" s="90" t="s">
        <v>1438</v>
      </c>
      <c r="BO39" s="90" t="s">
        <v>1438</v>
      </c>
      <c r="BP39" s="90" t="s">
        <v>1439</v>
      </c>
      <c r="BQ39" s="90" t="s">
        <v>1440</v>
      </c>
      <c r="BR39" s="95"/>
      <c r="BS39" s="90" t="s">
        <v>1441</v>
      </c>
      <c r="BT39" s="90" t="s">
        <v>1442</v>
      </c>
      <c r="BU39" s="90" t="s">
        <v>1443</v>
      </c>
      <c r="BV39" s="90"/>
      <c r="BW39" s="90"/>
      <c r="BX39" s="90"/>
      <c r="BY39" s="90"/>
      <c r="BZ39" s="90"/>
      <c r="CA39" s="90"/>
      <c r="CB39" s="90"/>
      <c r="CC39" s="91"/>
      <c r="CD39" s="90"/>
      <c r="CE39" s="91"/>
      <c r="CF39" s="90"/>
      <c r="CG39" s="91"/>
      <c r="CH39" s="90"/>
      <c r="CI39" s="91"/>
      <c r="CJ39" s="90"/>
      <c r="CK39" s="91"/>
      <c r="CL39" s="90"/>
      <c r="CM39" s="91"/>
      <c r="CN39" s="96"/>
      <c r="CO39" s="91"/>
      <c r="CP39" s="90" t="s">
        <v>773</v>
      </c>
      <c r="CQ39" s="90" t="s">
        <v>1444</v>
      </c>
      <c r="CR39" s="90" t="s">
        <v>1445</v>
      </c>
      <c r="CS39" s="90">
        <v>10</v>
      </c>
      <c r="CT39" s="91">
        <v>44270</v>
      </c>
      <c r="CU39" s="90" t="s">
        <v>1435</v>
      </c>
      <c r="CV39" s="97"/>
    </row>
    <row r="40" spans="1:100" ht="15" customHeight="1" x14ac:dyDescent="0.3">
      <c r="A40" s="117" t="s">
        <v>1474</v>
      </c>
      <c r="B40" s="118">
        <v>44253</v>
      </c>
      <c r="C40" s="117" t="s">
        <v>1473</v>
      </c>
      <c r="D40" s="117" t="s">
        <v>337</v>
      </c>
      <c r="E40" s="119" t="s">
        <v>1426</v>
      </c>
      <c r="F40" s="117" t="s">
        <v>1427</v>
      </c>
      <c r="G40" s="117" t="s">
        <v>370</v>
      </c>
      <c r="H40" s="117" t="s">
        <v>1428</v>
      </c>
      <c r="I40" s="117" t="s">
        <v>339</v>
      </c>
      <c r="J40" s="117" t="s">
        <v>1429</v>
      </c>
      <c r="K40" s="117" t="s">
        <v>757</v>
      </c>
      <c r="L40" s="117" t="s">
        <v>1475</v>
      </c>
      <c r="M40" s="119" t="s">
        <v>346</v>
      </c>
      <c r="N40" s="117" t="s">
        <v>1476</v>
      </c>
      <c r="O40" s="117" t="s">
        <v>1477</v>
      </c>
      <c r="P40" s="117"/>
      <c r="Q40" s="118"/>
      <c r="R40" s="118"/>
      <c r="S40" s="117"/>
      <c r="T40" s="118"/>
      <c r="U40" s="120" t="s">
        <v>295</v>
      </c>
      <c r="V40" s="120" t="s">
        <v>295</v>
      </c>
      <c r="W40" s="121" t="s">
        <v>262</v>
      </c>
      <c r="X40" s="117" t="s">
        <v>1478</v>
      </c>
      <c r="Y40" s="117"/>
      <c r="Z40" s="117"/>
      <c r="AA40" s="117" t="s">
        <v>1</v>
      </c>
      <c r="AB40" s="117" t="s">
        <v>1479</v>
      </c>
      <c r="AC40" s="118">
        <v>44284</v>
      </c>
      <c r="AD40" s="117" t="s">
        <v>349</v>
      </c>
      <c r="AE40" s="117" t="s">
        <v>1435</v>
      </c>
      <c r="AF40" s="90" t="s">
        <v>1116</v>
      </c>
      <c r="AG40" s="90" t="s">
        <v>0</v>
      </c>
      <c r="AH40" s="93" t="s">
        <v>972</v>
      </c>
      <c r="AI40" s="93" t="b">
        <v>0</v>
      </c>
      <c r="AJ40" s="93"/>
      <c r="AK40" s="93" t="b">
        <v>0</v>
      </c>
      <c r="AL40" s="93"/>
      <c r="AM40" s="93" t="b">
        <v>0</v>
      </c>
      <c r="AN40" s="93" t="b">
        <v>0</v>
      </c>
      <c r="AO40" s="93" t="b">
        <v>0</v>
      </c>
      <c r="AP40" s="93" t="b">
        <v>0</v>
      </c>
      <c r="AQ40" s="93" t="b">
        <v>0</v>
      </c>
      <c r="AR40" s="93" t="b">
        <v>0</v>
      </c>
      <c r="AS40" s="93" t="b">
        <v>0</v>
      </c>
      <c r="AT40" s="107" t="s">
        <v>1481</v>
      </c>
      <c r="AU40" s="94">
        <v>9228291</v>
      </c>
      <c r="AV40" s="90" t="s">
        <v>730</v>
      </c>
      <c r="AW40" s="108" t="s">
        <v>951</v>
      </c>
      <c r="AX40" s="91">
        <v>44509</v>
      </c>
      <c r="AY40" s="108" t="s">
        <v>1101</v>
      </c>
      <c r="AZ40" s="90"/>
      <c r="BA40" s="90"/>
      <c r="BB40" s="90"/>
      <c r="BC40" s="90"/>
      <c r="BD40" s="90" t="s">
        <v>757</v>
      </c>
      <c r="BE40" s="90" t="s">
        <v>1480</v>
      </c>
      <c r="BF40" s="90"/>
      <c r="BG40" s="91"/>
      <c r="BH40" s="93" t="b">
        <v>0</v>
      </c>
      <c r="BI40" s="90"/>
      <c r="BJ40" s="90"/>
      <c r="BK40" s="90" t="s">
        <v>1382</v>
      </c>
      <c r="BL40" s="90" t="s">
        <v>1437</v>
      </c>
      <c r="BM40" s="90"/>
      <c r="BN40" s="90" t="s">
        <v>1438</v>
      </c>
      <c r="BO40" s="90" t="s">
        <v>1438</v>
      </c>
      <c r="BP40" s="90" t="s">
        <v>1439</v>
      </c>
      <c r="BQ40" s="90" t="s">
        <v>1440</v>
      </c>
      <c r="BR40" s="95"/>
      <c r="BS40" s="90" t="s">
        <v>1441</v>
      </c>
      <c r="BT40" s="90" t="s">
        <v>1442</v>
      </c>
      <c r="BU40" s="90" t="s">
        <v>1443</v>
      </c>
      <c r="BV40" s="90"/>
      <c r="BW40" s="90"/>
      <c r="BX40" s="90"/>
      <c r="BY40" s="90"/>
      <c r="BZ40" s="90"/>
      <c r="CA40" s="90"/>
      <c r="CB40" s="90"/>
      <c r="CC40" s="91"/>
      <c r="CD40" s="90"/>
      <c r="CE40" s="91"/>
      <c r="CF40" s="90"/>
      <c r="CG40" s="91"/>
      <c r="CH40" s="90"/>
      <c r="CI40" s="91"/>
      <c r="CJ40" s="90"/>
      <c r="CK40" s="91"/>
      <c r="CL40" s="90"/>
      <c r="CM40" s="91"/>
      <c r="CN40" s="96"/>
      <c r="CO40" s="91"/>
      <c r="CP40" s="90" t="s">
        <v>773</v>
      </c>
      <c r="CQ40" s="90" t="s">
        <v>1444</v>
      </c>
      <c r="CR40" s="90" t="s">
        <v>1445</v>
      </c>
      <c r="CS40" s="90">
        <v>10</v>
      </c>
      <c r="CT40" s="91">
        <v>44270</v>
      </c>
      <c r="CU40" s="90" t="s">
        <v>1435</v>
      </c>
      <c r="CV40" s="97"/>
    </row>
    <row r="41" spans="1:100" ht="15" customHeight="1" x14ac:dyDescent="0.3">
      <c r="A41" s="117" t="s">
        <v>1483</v>
      </c>
      <c r="B41" s="118">
        <v>44287</v>
      </c>
      <c r="C41" s="117" t="s">
        <v>1482</v>
      </c>
      <c r="D41" s="117" t="s">
        <v>364</v>
      </c>
      <c r="E41" s="119" t="s">
        <v>1104</v>
      </c>
      <c r="F41" s="117" t="s">
        <v>1105</v>
      </c>
      <c r="G41" s="117" t="s">
        <v>390</v>
      </c>
      <c r="H41" s="117" t="s">
        <v>1356</v>
      </c>
      <c r="I41" s="117" t="s">
        <v>19</v>
      </c>
      <c r="J41" s="117" t="s">
        <v>1484</v>
      </c>
      <c r="K41" s="117" t="s">
        <v>148</v>
      </c>
      <c r="L41" s="117" t="s">
        <v>1485</v>
      </c>
      <c r="M41" s="119" t="s">
        <v>346</v>
      </c>
      <c r="N41" s="117" t="s">
        <v>1486</v>
      </c>
      <c r="O41" s="117" t="s">
        <v>1487</v>
      </c>
      <c r="P41" s="117" t="s">
        <v>1488</v>
      </c>
      <c r="Q41" s="118">
        <v>44287</v>
      </c>
      <c r="R41" s="118">
        <v>44377</v>
      </c>
      <c r="S41" s="117" t="s">
        <v>1489</v>
      </c>
      <c r="T41" s="118">
        <v>44350</v>
      </c>
      <c r="U41" s="120" t="s">
        <v>295</v>
      </c>
      <c r="V41" s="120" t="s">
        <v>295</v>
      </c>
      <c r="W41" s="121" t="s">
        <v>262</v>
      </c>
      <c r="X41" s="117" t="s">
        <v>1490</v>
      </c>
      <c r="Y41" s="117"/>
      <c r="Z41" s="117"/>
      <c r="AA41" s="117" t="s">
        <v>5</v>
      </c>
      <c r="AB41" s="117" t="s">
        <v>1491</v>
      </c>
      <c r="AC41" s="118">
        <v>44350</v>
      </c>
      <c r="AD41" s="117" t="s">
        <v>349</v>
      </c>
      <c r="AE41" s="117" t="s">
        <v>1115</v>
      </c>
      <c r="AF41" s="90" t="s">
        <v>1116</v>
      </c>
      <c r="AG41" s="90" t="s">
        <v>0</v>
      </c>
      <c r="AH41" s="93" t="s">
        <v>972</v>
      </c>
      <c r="AI41" s="93" t="b">
        <v>0</v>
      </c>
      <c r="AJ41" s="93"/>
      <c r="AK41" s="93" t="b">
        <v>0</v>
      </c>
      <c r="AL41" s="93"/>
      <c r="AM41" s="93" t="b">
        <v>0</v>
      </c>
      <c r="AN41" s="93" t="b">
        <v>0</v>
      </c>
      <c r="AO41" s="93" t="b">
        <v>0</v>
      </c>
      <c r="AP41" s="93" t="b">
        <v>0</v>
      </c>
      <c r="AQ41" s="93" t="b">
        <v>0</v>
      </c>
      <c r="AR41" s="93" t="b">
        <v>0</v>
      </c>
      <c r="AS41" s="93" t="b">
        <v>0</v>
      </c>
      <c r="AT41" s="107" t="s">
        <v>1492</v>
      </c>
      <c r="AU41" s="94">
        <v>9228291</v>
      </c>
      <c r="AV41" s="90" t="s">
        <v>730</v>
      </c>
      <c r="AW41" s="108" t="s">
        <v>951</v>
      </c>
      <c r="AX41" s="91">
        <v>44509</v>
      </c>
      <c r="AY41" s="108" t="s">
        <v>1101</v>
      </c>
      <c r="AZ41" s="90" t="s">
        <v>19</v>
      </c>
      <c r="BA41" s="90" t="s">
        <v>148</v>
      </c>
      <c r="BB41" s="90" t="s">
        <v>43</v>
      </c>
      <c r="BC41" s="90"/>
      <c r="BD41" s="90" t="s">
        <v>756</v>
      </c>
      <c r="BE41" s="90"/>
      <c r="BF41" s="90"/>
      <c r="BG41" s="91"/>
      <c r="BH41" s="93" t="b">
        <v>0</v>
      </c>
      <c r="BI41" s="90"/>
      <c r="BJ41" s="90"/>
      <c r="BK41" s="90" t="s">
        <v>1382</v>
      </c>
      <c r="BL41" s="90"/>
      <c r="BM41" s="90"/>
      <c r="BN41" s="90"/>
      <c r="BO41" s="90"/>
      <c r="BP41" s="90"/>
      <c r="BQ41" s="90"/>
      <c r="BR41" s="95"/>
      <c r="BS41" s="90"/>
      <c r="BT41" s="90"/>
      <c r="BU41" s="90"/>
      <c r="BV41" s="90"/>
      <c r="BW41" s="90"/>
      <c r="BX41" s="90"/>
      <c r="BY41" s="90"/>
      <c r="BZ41" s="90"/>
      <c r="CA41" s="90"/>
      <c r="CB41" s="90"/>
      <c r="CC41" s="91"/>
      <c r="CD41" s="90"/>
      <c r="CE41" s="91"/>
      <c r="CF41" s="90"/>
      <c r="CG41" s="91"/>
      <c r="CH41" s="90"/>
      <c r="CI41" s="91"/>
      <c r="CJ41" s="90"/>
      <c r="CK41" s="91"/>
      <c r="CL41" s="90"/>
      <c r="CM41" s="91"/>
      <c r="CN41" s="96"/>
      <c r="CO41" s="91"/>
      <c r="CP41" s="90"/>
      <c r="CQ41" s="90"/>
      <c r="CR41" s="90"/>
      <c r="CS41" s="90"/>
      <c r="CT41" s="91"/>
      <c r="CU41" s="90"/>
      <c r="CV41" s="97"/>
    </row>
    <row r="42" spans="1:100" ht="15" customHeight="1" x14ac:dyDescent="0.3">
      <c r="A42" s="117" t="s">
        <v>1494</v>
      </c>
      <c r="B42" s="118">
        <v>44336</v>
      </c>
      <c r="C42" s="117" t="s">
        <v>1493</v>
      </c>
      <c r="D42" s="117" t="s">
        <v>364</v>
      </c>
      <c r="E42" s="119" t="s">
        <v>1104</v>
      </c>
      <c r="F42" s="117" t="s">
        <v>1105</v>
      </c>
      <c r="G42" s="117" t="s">
        <v>390</v>
      </c>
      <c r="H42" s="117" t="s">
        <v>1356</v>
      </c>
      <c r="I42" s="117" t="s">
        <v>19</v>
      </c>
      <c r="J42" s="117" t="s">
        <v>1484</v>
      </c>
      <c r="K42" s="117" t="s">
        <v>149</v>
      </c>
      <c r="L42" s="117" t="s">
        <v>1495</v>
      </c>
      <c r="M42" s="119" t="s">
        <v>346</v>
      </c>
      <c r="N42" s="117" t="s">
        <v>1496</v>
      </c>
      <c r="O42" s="117" t="s">
        <v>1497</v>
      </c>
      <c r="P42" s="117" t="s">
        <v>1498</v>
      </c>
      <c r="Q42" s="118">
        <v>44336</v>
      </c>
      <c r="R42" s="118">
        <v>44426</v>
      </c>
      <c r="S42" s="117" t="s">
        <v>1499</v>
      </c>
      <c r="T42" s="118">
        <v>44349</v>
      </c>
      <c r="U42" s="120" t="s">
        <v>295</v>
      </c>
      <c r="V42" s="120" t="s">
        <v>295</v>
      </c>
      <c r="W42" s="121" t="s">
        <v>262</v>
      </c>
      <c r="X42" s="117" t="s">
        <v>1500</v>
      </c>
      <c r="Y42" s="117"/>
      <c r="Z42" s="117"/>
      <c r="AA42" s="117" t="s">
        <v>1</v>
      </c>
      <c r="AB42" s="117" t="s">
        <v>1501</v>
      </c>
      <c r="AC42" s="118">
        <v>44349</v>
      </c>
      <c r="AD42" s="117" t="s">
        <v>349</v>
      </c>
      <c r="AE42" s="117" t="s">
        <v>1115</v>
      </c>
      <c r="AF42" s="90" t="s">
        <v>1116</v>
      </c>
      <c r="AG42" s="90" t="s">
        <v>0</v>
      </c>
      <c r="AH42" s="93" t="s">
        <v>972</v>
      </c>
      <c r="AI42" s="93" t="b">
        <v>0</v>
      </c>
      <c r="AJ42" s="93"/>
      <c r="AK42" s="93" t="b">
        <v>0</v>
      </c>
      <c r="AL42" s="93"/>
      <c r="AM42" s="93" t="b">
        <v>0</v>
      </c>
      <c r="AN42" s="93" t="b">
        <v>0</v>
      </c>
      <c r="AO42" s="93" t="b">
        <v>0</v>
      </c>
      <c r="AP42" s="93" t="b">
        <v>0</v>
      </c>
      <c r="AQ42" s="93" t="b">
        <v>0</v>
      </c>
      <c r="AR42" s="93" t="b">
        <v>0</v>
      </c>
      <c r="AS42" s="93" t="b">
        <v>0</v>
      </c>
      <c r="AT42" s="107" t="s">
        <v>1502</v>
      </c>
      <c r="AU42" s="94">
        <v>9228291</v>
      </c>
      <c r="AV42" s="90" t="s">
        <v>730</v>
      </c>
      <c r="AW42" s="108" t="s">
        <v>951</v>
      </c>
      <c r="AX42" s="91">
        <v>44509</v>
      </c>
      <c r="AY42" s="108" t="s">
        <v>1101</v>
      </c>
      <c r="AZ42" s="90" t="s">
        <v>19</v>
      </c>
      <c r="BA42" s="90" t="s">
        <v>149</v>
      </c>
      <c r="BB42" s="90" t="s">
        <v>43</v>
      </c>
      <c r="BC42" s="90"/>
      <c r="BD42" s="90" t="s">
        <v>756</v>
      </c>
      <c r="BE42" s="90"/>
      <c r="BF42" s="90"/>
      <c r="BG42" s="91"/>
      <c r="BH42" s="93" t="b">
        <v>0</v>
      </c>
      <c r="BI42" s="90"/>
      <c r="BJ42" s="90"/>
      <c r="BK42" s="90" t="s">
        <v>1382</v>
      </c>
      <c r="BL42" s="90"/>
      <c r="BM42" s="90"/>
      <c r="BN42" s="90"/>
      <c r="BO42" s="90"/>
      <c r="BP42" s="90"/>
      <c r="BQ42" s="90"/>
      <c r="BR42" s="95"/>
      <c r="BS42" s="90"/>
      <c r="BT42" s="90"/>
      <c r="BU42" s="90"/>
      <c r="BV42" s="90"/>
      <c r="BW42" s="90"/>
      <c r="BX42" s="90"/>
      <c r="BY42" s="90"/>
      <c r="BZ42" s="90"/>
      <c r="CA42" s="90"/>
      <c r="CB42" s="90"/>
      <c r="CC42" s="91"/>
      <c r="CD42" s="90"/>
      <c r="CE42" s="91"/>
      <c r="CF42" s="90"/>
      <c r="CG42" s="91"/>
      <c r="CH42" s="90"/>
      <c r="CI42" s="91"/>
      <c r="CJ42" s="90"/>
      <c r="CK42" s="91"/>
      <c r="CL42" s="90"/>
      <c r="CM42" s="91"/>
      <c r="CN42" s="96"/>
      <c r="CO42" s="91"/>
      <c r="CP42" s="90"/>
      <c r="CQ42" s="90"/>
      <c r="CR42" s="90"/>
      <c r="CS42" s="90"/>
      <c r="CT42" s="91"/>
      <c r="CU42" s="90"/>
      <c r="CV42" s="97"/>
    </row>
    <row r="43" spans="1:100" ht="15" customHeight="1" x14ac:dyDescent="0.3">
      <c r="A43" s="117" t="s">
        <v>1504</v>
      </c>
      <c r="B43" s="118">
        <v>44332</v>
      </c>
      <c r="C43" s="117" t="s">
        <v>1503</v>
      </c>
      <c r="D43" s="117" t="s">
        <v>364</v>
      </c>
      <c r="E43" s="119" t="s">
        <v>1104</v>
      </c>
      <c r="F43" s="117" t="s">
        <v>1105</v>
      </c>
      <c r="G43" s="117" t="s">
        <v>390</v>
      </c>
      <c r="H43" s="117" t="s">
        <v>1356</v>
      </c>
      <c r="I43" s="117" t="s">
        <v>8</v>
      </c>
      <c r="J43" s="117" t="s">
        <v>1386</v>
      </c>
      <c r="K43" s="117" t="s">
        <v>75</v>
      </c>
      <c r="L43" s="117" t="s">
        <v>1387</v>
      </c>
      <c r="M43" s="119" t="s">
        <v>346</v>
      </c>
      <c r="N43" s="117" t="s">
        <v>1505</v>
      </c>
      <c r="O43" s="117" t="s">
        <v>1506</v>
      </c>
      <c r="P43" s="117" t="s">
        <v>1507</v>
      </c>
      <c r="Q43" s="118">
        <v>44332</v>
      </c>
      <c r="R43" s="118">
        <v>44422</v>
      </c>
      <c r="S43" s="117" t="s">
        <v>1508</v>
      </c>
      <c r="T43" s="118">
        <v>44373</v>
      </c>
      <c r="U43" s="120" t="s">
        <v>295</v>
      </c>
      <c r="V43" s="120" t="s">
        <v>295</v>
      </c>
      <c r="W43" s="121" t="s">
        <v>262</v>
      </c>
      <c r="X43" s="117" t="s">
        <v>1509</v>
      </c>
      <c r="Y43" s="117"/>
      <c r="Z43" s="117"/>
      <c r="AA43" s="117" t="s">
        <v>1</v>
      </c>
      <c r="AB43" s="117" t="s">
        <v>1510</v>
      </c>
      <c r="AC43" s="118">
        <v>44373</v>
      </c>
      <c r="AD43" s="117" t="s">
        <v>349</v>
      </c>
      <c r="AE43" s="117" t="s">
        <v>1115</v>
      </c>
      <c r="AF43" s="90" t="s">
        <v>1116</v>
      </c>
      <c r="AG43" s="90" t="s">
        <v>0</v>
      </c>
      <c r="AH43" s="93" t="s">
        <v>972</v>
      </c>
      <c r="AI43" s="93" t="b">
        <v>0</v>
      </c>
      <c r="AJ43" s="93"/>
      <c r="AK43" s="93" t="b">
        <v>0</v>
      </c>
      <c r="AL43" s="93"/>
      <c r="AM43" s="93" t="b">
        <v>0</v>
      </c>
      <c r="AN43" s="93" t="b">
        <v>0</v>
      </c>
      <c r="AO43" s="93" t="b">
        <v>0</v>
      </c>
      <c r="AP43" s="93" t="b">
        <v>0</v>
      </c>
      <c r="AQ43" s="93" t="b">
        <v>0</v>
      </c>
      <c r="AR43" s="93" t="b">
        <v>0</v>
      </c>
      <c r="AS43" s="93" t="b">
        <v>0</v>
      </c>
      <c r="AT43" s="107" t="s">
        <v>1511</v>
      </c>
      <c r="AU43" s="94">
        <v>9228291</v>
      </c>
      <c r="AV43" s="90" t="s">
        <v>730</v>
      </c>
      <c r="AW43" s="108" t="s">
        <v>951</v>
      </c>
      <c r="AX43" s="91">
        <v>44509</v>
      </c>
      <c r="AY43" s="108" t="s">
        <v>1101</v>
      </c>
      <c r="AZ43" s="90" t="s">
        <v>8</v>
      </c>
      <c r="BA43" s="90" t="s">
        <v>75</v>
      </c>
      <c r="BB43" s="90" t="s">
        <v>44</v>
      </c>
      <c r="BC43" s="90"/>
      <c r="BD43" s="90" t="s">
        <v>755</v>
      </c>
      <c r="BE43" s="90"/>
      <c r="BF43" s="90"/>
      <c r="BG43" s="91"/>
      <c r="BH43" s="93" t="b">
        <v>0</v>
      </c>
      <c r="BI43" s="90"/>
      <c r="BJ43" s="90"/>
      <c r="BK43" s="90" t="s">
        <v>1382</v>
      </c>
      <c r="BL43" s="90"/>
      <c r="BM43" s="90"/>
      <c r="BN43" s="90"/>
      <c r="BO43" s="90"/>
      <c r="BP43" s="90"/>
      <c r="BQ43" s="90"/>
      <c r="BR43" s="95"/>
      <c r="BS43" s="90"/>
      <c r="BT43" s="90"/>
      <c r="BU43" s="90"/>
      <c r="BV43" s="90"/>
      <c r="BW43" s="90"/>
      <c r="BX43" s="90"/>
      <c r="BY43" s="90"/>
      <c r="BZ43" s="90"/>
      <c r="CA43" s="90"/>
      <c r="CB43" s="90"/>
      <c r="CC43" s="91"/>
      <c r="CD43" s="90"/>
      <c r="CE43" s="91"/>
      <c r="CF43" s="90"/>
      <c r="CG43" s="91"/>
      <c r="CH43" s="90"/>
      <c r="CI43" s="91"/>
      <c r="CJ43" s="90"/>
      <c r="CK43" s="91"/>
      <c r="CL43" s="90"/>
      <c r="CM43" s="91"/>
      <c r="CN43" s="96"/>
      <c r="CO43" s="91"/>
      <c r="CP43" s="90"/>
      <c r="CQ43" s="90"/>
      <c r="CR43" s="90"/>
      <c r="CS43" s="90"/>
      <c r="CT43" s="91"/>
      <c r="CU43" s="90"/>
      <c r="CV43" s="97"/>
    </row>
    <row r="44" spans="1:100" ht="15" customHeight="1" x14ac:dyDescent="0.3">
      <c r="A44" s="117" t="s">
        <v>1513</v>
      </c>
      <c r="B44" s="118">
        <v>44350</v>
      </c>
      <c r="C44" s="117" t="s">
        <v>1512</v>
      </c>
      <c r="D44" s="117" t="s">
        <v>364</v>
      </c>
      <c r="E44" s="119" t="s">
        <v>1104</v>
      </c>
      <c r="F44" s="117" t="s">
        <v>1105</v>
      </c>
      <c r="G44" s="117" t="s">
        <v>390</v>
      </c>
      <c r="H44" s="117" t="s">
        <v>1356</v>
      </c>
      <c r="I44" s="117" t="s">
        <v>582</v>
      </c>
      <c r="J44" s="117" t="s">
        <v>1219</v>
      </c>
      <c r="K44" s="117" t="s">
        <v>69</v>
      </c>
      <c r="L44" s="117" t="s">
        <v>1220</v>
      </c>
      <c r="M44" s="119" t="s">
        <v>346</v>
      </c>
      <c r="N44" s="117" t="s">
        <v>1514</v>
      </c>
      <c r="O44" s="117" t="s">
        <v>1515</v>
      </c>
      <c r="P44" s="117" t="s">
        <v>1516</v>
      </c>
      <c r="Q44" s="118">
        <v>44355</v>
      </c>
      <c r="R44" s="118">
        <v>44440</v>
      </c>
      <c r="S44" s="117" t="s">
        <v>1517</v>
      </c>
      <c r="T44" s="118">
        <v>44394</v>
      </c>
      <c r="U44" s="120" t="s">
        <v>295</v>
      </c>
      <c r="V44" s="120" t="s">
        <v>295</v>
      </c>
      <c r="W44" s="121" t="s">
        <v>262</v>
      </c>
      <c r="X44" s="117" t="s">
        <v>1518</v>
      </c>
      <c r="Y44" s="117"/>
      <c r="Z44" s="117"/>
      <c r="AA44" s="117" t="s">
        <v>4</v>
      </c>
      <c r="AB44" s="117" t="s">
        <v>1519</v>
      </c>
      <c r="AC44" s="118">
        <v>44394</v>
      </c>
      <c r="AD44" s="117" t="s">
        <v>349</v>
      </c>
      <c r="AE44" s="117" t="s">
        <v>1115</v>
      </c>
      <c r="AF44" s="90" t="s">
        <v>1116</v>
      </c>
      <c r="AG44" s="90" t="s">
        <v>0</v>
      </c>
      <c r="AH44" s="93" t="s">
        <v>972</v>
      </c>
      <c r="AI44" s="93" t="b">
        <v>0</v>
      </c>
      <c r="AJ44" s="93"/>
      <c r="AK44" s="93" t="b">
        <v>0</v>
      </c>
      <c r="AL44" s="93"/>
      <c r="AM44" s="93" t="b">
        <v>0</v>
      </c>
      <c r="AN44" s="93" t="b">
        <v>0</v>
      </c>
      <c r="AO44" s="93" t="b">
        <v>0</v>
      </c>
      <c r="AP44" s="93" t="b">
        <v>0</v>
      </c>
      <c r="AQ44" s="93" t="b">
        <v>0</v>
      </c>
      <c r="AR44" s="93" t="b">
        <v>0</v>
      </c>
      <c r="AS44" s="93" t="b">
        <v>0</v>
      </c>
      <c r="AT44" s="107" t="s">
        <v>1520</v>
      </c>
      <c r="AU44" s="94">
        <v>9228291</v>
      </c>
      <c r="AV44" s="90" t="s">
        <v>730</v>
      </c>
      <c r="AW44" s="108" t="s">
        <v>951</v>
      </c>
      <c r="AX44" s="91">
        <v>44509</v>
      </c>
      <c r="AY44" s="108" t="s">
        <v>1101</v>
      </c>
      <c r="AZ44" s="90" t="s">
        <v>582</v>
      </c>
      <c r="BA44" s="90" t="s">
        <v>69</v>
      </c>
      <c r="BB44" s="90" t="s">
        <v>40</v>
      </c>
      <c r="BC44" s="90"/>
      <c r="BD44" s="90" t="s">
        <v>30</v>
      </c>
      <c r="BE44" s="90"/>
      <c r="BF44" s="90"/>
      <c r="BG44" s="91"/>
      <c r="BH44" s="93" t="b">
        <v>0</v>
      </c>
      <c r="BI44" s="90"/>
      <c r="BJ44" s="90"/>
      <c r="BK44" s="90" t="s">
        <v>1382</v>
      </c>
      <c r="BL44" s="90"/>
      <c r="BM44" s="90"/>
      <c r="BN44" s="90"/>
      <c r="BO44" s="90"/>
      <c r="BP44" s="90"/>
      <c r="BQ44" s="90"/>
      <c r="BR44" s="95"/>
      <c r="BS44" s="90"/>
      <c r="BT44" s="90"/>
      <c r="BU44" s="90"/>
      <c r="BV44" s="90"/>
      <c r="BW44" s="90"/>
      <c r="BX44" s="90"/>
      <c r="BY44" s="90"/>
      <c r="BZ44" s="90"/>
      <c r="CA44" s="90"/>
      <c r="CB44" s="90"/>
      <c r="CC44" s="91"/>
      <c r="CD44" s="90"/>
      <c r="CE44" s="91"/>
      <c r="CF44" s="90"/>
      <c r="CG44" s="91"/>
      <c r="CH44" s="90"/>
      <c r="CI44" s="91"/>
      <c r="CJ44" s="90"/>
      <c r="CK44" s="91"/>
      <c r="CL44" s="90"/>
      <c r="CM44" s="91"/>
      <c r="CN44" s="96"/>
      <c r="CO44" s="91"/>
      <c r="CP44" s="90"/>
      <c r="CQ44" s="90"/>
      <c r="CR44" s="90"/>
      <c r="CS44" s="90"/>
      <c r="CT44" s="91"/>
      <c r="CU44" s="90"/>
      <c r="CV44" s="97"/>
    </row>
    <row r="45" spans="1:100" ht="15" customHeight="1" x14ac:dyDescent="0.3">
      <c r="A45" s="117" t="s">
        <v>1522</v>
      </c>
      <c r="B45" s="118">
        <v>44325</v>
      </c>
      <c r="C45" s="117" t="s">
        <v>1521</v>
      </c>
      <c r="D45" s="117" t="s">
        <v>364</v>
      </c>
      <c r="E45" s="119" t="s">
        <v>1104</v>
      </c>
      <c r="F45" s="117" t="s">
        <v>1105</v>
      </c>
      <c r="G45" s="117" t="s">
        <v>390</v>
      </c>
      <c r="H45" s="117" t="s">
        <v>1523</v>
      </c>
      <c r="I45" s="117" t="s">
        <v>582</v>
      </c>
      <c r="J45" s="117" t="s">
        <v>1219</v>
      </c>
      <c r="K45" s="117" t="s">
        <v>175</v>
      </c>
      <c r="L45" s="117" t="s">
        <v>1524</v>
      </c>
      <c r="M45" s="119" t="s">
        <v>346</v>
      </c>
      <c r="N45" s="117" t="s">
        <v>1525</v>
      </c>
      <c r="O45" s="117" t="s">
        <v>1526</v>
      </c>
      <c r="P45" s="117" t="s">
        <v>1527</v>
      </c>
      <c r="Q45" s="118">
        <v>44327</v>
      </c>
      <c r="R45" s="118">
        <v>44415</v>
      </c>
      <c r="S45" s="117" t="s">
        <v>1528</v>
      </c>
      <c r="T45" s="118">
        <v>44404</v>
      </c>
      <c r="U45" s="120" t="s">
        <v>295</v>
      </c>
      <c r="V45" s="120" t="s">
        <v>295</v>
      </c>
      <c r="W45" s="121" t="s">
        <v>262</v>
      </c>
      <c r="X45" s="117" t="s">
        <v>1529</v>
      </c>
      <c r="Y45" s="117"/>
      <c r="Z45" s="117"/>
      <c r="AA45" s="117" t="s">
        <v>2</v>
      </c>
      <c r="AB45" s="117" t="s">
        <v>1530</v>
      </c>
      <c r="AC45" s="118">
        <v>44404</v>
      </c>
      <c r="AD45" s="117" t="s">
        <v>349</v>
      </c>
      <c r="AE45" s="117" t="s">
        <v>1115</v>
      </c>
      <c r="AF45" s="90" t="s">
        <v>1116</v>
      </c>
      <c r="AG45" s="90" t="s">
        <v>0</v>
      </c>
      <c r="AH45" s="93" t="s">
        <v>972</v>
      </c>
      <c r="AI45" s="93" t="b">
        <v>0</v>
      </c>
      <c r="AJ45" s="93"/>
      <c r="AK45" s="93" t="b">
        <v>0</v>
      </c>
      <c r="AL45" s="93"/>
      <c r="AM45" s="93" t="b">
        <v>0</v>
      </c>
      <c r="AN45" s="93" t="b">
        <v>0</v>
      </c>
      <c r="AO45" s="93" t="b">
        <v>0</v>
      </c>
      <c r="AP45" s="93" t="b">
        <v>0</v>
      </c>
      <c r="AQ45" s="93" t="b">
        <v>0</v>
      </c>
      <c r="AR45" s="93" t="b">
        <v>0</v>
      </c>
      <c r="AS45" s="93" t="b">
        <v>0</v>
      </c>
      <c r="AT45" s="107" t="s">
        <v>1531</v>
      </c>
      <c r="AU45" s="94">
        <v>9228291</v>
      </c>
      <c r="AV45" s="90" t="s">
        <v>730</v>
      </c>
      <c r="AW45" s="108" t="s">
        <v>951</v>
      </c>
      <c r="AX45" s="91">
        <v>44509</v>
      </c>
      <c r="AY45" s="108" t="s">
        <v>1101</v>
      </c>
      <c r="AZ45" s="90" t="s">
        <v>582</v>
      </c>
      <c r="BA45" s="90" t="s">
        <v>175</v>
      </c>
      <c r="BB45" s="90" t="s">
        <v>40</v>
      </c>
      <c r="BC45" s="90"/>
      <c r="BD45" s="90" t="s">
        <v>30</v>
      </c>
      <c r="BE45" s="90"/>
      <c r="BF45" s="90"/>
      <c r="BG45" s="91"/>
      <c r="BH45" s="93" t="b">
        <v>0</v>
      </c>
      <c r="BI45" s="90"/>
      <c r="BJ45" s="90"/>
      <c r="BK45" s="90" t="s">
        <v>1382</v>
      </c>
      <c r="BL45" s="90"/>
      <c r="BM45" s="90"/>
      <c r="BN45" s="90"/>
      <c r="BO45" s="90"/>
      <c r="BP45" s="90"/>
      <c r="BQ45" s="90"/>
      <c r="BR45" s="95"/>
      <c r="BS45" s="90"/>
      <c r="BT45" s="90"/>
      <c r="BU45" s="90"/>
      <c r="BV45" s="90"/>
      <c r="BW45" s="90"/>
      <c r="BX45" s="90"/>
      <c r="BY45" s="90"/>
      <c r="BZ45" s="90"/>
      <c r="CA45" s="90"/>
      <c r="CB45" s="90"/>
      <c r="CC45" s="91"/>
      <c r="CD45" s="90"/>
      <c r="CE45" s="91"/>
      <c r="CF45" s="90"/>
      <c r="CG45" s="91"/>
      <c r="CH45" s="90"/>
      <c r="CI45" s="91"/>
      <c r="CJ45" s="90"/>
      <c r="CK45" s="91"/>
      <c r="CL45" s="90"/>
      <c r="CM45" s="91"/>
      <c r="CN45" s="96"/>
      <c r="CO45" s="91"/>
      <c r="CP45" s="90"/>
      <c r="CQ45" s="90"/>
      <c r="CR45" s="90"/>
      <c r="CS45" s="90"/>
      <c r="CT45" s="91"/>
      <c r="CU45" s="90"/>
      <c r="CV45" s="97"/>
    </row>
    <row r="46" spans="1:100" ht="15" customHeight="1" x14ac:dyDescent="0.3">
      <c r="A46" s="117" t="s">
        <v>1533</v>
      </c>
      <c r="B46" s="118">
        <v>44383</v>
      </c>
      <c r="C46" s="117" t="s">
        <v>1532</v>
      </c>
      <c r="D46" s="117" t="s">
        <v>364</v>
      </c>
      <c r="E46" s="119" t="s">
        <v>1104</v>
      </c>
      <c r="F46" s="117" t="s">
        <v>1105</v>
      </c>
      <c r="G46" s="117" t="s">
        <v>390</v>
      </c>
      <c r="H46" s="117" t="s">
        <v>1356</v>
      </c>
      <c r="I46" s="117" t="s">
        <v>16</v>
      </c>
      <c r="J46" s="117" t="s">
        <v>1534</v>
      </c>
      <c r="K46" s="117" t="s">
        <v>117</v>
      </c>
      <c r="L46" s="117" t="s">
        <v>1535</v>
      </c>
      <c r="M46" s="119" t="s">
        <v>346</v>
      </c>
      <c r="N46" s="117" t="s">
        <v>1536</v>
      </c>
      <c r="O46" s="117" t="s">
        <v>1537</v>
      </c>
      <c r="P46" s="117" t="s">
        <v>1538</v>
      </c>
      <c r="Q46" s="118">
        <v>44383</v>
      </c>
      <c r="R46" s="118">
        <v>44473</v>
      </c>
      <c r="S46" s="117" t="s">
        <v>1539</v>
      </c>
      <c r="T46" s="118">
        <v>44420</v>
      </c>
      <c r="U46" s="120" t="s">
        <v>295</v>
      </c>
      <c r="V46" s="120" t="s">
        <v>295</v>
      </c>
      <c r="W46" s="121" t="s">
        <v>262</v>
      </c>
      <c r="X46" s="117" t="s">
        <v>1540</v>
      </c>
      <c r="Y46" s="117"/>
      <c r="Z46" s="117"/>
      <c r="AA46" s="117" t="s">
        <v>1</v>
      </c>
      <c r="AB46" s="117" t="s">
        <v>1541</v>
      </c>
      <c r="AC46" s="118">
        <v>44420</v>
      </c>
      <c r="AD46" s="117" t="s">
        <v>349</v>
      </c>
      <c r="AE46" s="117" t="s">
        <v>1115</v>
      </c>
      <c r="AF46" s="90" t="s">
        <v>1116</v>
      </c>
      <c r="AG46" s="90" t="s">
        <v>0</v>
      </c>
      <c r="AH46" s="93" t="s">
        <v>972</v>
      </c>
      <c r="AI46" s="93" t="b">
        <v>0</v>
      </c>
      <c r="AJ46" s="93"/>
      <c r="AK46" s="93" t="b">
        <v>0</v>
      </c>
      <c r="AL46" s="93"/>
      <c r="AM46" s="93" t="b">
        <v>0</v>
      </c>
      <c r="AN46" s="93" t="b">
        <v>0</v>
      </c>
      <c r="AO46" s="93" t="b">
        <v>0</v>
      </c>
      <c r="AP46" s="93" t="b">
        <v>0</v>
      </c>
      <c r="AQ46" s="93" t="b">
        <v>0</v>
      </c>
      <c r="AR46" s="93" t="b">
        <v>0</v>
      </c>
      <c r="AS46" s="93" t="b">
        <v>0</v>
      </c>
      <c r="AT46" s="107" t="s">
        <v>1542</v>
      </c>
      <c r="AU46" s="94">
        <v>9228291</v>
      </c>
      <c r="AV46" s="90" t="s">
        <v>730</v>
      </c>
      <c r="AW46" s="108" t="s">
        <v>951</v>
      </c>
      <c r="AX46" s="91">
        <v>44509</v>
      </c>
      <c r="AY46" s="108" t="s">
        <v>1101</v>
      </c>
      <c r="AZ46" s="90" t="s">
        <v>16</v>
      </c>
      <c r="BA46" s="90" t="s">
        <v>117</v>
      </c>
      <c r="BB46" s="90" t="s">
        <v>168</v>
      </c>
      <c r="BC46" s="90"/>
      <c r="BD46" s="90" t="s">
        <v>757</v>
      </c>
      <c r="BE46" s="90"/>
      <c r="BF46" s="90"/>
      <c r="BG46" s="91"/>
      <c r="BH46" s="93" t="b">
        <v>0</v>
      </c>
      <c r="BI46" s="90"/>
      <c r="BJ46" s="90"/>
      <c r="BK46" s="90" t="s">
        <v>1382</v>
      </c>
      <c r="BL46" s="90"/>
      <c r="BM46" s="90"/>
      <c r="BN46" s="90"/>
      <c r="BO46" s="90"/>
      <c r="BP46" s="90"/>
      <c r="BQ46" s="90"/>
      <c r="BR46" s="95"/>
      <c r="BS46" s="90"/>
      <c r="BT46" s="90"/>
      <c r="BU46" s="90"/>
      <c r="BV46" s="90"/>
      <c r="BW46" s="90"/>
      <c r="BX46" s="90"/>
      <c r="BY46" s="90"/>
      <c r="BZ46" s="90"/>
      <c r="CA46" s="90"/>
      <c r="CB46" s="90"/>
      <c r="CC46" s="91"/>
      <c r="CD46" s="90"/>
      <c r="CE46" s="91"/>
      <c r="CF46" s="90"/>
      <c r="CG46" s="91"/>
      <c r="CH46" s="90"/>
      <c r="CI46" s="91"/>
      <c r="CJ46" s="90"/>
      <c r="CK46" s="91"/>
      <c r="CL46" s="90"/>
      <c r="CM46" s="91"/>
      <c r="CN46" s="96"/>
      <c r="CO46" s="91"/>
      <c r="CP46" s="90"/>
      <c r="CQ46" s="90"/>
      <c r="CR46" s="90"/>
      <c r="CS46" s="90"/>
      <c r="CT46" s="91"/>
      <c r="CU46" s="90"/>
      <c r="CV46" s="97"/>
    </row>
    <row r="47" spans="1:100" ht="15" customHeight="1" x14ac:dyDescent="0.3">
      <c r="A47" s="117" t="s">
        <v>1544</v>
      </c>
      <c r="B47" s="118">
        <v>44309</v>
      </c>
      <c r="C47" s="117" t="s">
        <v>1543</v>
      </c>
      <c r="D47" s="117" t="s">
        <v>364</v>
      </c>
      <c r="E47" s="119" t="s">
        <v>1104</v>
      </c>
      <c r="F47" s="117" t="s">
        <v>1105</v>
      </c>
      <c r="G47" s="117" t="s">
        <v>390</v>
      </c>
      <c r="H47" s="117" t="s">
        <v>1356</v>
      </c>
      <c r="I47" s="117" t="s">
        <v>582</v>
      </c>
      <c r="J47" s="117" t="s">
        <v>1219</v>
      </c>
      <c r="K47" s="117" t="s">
        <v>65</v>
      </c>
      <c r="L47" s="117" t="s">
        <v>1545</v>
      </c>
      <c r="M47" s="119" t="s">
        <v>346</v>
      </c>
      <c r="N47" s="117" t="s">
        <v>1546</v>
      </c>
      <c r="O47" s="117" t="s">
        <v>1547</v>
      </c>
      <c r="P47" s="117" t="s">
        <v>1548</v>
      </c>
      <c r="Q47" s="118">
        <v>44309</v>
      </c>
      <c r="R47" s="118">
        <v>44399</v>
      </c>
      <c r="S47" s="117" t="s">
        <v>1549</v>
      </c>
      <c r="T47" s="118">
        <v>44314</v>
      </c>
      <c r="U47" s="120" t="s">
        <v>295</v>
      </c>
      <c r="V47" s="120" t="s">
        <v>295</v>
      </c>
      <c r="W47" s="121" t="s">
        <v>262</v>
      </c>
      <c r="X47" s="117" t="s">
        <v>1550</v>
      </c>
      <c r="Y47" s="117"/>
      <c r="Z47" s="117"/>
      <c r="AA47" s="117" t="s">
        <v>4</v>
      </c>
      <c r="AB47" s="117" t="s">
        <v>1551</v>
      </c>
      <c r="AC47" s="118">
        <v>44314</v>
      </c>
      <c r="AD47" s="117" t="s">
        <v>349</v>
      </c>
      <c r="AE47" s="117" t="s">
        <v>1115</v>
      </c>
      <c r="AF47" s="90" t="s">
        <v>1116</v>
      </c>
      <c r="AG47" s="90" t="s">
        <v>0</v>
      </c>
      <c r="AH47" s="93" t="s">
        <v>972</v>
      </c>
      <c r="AI47" s="93" t="b">
        <v>0</v>
      </c>
      <c r="AJ47" s="93"/>
      <c r="AK47" s="93" t="b">
        <v>0</v>
      </c>
      <c r="AL47" s="93"/>
      <c r="AM47" s="93" t="b">
        <v>0</v>
      </c>
      <c r="AN47" s="93" t="b">
        <v>0</v>
      </c>
      <c r="AO47" s="93" t="b">
        <v>0</v>
      </c>
      <c r="AP47" s="93" t="b">
        <v>0</v>
      </c>
      <c r="AQ47" s="93" t="b">
        <v>0</v>
      </c>
      <c r="AR47" s="93" t="b">
        <v>0</v>
      </c>
      <c r="AS47" s="93" t="b">
        <v>0</v>
      </c>
      <c r="AT47" s="107" t="s">
        <v>1552</v>
      </c>
      <c r="AU47" s="94">
        <v>9228291</v>
      </c>
      <c r="AV47" s="90" t="s">
        <v>730</v>
      </c>
      <c r="AW47" s="108" t="s">
        <v>951</v>
      </c>
      <c r="AX47" s="91">
        <v>44509</v>
      </c>
      <c r="AY47" s="108" t="s">
        <v>1101</v>
      </c>
      <c r="AZ47" s="90" t="s">
        <v>582</v>
      </c>
      <c r="BA47" s="90" t="s">
        <v>65</v>
      </c>
      <c r="BB47" s="90" t="s">
        <v>40</v>
      </c>
      <c r="BC47" s="90"/>
      <c r="BD47" s="90" t="s">
        <v>30</v>
      </c>
      <c r="BE47" s="90"/>
      <c r="BF47" s="90"/>
      <c r="BG47" s="91"/>
      <c r="BH47" s="93" t="b">
        <v>0</v>
      </c>
      <c r="BI47" s="90"/>
      <c r="BJ47" s="90"/>
      <c r="BK47" s="90" t="s">
        <v>1382</v>
      </c>
      <c r="BL47" s="90"/>
      <c r="BM47" s="90"/>
      <c r="BN47" s="90"/>
      <c r="BO47" s="90"/>
      <c r="BP47" s="90"/>
      <c r="BQ47" s="90"/>
      <c r="BR47" s="95"/>
      <c r="BS47" s="90"/>
      <c r="BT47" s="90"/>
      <c r="BU47" s="90"/>
      <c r="BV47" s="90"/>
      <c r="BW47" s="90"/>
      <c r="BX47" s="90"/>
      <c r="BY47" s="90"/>
      <c r="BZ47" s="90"/>
      <c r="CA47" s="90"/>
      <c r="CB47" s="90"/>
      <c r="CC47" s="91"/>
      <c r="CD47" s="90"/>
      <c r="CE47" s="91"/>
      <c r="CF47" s="90"/>
      <c r="CG47" s="91"/>
      <c r="CH47" s="90"/>
      <c r="CI47" s="91"/>
      <c r="CJ47" s="90"/>
      <c r="CK47" s="91"/>
      <c r="CL47" s="90"/>
      <c r="CM47" s="91"/>
      <c r="CN47" s="96"/>
      <c r="CO47" s="91"/>
      <c r="CP47" s="90"/>
      <c r="CQ47" s="90"/>
      <c r="CR47" s="90"/>
      <c r="CS47" s="90"/>
      <c r="CT47" s="91"/>
      <c r="CU47" s="90"/>
      <c r="CV47" s="97"/>
    </row>
    <row r="48" spans="1:100" ht="15" customHeight="1" x14ac:dyDescent="0.3">
      <c r="A48" s="117" t="s">
        <v>1554</v>
      </c>
      <c r="B48" s="118">
        <v>44318</v>
      </c>
      <c r="C48" s="117" t="s">
        <v>1553</v>
      </c>
      <c r="D48" s="117" t="s">
        <v>364</v>
      </c>
      <c r="E48" s="119" t="s">
        <v>1104</v>
      </c>
      <c r="F48" s="117" t="s">
        <v>1105</v>
      </c>
      <c r="G48" s="117" t="s">
        <v>390</v>
      </c>
      <c r="H48" s="117" t="s">
        <v>1356</v>
      </c>
      <c r="I48" s="117" t="s">
        <v>582</v>
      </c>
      <c r="J48" s="117" t="s">
        <v>1219</v>
      </c>
      <c r="K48" s="117" t="s">
        <v>65</v>
      </c>
      <c r="L48" s="117" t="s">
        <v>1545</v>
      </c>
      <c r="M48" s="119" t="s">
        <v>346</v>
      </c>
      <c r="N48" s="117" t="s">
        <v>1555</v>
      </c>
      <c r="O48" s="117" t="s">
        <v>1547</v>
      </c>
      <c r="P48" s="117" t="s">
        <v>1556</v>
      </c>
      <c r="Q48" s="118">
        <v>44318</v>
      </c>
      <c r="R48" s="118">
        <v>44408</v>
      </c>
      <c r="S48" s="117" t="s">
        <v>1549</v>
      </c>
      <c r="T48" s="118">
        <v>44326</v>
      </c>
      <c r="U48" s="120" t="s">
        <v>295</v>
      </c>
      <c r="V48" s="120" t="s">
        <v>295</v>
      </c>
      <c r="W48" s="121" t="s">
        <v>262</v>
      </c>
      <c r="X48" s="117" t="s">
        <v>1557</v>
      </c>
      <c r="Y48" s="117"/>
      <c r="Z48" s="117"/>
      <c r="AA48" s="117" t="s">
        <v>4</v>
      </c>
      <c r="AB48" s="117" t="s">
        <v>1551</v>
      </c>
      <c r="AC48" s="118">
        <v>44326</v>
      </c>
      <c r="AD48" s="117" t="s">
        <v>349</v>
      </c>
      <c r="AE48" s="117" t="s">
        <v>1115</v>
      </c>
      <c r="AF48" s="90" t="s">
        <v>1116</v>
      </c>
      <c r="AG48" s="90" t="s">
        <v>0</v>
      </c>
      <c r="AH48" s="93" t="s">
        <v>972</v>
      </c>
      <c r="AI48" s="93" t="b">
        <v>0</v>
      </c>
      <c r="AJ48" s="93"/>
      <c r="AK48" s="93" t="b">
        <v>0</v>
      </c>
      <c r="AL48" s="93"/>
      <c r="AM48" s="93" t="b">
        <v>0</v>
      </c>
      <c r="AN48" s="93" t="b">
        <v>0</v>
      </c>
      <c r="AO48" s="93" t="b">
        <v>0</v>
      </c>
      <c r="AP48" s="93" t="b">
        <v>0</v>
      </c>
      <c r="AQ48" s="93" t="b">
        <v>0</v>
      </c>
      <c r="AR48" s="93" t="b">
        <v>0</v>
      </c>
      <c r="AS48" s="93" t="b">
        <v>0</v>
      </c>
      <c r="AT48" s="107" t="s">
        <v>1558</v>
      </c>
      <c r="AU48" s="94">
        <v>9228291</v>
      </c>
      <c r="AV48" s="90" t="s">
        <v>730</v>
      </c>
      <c r="AW48" s="108" t="s">
        <v>951</v>
      </c>
      <c r="AX48" s="91">
        <v>44509</v>
      </c>
      <c r="AY48" s="108" t="s">
        <v>1101</v>
      </c>
      <c r="AZ48" s="90" t="s">
        <v>582</v>
      </c>
      <c r="BA48" s="90" t="s">
        <v>65</v>
      </c>
      <c r="BB48" s="90" t="s">
        <v>40</v>
      </c>
      <c r="BC48" s="90"/>
      <c r="BD48" s="90" t="s">
        <v>30</v>
      </c>
      <c r="BE48" s="90"/>
      <c r="BF48" s="90"/>
      <c r="BG48" s="91"/>
      <c r="BH48" s="93" t="b">
        <v>0</v>
      </c>
      <c r="BI48" s="90"/>
      <c r="BJ48" s="90"/>
      <c r="BK48" s="90" t="s">
        <v>1382</v>
      </c>
      <c r="BL48" s="90"/>
      <c r="BM48" s="90"/>
      <c r="BN48" s="90"/>
      <c r="BO48" s="90"/>
      <c r="BP48" s="90"/>
      <c r="BQ48" s="90"/>
      <c r="BR48" s="95"/>
      <c r="BS48" s="90"/>
      <c r="BT48" s="90"/>
      <c r="BU48" s="90"/>
      <c r="BV48" s="90"/>
      <c r="BW48" s="90"/>
      <c r="BX48" s="90"/>
      <c r="BY48" s="90"/>
      <c r="BZ48" s="90"/>
      <c r="CA48" s="90"/>
      <c r="CB48" s="90"/>
      <c r="CC48" s="91"/>
      <c r="CD48" s="90"/>
      <c r="CE48" s="91"/>
      <c r="CF48" s="90"/>
      <c r="CG48" s="91"/>
      <c r="CH48" s="90"/>
      <c r="CI48" s="91"/>
      <c r="CJ48" s="90"/>
      <c r="CK48" s="91"/>
      <c r="CL48" s="90"/>
      <c r="CM48" s="91"/>
      <c r="CN48" s="96"/>
      <c r="CO48" s="91"/>
      <c r="CP48" s="90"/>
      <c r="CQ48" s="90"/>
      <c r="CR48" s="90"/>
      <c r="CS48" s="90"/>
      <c r="CT48" s="91"/>
      <c r="CU48" s="90"/>
      <c r="CV48" s="97"/>
    </row>
    <row r="49" spans="1:100" ht="15" customHeight="1" x14ac:dyDescent="0.3">
      <c r="A49" s="117" t="s">
        <v>1560</v>
      </c>
      <c r="B49" s="118">
        <v>44318</v>
      </c>
      <c r="C49" s="117" t="s">
        <v>1559</v>
      </c>
      <c r="D49" s="117" t="s">
        <v>364</v>
      </c>
      <c r="E49" s="119" t="s">
        <v>1104</v>
      </c>
      <c r="F49" s="117" t="s">
        <v>1105</v>
      </c>
      <c r="G49" s="117" t="s">
        <v>390</v>
      </c>
      <c r="H49" s="117" t="s">
        <v>1356</v>
      </c>
      <c r="I49" s="117" t="s">
        <v>582</v>
      </c>
      <c r="J49" s="117" t="s">
        <v>1219</v>
      </c>
      <c r="K49" s="117" t="s">
        <v>65</v>
      </c>
      <c r="L49" s="117" t="s">
        <v>1545</v>
      </c>
      <c r="M49" s="119" t="s">
        <v>346</v>
      </c>
      <c r="N49" s="117" t="s">
        <v>1561</v>
      </c>
      <c r="O49" s="117" t="s">
        <v>1547</v>
      </c>
      <c r="P49" s="117" t="s">
        <v>1548</v>
      </c>
      <c r="Q49" s="118">
        <v>44318</v>
      </c>
      <c r="R49" s="118">
        <v>44408</v>
      </c>
      <c r="S49" s="117" t="s">
        <v>1549</v>
      </c>
      <c r="T49" s="118">
        <v>44327</v>
      </c>
      <c r="U49" s="120" t="s">
        <v>295</v>
      </c>
      <c r="V49" s="120" t="s">
        <v>295</v>
      </c>
      <c r="W49" s="121" t="s">
        <v>262</v>
      </c>
      <c r="X49" s="117" t="s">
        <v>1562</v>
      </c>
      <c r="Y49" s="117"/>
      <c r="Z49" s="117"/>
      <c r="AA49" s="117" t="s">
        <v>4</v>
      </c>
      <c r="AB49" s="117" t="s">
        <v>1551</v>
      </c>
      <c r="AC49" s="118">
        <v>44327</v>
      </c>
      <c r="AD49" s="117" t="s">
        <v>349</v>
      </c>
      <c r="AE49" s="117" t="s">
        <v>1115</v>
      </c>
      <c r="AF49" s="90" t="s">
        <v>1116</v>
      </c>
      <c r="AG49" s="90" t="s">
        <v>0</v>
      </c>
      <c r="AH49" s="93" t="s">
        <v>972</v>
      </c>
      <c r="AI49" s="93" t="b">
        <v>0</v>
      </c>
      <c r="AJ49" s="93"/>
      <c r="AK49" s="93" t="b">
        <v>0</v>
      </c>
      <c r="AL49" s="93"/>
      <c r="AM49" s="93" t="b">
        <v>0</v>
      </c>
      <c r="AN49" s="93" t="b">
        <v>0</v>
      </c>
      <c r="AO49" s="93" t="b">
        <v>0</v>
      </c>
      <c r="AP49" s="93" t="b">
        <v>0</v>
      </c>
      <c r="AQ49" s="93" t="b">
        <v>0</v>
      </c>
      <c r="AR49" s="93" t="b">
        <v>0</v>
      </c>
      <c r="AS49" s="93" t="b">
        <v>0</v>
      </c>
      <c r="AT49" s="107" t="s">
        <v>1563</v>
      </c>
      <c r="AU49" s="94">
        <v>9228291</v>
      </c>
      <c r="AV49" s="90" t="s">
        <v>730</v>
      </c>
      <c r="AW49" s="108" t="s">
        <v>951</v>
      </c>
      <c r="AX49" s="91">
        <v>44509</v>
      </c>
      <c r="AY49" s="108" t="s">
        <v>1101</v>
      </c>
      <c r="AZ49" s="90" t="s">
        <v>582</v>
      </c>
      <c r="BA49" s="90" t="s">
        <v>65</v>
      </c>
      <c r="BB49" s="90" t="s">
        <v>40</v>
      </c>
      <c r="BC49" s="90"/>
      <c r="BD49" s="90" t="s">
        <v>30</v>
      </c>
      <c r="BE49" s="90"/>
      <c r="BF49" s="90"/>
      <c r="BG49" s="91"/>
      <c r="BH49" s="93" t="b">
        <v>0</v>
      </c>
      <c r="BI49" s="90"/>
      <c r="BJ49" s="90"/>
      <c r="BK49" s="90" t="s">
        <v>1382</v>
      </c>
      <c r="BL49" s="90"/>
      <c r="BM49" s="90"/>
      <c r="BN49" s="90"/>
      <c r="BO49" s="90"/>
      <c r="BP49" s="90"/>
      <c r="BQ49" s="90"/>
      <c r="BR49" s="95"/>
      <c r="BS49" s="90"/>
      <c r="BT49" s="90"/>
      <c r="BU49" s="90"/>
      <c r="BV49" s="90"/>
      <c r="BW49" s="90"/>
      <c r="BX49" s="90"/>
      <c r="BY49" s="90"/>
      <c r="BZ49" s="90"/>
      <c r="CA49" s="90"/>
      <c r="CB49" s="90"/>
      <c r="CC49" s="91"/>
      <c r="CD49" s="90"/>
      <c r="CE49" s="91"/>
      <c r="CF49" s="90"/>
      <c r="CG49" s="91"/>
      <c r="CH49" s="90"/>
      <c r="CI49" s="91"/>
      <c r="CJ49" s="90"/>
      <c r="CK49" s="91"/>
      <c r="CL49" s="90"/>
      <c r="CM49" s="91"/>
      <c r="CN49" s="96"/>
      <c r="CO49" s="91"/>
      <c r="CP49" s="90"/>
      <c r="CQ49" s="90"/>
      <c r="CR49" s="90"/>
      <c r="CS49" s="90"/>
      <c r="CT49" s="91"/>
      <c r="CU49" s="90"/>
      <c r="CV49" s="97"/>
    </row>
    <row r="50" spans="1:100" ht="15" customHeight="1" x14ac:dyDescent="0.3">
      <c r="A50" s="117" t="s">
        <v>1565</v>
      </c>
      <c r="B50" s="118">
        <v>44318</v>
      </c>
      <c r="C50" s="117" t="s">
        <v>1564</v>
      </c>
      <c r="D50" s="117" t="s">
        <v>364</v>
      </c>
      <c r="E50" s="119" t="s">
        <v>1104</v>
      </c>
      <c r="F50" s="117" t="s">
        <v>1105</v>
      </c>
      <c r="G50" s="117" t="s">
        <v>390</v>
      </c>
      <c r="H50" s="117" t="s">
        <v>1356</v>
      </c>
      <c r="I50" s="117" t="s">
        <v>582</v>
      </c>
      <c r="J50" s="117" t="s">
        <v>1219</v>
      </c>
      <c r="K50" s="117" t="s">
        <v>65</v>
      </c>
      <c r="L50" s="117" t="s">
        <v>1545</v>
      </c>
      <c r="M50" s="119" t="s">
        <v>346</v>
      </c>
      <c r="N50" s="117" t="s">
        <v>1566</v>
      </c>
      <c r="O50" s="117" t="s">
        <v>1547</v>
      </c>
      <c r="P50" s="117" t="s">
        <v>1548</v>
      </c>
      <c r="Q50" s="118">
        <v>44318</v>
      </c>
      <c r="R50" s="118">
        <v>44408</v>
      </c>
      <c r="S50" s="117" t="s">
        <v>1549</v>
      </c>
      <c r="T50" s="118">
        <v>44328</v>
      </c>
      <c r="U50" s="120" t="s">
        <v>295</v>
      </c>
      <c r="V50" s="120" t="s">
        <v>295</v>
      </c>
      <c r="W50" s="121" t="s">
        <v>262</v>
      </c>
      <c r="X50" s="117" t="s">
        <v>1562</v>
      </c>
      <c r="Y50" s="117"/>
      <c r="Z50" s="117"/>
      <c r="AA50" s="117" t="s">
        <v>4</v>
      </c>
      <c r="AB50" s="117" t="s">
        <v>1551</v>
      </c>
      <c r="AC50" s="118">
        <v>44328</v>
      </c>
      <c r="AD50" s="117" t="s">
        <v>349</v>
      </c>
      <c r="AE50" s="117" t="s">
        <v>1115</v>
      </c>
      <c r="AF50" s="90" t="s">
        <v>1116</v>
      </c>
      <c r="AG50" s="90" t="s">
        <v>0</v>
      </c>
      <c r="AH50" s="93" t="s">
        <v>972</v>
      </c>
      <c r="AI50" s="93" t="b">
        <v>0</v>
      </c>
      <c r="AJ50" s="93"/>
      <c r="AK50" s="93" t="b">
        <v>0</v>
      </c>
      <c r="AL50" s="93"/>
      <c r="AM50" s="93" t="b">
        <v>0</v>
      </c>
      <c r="AN50" s="93" t="b">
        <v>0</v>
      </c>
      <c r="AO50" s="93" t="b">
        <v>0</v>
      </c>
      <c r="AP50" s="93" t="b">
        <v>0</v>
      </c>
      <c r="AQ50" s="93" t="b">
        <v>0</v>
      </c>
      <c r="AR50" s="93" t="b">
        <v>0</v>
      </c>
      <c r="AS50" s="93" t="b">
        <v>0</v>
      </c>
      <c r="AT50" s="107" t="s">
        <v>1567</v>
      </c>
      <c r="AU50" s="94">
        <v>9228291</v>
      </c>
      <c r="AV50" s="90" t="s">
        <v>730</v>
      </c>
      <c r="AW50" s="108" t="s">
        <v>951</v>
      </c>
      <c r="AX50" s="91">
        <v>44509</v>
      </c>
      <c r="AY50" s="108" t="s">
        <v>1101</v>
      </c>
      <c r="AZ50" s="90" t="s">
        <v>582</v>
      </c>
      <c r="BA50" s="90" t="s">
        <v>65</v>
      </c>
      <c r="BB50" s="90" t="s">
        <v>40</v>
      </c>
      <c r="BC50" s="90"/>
      <c r="BD50" s="90" t="s">
        <v>576</v>
      </c>
      <c r="BE50" s="90"/>
      <c r="BF50" s="90"/>
      <c r="BG50" s="91"/>
      <c r="BH50" s="93" t="b">
        <v>0</v>
      </c>
      <c r="BI50" s="90"/>
      <c r="BJ50" s="90"/>
      <c r="BK50" s="90" t="s">
        <v>1382</v>
      </c>
      <c r="BL50" s="90"/>
      <c r="BM50" s="90"/>
      <c r="BN50" s="90"/>
      <c r="BO50" s="90"/>
      <c r="BP50" s="90"/>
      <c r="BQ50" s="90"/>
      <c r="BR50" s="95"/>
      <c r="BS50" s="90"/>
      <c r="BT50" s="90"/>
      <c r="BU50" s="90"/>
      <c r="BV50" s="90"/>
      <c r="BW50" s="90"/>
      <c r="BX50" s="90"/>
      <c r="BY50" s="90"/>
      <c r="BZ50" s="90"/>
      <c r="CA50" s="90"/>
      <c r="CB50" s="90"/>
      <c r="CC50" s="91"/>
      <c r="CD50" s="90"/>
      <c r="CE50" s="91"/>
      <c r="CF50" s="90"/>
      <c r="CG50" s="91"/>
      <c r="CH50" s="90"/>
      <c r="CI50" s="91"/>
      <c r="CJ50" s="90"/>
      <c r="CK50" s="91"/>
      <c r="CL50" s="90"/>
      <c r="CM50" s="91"/>
      <c r="CN50" s="96"/>
      <c r="CO50" s="91"/>
      <c r="CP50" s="90"/>
      <c r="CQ50" s="90"/>
      <c r="CR50" s="90"/>
      <c r="CS50" s="90"/>
      <c r="CT50" s="91"/>
      <c r="CU50" s="90"/>
      <c r="CV50" s="97"/>
    </row>
    <row r="51" spans="1:100" ht="15" customHeight="1" x14ac:dyDescent="0.3">
      <c r="A51" s="117" t="s">
        <v>1569</v>
      </c>
      <c r="B51" s="118">
        <v>44351</v>
      </c>
      <c r="C51" s="117" t="s">
        <v>1568</v>
      </c>
      <c r="D51" s="117" t="s">
        <v>364</v>
      </c>
      <c r="E51" s="119" t="s">
        <v>1104</v>
      </c>
      <c r="F51" s="117" t="s">
        <v>1105</v>
      </c>
      <c r="G51" s="117" t="s">
        <v>390</v>
      </c>
      <c r="H51" s="117" t="s">
        <v>1356</v>
      </c>
      <c r="I51" s="117" t="s">
        <v>582</v>
      </c>
      <c r="J51" s="117" t="s">
        <v>1219</v>
      </c>
      <c r="K51" s="117" t="s">
        <v>65</v>
      </c>
      <c r="L51" s="117" t="s">
        <v>1545</v>
      </c>
      <c r="M51" s="119" t="s">
        <v>346</v>
      </c>
      <c r="N51" s="117" t="s">
        <v>1570</v>
      </c>
      <c r="O51" s="117" t="s">
        <v>1547</v>
      </c>
      <c r="P51" s="117" t="s">
        <v>1548</v>
      </c>
      <c r="Q51" s="118">
        <v>44351</v>
      </c>
      <c r="R51" s="118">
        <v>44441</v>
      </c>
      <c r="S51" s="117" t="s">
        <v>1549</v>
      </c>
      <c r="T51" s="118">
        <v>44354</v>
      </c>
      <c r="U51" s="120" t="s">
        <v>295</v>
      </c>
      <c r="V51" s="120" t="s">
        <v>295</v>
      </c>
      <c r="W51" s="121" t="s">
        <v>262</v>
      </c>
      <c r="X51" s="117" t="s">
        <v>1571</v>
      </c>
      <c r="Y51" s="117"/>
      <c r="Z51" s="117"/>
      <c r="AA51" s="117" t="s">
        <v>4</v>
      </c>
      <c r="AB51" s="117" t="s">
        <v>1551</v>
      </c>
      <c r="AC51" s="118">
        <v>44354</v>
      </c>
      <c r="AD51" s="117" t="s">
        <v>349</v>
      </c>
      <c r="AE51" s="117" t="s">
        <v>1115</v>
      </c>
      <c r="AF51" s="90" t="s">
        <v>1116</v>
      </c>
      <c r="AG51" s="90" t="s">
        <v>0</v>
      </c>
      <c r="AH51" s="93" t="s">
        <v>972</v>
      </c>
      <c r="AI51" s="93" t="b">
        <v>0</v>
      </c>
      <c r="AJ51" s="93"/>
      <c r="AK51" s="93" t="b">
        <v>0</v>
      </c>
      <c r="AL51" s="93"/>
      <c r="AM51" s="93" t="b">
        <v>0</v>
      </c>
      <c r="AN51" s="93" t="b">
        <v>0</v>
      </c>
      <c r="AO51" s="93" t="b">
        <v>0</v>
      </c>
      <c r="AP51" s="93" t="b">
        <v>0</v>
      </c>
      <c r="AQ51" s="93" t="b">
        <v>0</v>
      </c>
      <c r="AR51" s="93" t="b">
        <v>0</v>
      </c>
      <c r="AS51" s="93" t="b">
        <v>0</v>
      </c>
      <c r="AT51" s="107" t="s">
        <v>1572</v>
      </c>
      <c r="AU51" s="94">
        <v>9228291</v>
      </c>
      <c r="AV51" s="90" t="s">
        <v>730</v>
      </c>
      <c r="AW51" s="108" t="s">
        <v>951</v>
      </c>
      <c r="AX51" s="91">
        <v>44509</v>
      </c>
      <c r="AY51" s="108" t="s">
        <v>1101</v>
      </c>
      <c r="AZ51" s="90" t="s">
        <v>582</v>
      </c>
      <c r="BA51" s="90" t="s">
        <v>65</v>
      </c>
      <c r="BB51" s="90" t="s">
        <v>40</v>
      </c>
      <c r="BC51" s="90"/>
      <c r="BD51" s="90" t="s">
        <v>30</v>
      </c>
      <c r="BE51" s="90"/>
      <c r="BF51" s="90"/>
      <c r="BG51" s="91"/>
      <c r="BH51" s="93" t="b">
        <v>0</v>
      </c>
      <c r="BI51" s="90"/>
      <c r="BJ51" s="90"/>
      <c r="BK51" s="90" t="s">
        <v>1382</v>
      </c>
      <c r="BL51" s="90"/>
      <c r="BM51" s="90"/>
      <c r="BN51" s="90"/>
      <c r="BO51" s="90"/>
      <c r="BP51" s="90"/>
      <c r="BQ51" s="90"/>
      <c r="BR51" s="95"/>
      <c r="BS51" s="90"/>
      <c r="BT51" s="90"/>
      <c r="BU51" s="90"/>
      <c r="BV51" s="90"/>
      <c r="BW51" s="90"/>
      <c r="BX51" s="90"/>
      <c r="BY51" s="90"/>
      <c r="BZ51" s="90"/>
      <c r="CA51" s="90"/>
      <c r="CB51" s="90"/>
      <c r="CC51" s="91"/>
      <c r="CD51" s="90"/>
      <c r="CE51" s="91"/>
      <c r="CF51" s="90"/>
      <c r="CG51" s="91"/>
      <c r="CH51" s="90"/>
      <c r="CI51" s="91"/>
      <c r="CJ51" s="90"/>
      <c r="CK51" s="91"/>
      <c r="CL51" s="90"/>
      <c r="CM51" s="91"/>
      <c r="CN51" s="96"/>
      <c r="CO51" s="91"/>
      <c r="CP51" s="90"/>
      <c r="CQ51" s="90"/>
      <c r="CR51" s="90"/>
      <c r="CS51" s="90"/>
      <c r="CT51" s="91"/>
      <c r="CU51" s="90"/>
      <c r="CV51" s="97"/>
    </row>
    <row r="52" spans="1:100" ht="15" customHeight="1" x14ac:dyDescent="0.3">
      <c r="A52" s="117" t="s">
        <v>1574</v>
      </c>
      <c r="B52" s="118">
        <v>44351</v>
      </c>
      <c r="C52" s="117" t="s">
        <v>1573</v>
      </c>
      <c r="D52" s="117" t="s">
        <v>364</v>
      </c>
      <c r="E52" s="119" t="s">
        <v>1104</v>
      </c>
      <c r="F52" s="117" t="s">
        <v>1105</v>
      </c>
      <c r="G52" s="117" t="s">
        <v>390</v>
      </c>
      <c r="H52" s="117" t="s">
        <v>1356</v>
      </c>
      <c r="I52" s="117" t="s">
        <v>582</v>
      </c>
      <c r="J52" s="117" t="s">
        <v>1219</v>
      </c>
      <c r="K52" s="117" t="s">
        <v>65</v>
      </c>
      <c r="L52" s="117" t="s">
        <v>1545</v>
      </c>
      <c r="M52" s="119" t="s">
        <v>346</v>
      </c>
      <c r="N52" s="117" t="s">
        <v>1575</v>
      </c>
      <c r="O52" s="117" t="s">
        <v>1547</v>
      </c>
      <c r="P52" s="117" t="s">
        <v>1548</v>
      </c>
      <c r="Q52" s="118">
        <v>44351</v>
      </c>
      <c r="R52" s="118">
        <v>44441</v>
      </c>
      <c r="S52" s="117" t="s">
        <v>1549</v>
      </c>
      <c r="T52" s="118">
        <v>44355</v>
      </c>
      <c r="U52" s="120" t="s">
        <v>295</v>
      </c>
      <c r="V52" s="120" t="s">
        <v>295</v>
      </c>
      <c r="W52" s="121" t="s">
        <v>262</v>
      </c>
      <c r="X52" s="117" t="s">
        <v>1571</v>
      </c>
      <c r="Y52" s="117"/>
      <c r="Z52" s="117"/>
      <c r="AA52" s="117" t="s">
        <v>4</v>
      </c>
      <c r="AB52" s="117" t="s">
        <v>1551</v>
      </c>
      <c r="AC52" s="118">
        <v>44355</v>
      </c>
      <c r="AD52" s="117" t="s">
        <v>349</v>
      </c>
      <c r="AE52" s="117" t="s">
        <v>1115</v>
      </c>
      <c r="AF52" s="90" t="s">
        <v>1116</v>
      </c>
      <c r="AG52" s="90" t="s">
        <v>0</v>
      </c>
      <c r="AH52" s="93" t="s">
        <v>972</v>
      </c>
      <c r="AI52" s="93" t="b">
        <v>0</v>
      </c>
      <c r="AJ52" s="93"/>
      <c r="AK52" s="93" t="b">
        <v>0</v>
      </c>
      <c r="AL52" s="93"/>
      <c r="AM52" s="93" t="b">
        <v>0</v>
      </c>
      <c r="AN52" s="93" t="b">
        <v>0</v>
      </c>
      <c r="AO52" s="93" t="b">
        <v>0</v>
      </c>
      <c r="AP52" s="93" t="b">
        <v>0</v>
      </c>
      <c r="AQ52" s="93" t="b">
        <v>0</v>
      </c>
      <c r="AR52" s="93" t="b">
        <v>0</v>
      </c>
      <c r="AS52" s="93" t="b">
        <v>0</v>
      </c>
      <c r="AT52" s="107" t="s">
        <v>1576</v>
      </c>
      <c r="AU52" s="94">
        <v>9228291</v>
      </c>
      <c r="AV52" s="90" t="s">
        <v>730</v>
      </c>
      <c r="AW52" s="108" t="s">
        <v>951</v>
      </c>
      <c r="AX52" s="91">
        <v>44509</v>
      </c>
      <c r="AY52" s="108" t="s">
        <v>1101</v>
      </c>
      <c r="AZ52" s="90" t="s">
        <v>582</v>
      </c>
      <c r="BA52" s="90" t="s">
        <v>65</v>
      </c>
      <c r="BB52" s="90" t="s">
        <v>40</v>
      </c>
      <c r="BC52" s="90"/>
      <c r="BD52" s="90" t="s">
        <v>30</v>
      </c>
      <c r="BE52" s="90"/>
      <c r="BF52" s="90"/>
      <c r="BG52" s="91"/>
      <c r="BH52" s="93" t="b">
        <v>0</v>
      </c>
      <c r="BI52" s="90"/>
      <c r="BJ52" s="90"/>
      <c r="BK52" s="90" t="s">
        <v>1382</v>
      </c>
      <c r="BL52" s="90"/>
      <c r="BM52" s="90"/>
      <c r="BN52" s="90"/>
      <c r="BO52" s="90"/>
      <c r="BP52" s="90"/>
      <c r="BQ52" s="90"/>
      <c r="BR52" s="95"/>
      <c r="BS52" s="90"/>
      <c r="BT52" s="90"/>
      <c r="BU52" s="90"/>
      <c r="BV52" s="90"/>
      <c r="BW52" s="90"/>
      <c r="BX52" s="90"/>
      <c r="BY52" s="90"/>
      <c r="BZ52" s="90"/>
      <c r="CA52" s="90"/>
      <c r="CB52" s="90"/>
      <c r="CC52" s="91"/>
      <c r="CD52" s="90"/>
      <c r="CE52" s="91"/>
      <c r="CF52" s="90"/>
      <c r="CG52" s="91"/>
      <c r="CH52" s="90"/>
      <c r="CI52" s="91"/>
      <c r="CJ52" s="90"/>
      <c r="CK52" s="91"/>
      <c r="CL52" s="90"/>
      <c r="CM52" s="91"/>
      <c r="CN52" s="96"/>
      <c r="CO52" s="91"/>
      <c r="CP52" s="90"/>
      <c r="CQ52" s="90"/>
      <c r="CR52" s="90"/>
      <c r="CS52" s="90"/>
      <c r="CT52" s="91"/>
      <c r="CU52" s="90"/>
      <c r="CV52" s="97"/>
    </row>
    <row r="53" spans="1:100" ht="15" customHeight="1" x14ac:dyDescent="0.3">
      <c r="A53" s="117" t="s">
        <v>1578</v>
      </c>
      <c r="B53" s="118">
        <v>44351</v>
      </c>
      <c r="C53" s="117" t="s">
        <v>1577</v>
      </c>
      <c r="D53" s="117" t="s">
        <v>364</v>
      </c>
      <c r="E53" s="119" t="s">
        <v>1104</v>
      </c>
      <c r="F53" s="117" t="s">
        <v>1105</v>
      </c>
      <c r="G53" s="117" t="s">
        <v>390</v>
      </c>
      <c r="H53" s="117" t="s">
        <v>1356</v>
      </c>
      <c r="I53" s="117" t="s">
        <v>582</v>
      </c>
      <c r="J53" s="117" t="s">
        <v>1219</v>
      </c>
      <c r="K53" s="117" t="s">
        <v>65</v>
      </c>
      <c r="L53" s="117" t="s">
        <v>1545</v>
      </c>
      <c r="M53" s="119" t="s">
        <v>346</v>
      </c>
      <c r="N53" s="117" t="s">
        <v>1579</v>
      </c>
      <c r="O53" s="117" t="s">
        <v>1547</v>
      </c>
      <c r="P53" s="117" t="s">
        <v>1548</v>
      </c>
      <c r="Q53" s="118">
        <v>44351</v>
      </c>
      <c r="R53" s="118">
        <v>44441</v>
      </c>
      <c r="S53" s="117" t="s">
        <v>1549</v>
      </c>
      <c r="T53" s="118">
        <v>44356</v>
      </c>
      <c r="U53" s="120" t="s">
        <v>295</v>
      </c>
      <c r="V53" s="120" t="s">
        <v>295</v>
      </c>
      <c r="W53" s="121" t="s">
        <v>262</v>
      </c>
      <c r="X53" s="117" t="s">
        <v>1571</v>
      </c>
      <c r="Y53" s="117"/>
      <c r="Z53" s="117"/>
      <c r="AA53" s="117" t="s">
        <v>4</v>
      </c>
      <c r="AB53" s="117" t="s">
        <v>1551</v>
      </c>
      <c r="AC53" s="118">
        <v>44356</v>
      </c>
      <c r="AD53" s="117" t="s">
        <v>349</v>
      </c>
      <c r="AE53" s="117" t="s">
        <v>1580</v>
      </c>
      <c r="AF53" s="90" t="s">
        <v>1116</v>
      </c>
      <c r="AG53" s="90" t="s">
        <v>0</v>
      </c>
      <c r="AH53" s="93" t="s">
        <v>972</v>
      </c>
      <c r="AI53" s="93" t="b">
        <v>0</v>
      </c>
      <c r="AJ53" s="93"/>
      <c r="AK53" s="93" t="b">
        <v>0</v>
      </c>
      <c r="AL53" s="93"/>
      <c r="AM53" s="93" t="b">
        <v>0</v>
      </c>
      <c r="AN53" s="93" t="b">
        <v>0</v>
      </c>
      <c r="AO53" s="93" t="b">
        <v>0</v>
      </c>
      <c r="AP53" s="93" t="b">
        <v>0</v>
      </c>
      <c r="AQ53" s="93" t="b">
        <v>0</v>
      </c>
      <c r="AR53" s="93" t="b">
        <v>0</v>
      </c>
      <c r="AS53" s="93" t="b">
        <v>0</v>
      </c>
      <c r="AT53" s="107" t="s">
        <v>1581</v>
      </c>
      <c r="AU53" s="94">
        <v>9228291</v>
      </c>
      <c r="AV53" s="90" t="s">
        <v>730</v>
      </c>
      <c r="AW53" s="108" t="s">
        <v>951</v>
      </c>
      <c r="AX53" s="91">
        <v>44509</v>
      </c>
      <c r="AY53" s="108" t="s">
        <v>1101</v>
      </c>
      <c r="AZ53" s="90" t="s">
        <v>582</v>
      </c>
      <c r="BA53" s="90" t="s">
        <v>65</v>
      </c>
      <c r="BB53" s="90" t="s">
        <v>40</v>
      </c>
      <c r="BC53" s="90"/>
      <c r="BD53" s="90" t="s">
        <v>30</v>
      </c>
      <c r="BE53" s="90"/>
      <c r="BF53" s="90"/>
      <c r="BG53" s="91"/>
      <c r="BH53" s="93" t="b">
        <v>0</v>
      </c>
      <c r="BI53" s="90"/>
      <c r="BJ53" s="90"/>
      <c r="BK53" s="90" t="s">
        <v>1382</v>
      </c>
      <c r="BL53" s="90"/>
      <c r="BM53" s="90"/>
      <c r="BN53" s="90"/>
      <c r="BO53" s="90"/>
      <c r="BP53" s="90"/>
      <c r="BQ53" s="90"/>
      <c r="BR53" s="95"/>
      <c r="BS53" s="90"/>
      <c r="BT53" s="90"/>
      <c r="BU53" s="90"/>
      <c r="BV53" s="90"/>
      <c r="BW53" s="90"/>
      <c r="BX53" s="90"/>
      <c r="BY53" s="90"/>
      <c r="BZ53" s="90"/>
      <c r="CA53" s="90"/>
      <c r="CB53" s="90"/>
      <c r="CC53" s="91"/>
      <c r="CD53" s="90"/>
      <c r="CE53" s="91"/>
      <c r="CF53" s="90"/>
      <c r="CG53" s="91"/>
      <c r="CH53" s="90"/>
      <c r="CI53" s="91"/>
      <c r="CJ53" s="90"/>
      <c r="CK53" s="91"/>
      <c r="CL53" s="90"/>
      <c r="CM53" s="91"/>
      <c r="CN53" s="96"/>
      <c r="CO53" s="91"/>
      <c r="CP53" s="90"/>
      <c r="CQ53" s="90"/>
      <c r="CR53" s="90"/>
      <c r="CS53" s="90"/>
      <c r="CT53" s="91"/>
      <c r="CU53" s="90"/>
      <c r="CV53" s="97"/>
    </row>
    <row r="54" spans="1:100" ht="15" customHeight="1" x14ac:dyDescent="0.3">
      <c r="A54" s="117" t="s">
        <v>1583</v>
      </c>
      <c r="B54" s="118">
        <v>44349</v>
      </c>
      <c r="C54" s="117" t="s">
        <v>1582</v>
      </c>
      <c r="D54" s="117" t="s">
        <v>364</v>
      </c>
      <c r="E54" s="119" t="s">
        <v>1104</v>
      </c>
      <c r="F54" s="117" t="s">
        <v>1105</v>
      </c>
      <c r="G54" s="117" t="s">
        <v>390</v>
      </c>
      <c r="H54" s="117" t="s">
        <v>1356</v>
      </c>
      <c r="I54" s="117" t="s">
        <v>19</v>
      </c>
      <c r="J54" s="117" t="s">
        <v>1484</v>
      </c>
      <c r="K54" s="117" t="s">
        <v>150</v>
      </c>
      <c r="L54" s="117" t="s">
        <v>1584</v>
      </c>
      <c r="M54" s="119" t="s">
        <v>346</v>
      </c>
      <c r="N54" s="117" t="s">
        <v>1585</v>
      </c>
      <c r="O54" s="117" t="s">
        <v>1586</v>
      </c>
      <c r="P54" s="117" t="s">
        <v>1587</v>
      </c>
      <c r="Q54" s="118">
        <v>44390</v>
      </c>
      <c r="R54" s="118">
        <v>44439</v>
      </c>
      <c r="S54" s="117" t="s">
        <v>1588</v>
      </c>
      <c r="T54" s="118">
        <v>44434</v>
      </c>
      <c r="U54" s="120" t="s">
        <v>295</v>
      </c>
      <c r="V54" s="120" t="s">
        <v>295</v>
      </c>
      <c r="W54" s="121" t="s">
        <v>262</v>
      </c>
      <c r="X54" s="117" t="s">
        <v>1589</v>
      </c>
      <c r="Y54" s="117"/>
      <c r="Z54" s="117"/>
      <c r="AA54" s="117" t="s">
        <v>4</v>
      </c>
      <c r="AB54" s="117" t="s">
        <v>1590</v>
      </c>
      <c r="AC54" s="118">
        <v>44434</v>
      </c>
      <c r="AD54" s="117" t="s">
        <v>349</v>
      </c>
      <c r="AE54" s="117" t="s">
        <v>1115</v>
      </c>
      <c r="AF54" s="90" t="s">
        <v>1116</v>
      </c>
      <c r="AG54" s="90" t="s">
        <v>0</v>
      </c>
      <c r="AH54" s="93" t="s">
        <v>972</v>
      </c>
      <c r="AI54" s="93" t="b">
        <v>0</v>
      </c>
      <c r="AJ54" s="93"/>
      <c r="AK54" s="93" t="b">
        <v>0</v>
      </c>
      <c r="AL54" s="93"/>
      <c r="AM54" s="93" t="b">
        <v>0</v>
      </c>
      <c r="AN54" s="93" t="b">
        <v>0</v>
      </c>
      <c r="AO54" s="93" t="b">
        <v>0</v>
      </c>
      <c r="AP54" s="93" t="b">
        <v>0</v>
      </c>
      <c r="AQ54" s="93" t="b">
        <v>0</v>
      </c>
      <c r="AR54" s="93" t="b">
        <v>0</v>
      </c>
      <c r="AS54" s="93" t="b">
        <v>0</v>
      </c>
      <c r="AT54" s="107" t="s">
        <v>1592</v>
      </c>
      <c r="AU54" s="94">
        <v>9228291</v>
      </c>
      <c r="AV54" s="90" t="s">
        <v>730</v>
      </c>
      <c r="AW54" s="108" t="s">
        <v>951</v>
      </c>
      <c r="AX54" s="91">
        <v>44509</v>
      </c>
      <c r="AY54" s="108" t="s">
        <v>1101</v>
      </c>
      <c r="AZ54" s="90" t="s">
        <v>19</v>
      </c>
      <c r="BA54" s="90" t="s">
        <v>150</v>
      </c>
      <c r="BB54" s="90" t="s">
        <v>168</v>
      </c>
      <c r="BC54" s="90"/>
      <c r="BD54" s="90" t="s">
        <v>757</v>
      </c>
      <c r="BE54" s="90"/>
      <c r="BF54" s="90"/>
      <c r="BG54" s="91"/>
      <c r="BH54" s="93" t="b">
        <v>0</v>
      </c>
      <c r="BI54" s="90" t="s">
        <v>1591</v>
      </c>
      <c r="BJ54" s="90"/>
      <c r="BK54" s="90" t="s">
        <v>1382</v>
      </c>
      <c r="BL54" s="90"/>
      <c r="BM54" s="90"/>
      <c r="BN54" s="90"/>
      <c r="BO54" s="90"/>
      <c r="BP54" s="90"/>
      <c r="BQ54" s="90"/>
      <c r="BR54" s="95"/>
      <c r="BS54" s="90"/>
      <c r="BT54" s="90"/>
      <c r="BU54" s="90"/>
      <c r="BV54" s="90"/>
      <c r="BW54" s="90"/>
      <c r="BX54" s="90"/>
      <c r="BY54" s="90"/>
      <c r="BZ54" s="90"/>
      <c r="CA54" s="90"/>
      <c r="CB54" s="90"/>
      <c r="CC54" s="91"/>
      <c r="CD54" s="90"/>
      <c r="CE54" s="91"/>
      <c r="CF54" s="90"/>
      <c r="CG54" s="91"/>
      <c r="CH54" s="90"/>
      <c r="CI54" s="91"/>
      <c r="CJ54" s="90"/>
      <c r="CK54" s="91"/>
      <c r="CL54" s="90"/>
      <c r="CM54" s="91"/>
      <c r="CN54" s="96"/>
      <c r="CO54" s="91"/>
      <c r="CP54" s="90"/>
      <c r="CQ54" s="90"/>
      <c r="CR54" s="90"/>
      <c r="CS54" s="90"/>
      <c r="CT54" s="91"/>
      <c r="CU54" s="90"/>
      <c r="CV54" s="97"/>
    </row>
    <row r="55" spans="1:100" ht="15" customHeight="1" x14ac:dyDescent="0.3">
      <c r="A55" s="117" t="s">
        <v>1594</v>
      </c>
      <c r="B55" s="118">
        <v>44381</v>
      </c>
      <c r="C55" s="117" t="s">
        <v>1593</v>
      </c>
      <c r="D55" s="117" t="s">
        <v>364</v>
      </c>
      <c r="E55" s="119" t="s">
        <v>1104</v>
      </c>
      <c r="F55" s="117" t="s">
        <v>1105</v>
      </c>
      <c r="G55" s="117" t="s">
        <v>390</v>
      </c>
      <c r="H55" s="117" t="s">
        <v>1356</v>
      </c>
      <c r="I55" s="117" t="s">
        <v>10</v>
      </c>
      <c r="J55" s="117" t="s">
        <v>1301</v>
      </c>
      <c r="K55" s="117" t="s">
        <v>80</v>
      </c>
      <c r="L55" s="117" t="s">
        <v>1302</v>
      </c>
      <c r="M55" s="119" t="s">
        <v>346</v>
      </c>
      <c r="N55" s="117" t="s">
        <v>1595</v>
      </c>
      <c r="O55" s="117" t="s">
        <v>1596</v>
      </c>
      <c r="P55" s="117" t="s">
        <v>1597</v>
      </c>
      <c r="Q55" s="118">
        <v>44381</v>
      </c>
      <c r="R55" s="118">
        <v>44471</v>
      </c>
      <c r="S55" s="117" t="s">
        <v>1598</v>
      </c>
      <c r="T55" s="118">
        <v>44385</v>
      </c>
      <c r="U55" s="120" t="s">
        <v>295</v>
      </c>
      <c r="V55" s="120" t="s">
        <v>295</v>
      </c>
      <c r="W55" s="121" t="s">
        <v>262</v>
      </c>
      <c r="X55" s="117" t="s">
        <v>1599</v>
      </c>
      <c r="Y55" s="117"/>
      <c r="Z55" s="117"/>
      <c r="AA55" s="117" t="s">
        <v>4</v>
      </c>
      <c r="AB55" s="117" t="s">
        <v>1600</v>
      </c>
      <c r="AC55" s="118">
        <v>44385</v>
      </c>
      <c r="AD55" s="117" t="s">
        <v>349</v>
      </c>
      <c r="AE55" s="117" t="s">
        <v>1115</v>
      </c>
      <c r="AF55" s="90" t="s">
        <v>1116</v>
      </c>
      <c r="AG55" s="90" t="s">
        <v>0</v>
      </c>
      <c r="AH55" s="93" t="s">
        <v>972</v>
      </c>
      <c r="AI55" s="93" t="b">
        <v>0</v>
      </c>
      <c r="AJ55" s="93"/>
      <c r="AK55" s="93" t="b">
        <v>0</v>
      </c>
      <c r="AL55" s="93"/>
      <c r="AM55" s="93" t="b">
        <v>0</v>
      </c>
      <c r="AN55" s="93" t="b">
        <v>0</v>
      </c>
      <c r="AO55" s="93" t="b">
        <v>0</v>
      </c>
      <c r="AP55" s="93" t="b">
        <v>0</v>
      </c>
      <c r="AQ55" s="93" t="b">
        <v>0</v>
      </c>
      <c r="AR55" s="93" t="b">
        <v>0</v>
      </c>
      <c r="AS55" s="93" t="b">
        <v>0</v>
      </c>
      <c r="AT55" s="107" t="s">
        <v>1601</v>
      </c>
      <c r="AU55" s="94">
        <v>9228291</v>
      </c>
      <c r="AV55" s="90" t="s">
        <v>730</v>
      </c>
      <c r="AW55" s="108" t="s">
        <v>951</v>
      </c>
      <c r="AX55" s="91">
        <v>44509</v>
      </c>
      <c r="AY55" s="108" t="s">
        <v>1101</v>
      </c>
      <c r="AZ55" s="90" t="s">
        <v>10</v>
      </c>
      <c r="BA55" s="90" t="s">
        <v>80</v>
      </c>
      <c r="BB55" s="90" t="s">
        <v>41</v>
      </c>
      <c r="BC55" s="90"/>
      <c r="BD55" s="90" t="s">
        <v>757</v>
      </c>
      <c r="BE55" s="90"/>
      <c r="BF55" s="90"/>
      <c r="BG55" s="91"/>
      <c r="BH55" s="93" t="b">
        <v>0</v>
      </c>
      <c r="BI55" s="90"/>
      <c r="BJ55" s="90"/>
      <c r="BK55" s="90" t="s">
        <v>1382</v>
      </c>
      <c r="BL55" s="90"/>
      <c r="BM55" s="90"/>
      <c r="BN55" s="90"/>
      <c r="BO55" s="90"/>
      <c r="BP55" s="90"/>
      <c r="BQ55" s="90"/>
      <c r="BR55" s="95"/>
      <c r="BS55" s="90"/>
      <c r="BT55" s="90"/>
      <c r="BU55" s="90"/>
      <c r="BV55" s="90"/>
      <c r="BW55" s="90"/>
      <c r="BX55" s="90"/>
      <c r="BY55" s="90"/>
      <c r="BZ55" s="90"/>
      <c r="CA55" s="90"/>
      <c r="CB55" s="90"/>
      <c r="CC55" s="91"/>
      <c r="CD55" s="90"/>
      <c r="CE55" s="91"/>
      <c r="CF55" s="90"/>
      <c r="CG55" s="91"/>
      <c r="CH55" s="90"/>
      <c r="CI55" s="91"/>
      <c r="CJ55" s="90"/>
      <c r="CK55" s="91"/>
      <c r="CL55" s="90"/>
      <c r="CM55" s="91"/>
      <c r="CN55" s="96"/>
      <c r="CO55" s="91"/>
      <c r="CP55" s="90"/>
      <c r="CQ55" s="90"/>
      <c r="CR55" s="90"/>
      <c r="CS55" s="90"/>
      <c r="CT55" s="91"/>
      <c r="CU55" s="90"/>
      <c r="CV55" s="97"/>
    </row>
    <row r="56" spans="1:100" ht="15" customHeight="1" x14ac:dyDescent="0.3">
      <c r="A56" s="117" t="s">
        <v>1603</v>
      </c>
      <c r="B56" s="118">
        <v>44382</v>
      </c>
      <c r="C56" s="117" t="s">
        <v>1602</v>
      </c>
      <c r="D56" s="117" t="s">
        <v>364</v>
      </c>
      <c r="E56" s="119" t="s">
        <v>1104</v>
      </c>
      <c r="F56" s="117" t="s">
        <v>1105</v>
      </c>
      <c r="G56" s="117" t="s">
        <v>390</v>
      </c>
      <c r="H56" s="117" t="s">
        <v>1356</v>
      </c>
      <c r="I56" s="117" t="s">
        <v>583</v>
      </c>
      <c r="J56" s="117" t="s">
        <v>1604</v>
      </c>
      <c r="K56" s="117" t="s">
        <v>143</v>
      </c>
      <c r="L56" s="117" t="s">
        <v>1605</v>
      </c>
      <c r="M56" s="119" t="s">
        <v>346</v>
      </c>
      <c r="N56" s="117" t="s">
        <v>1606</v>
      </c>
      <c r="O56" s="117" t="s">
        <v>1607</v>
      </c>
      <c r="P56" s="117" t="s">
        <v>1608</v>
      </c>
      <c r="Q56" s="118">
        <v>44382</v>
      </c>
      <c r="R56" s="118">
        <v>44472</v>
      </c>
      <c r="S56" s="117" t="s">
        <v>1609</v>
      </c>
      <c r="T56" s="118">
        <v>44385</v>
      </c>
      <c r="U56" s="120" t="s">
        <v>295</v>
      </c>
      <c r="V56" s="120" t="s">
        <v>295</v>
      </c>
      <c r="W56" s="121" t="s">
        <v>262</v>
      </c>
      <c r="X56" s="117" t="s">
        <v>1610</v>
      </c>
      <c r="Y56" s="117"/>
      <c r="Z56" s="117"/>
      <c r="AA56" s="117" t="s">
        <v>4</v>
      </c>
      <c r="AB56" s="117" t="s">
        <v>1610</v>
      </c>
      <c r="AC56" s="118">
        <v>44385</v>
      </c>
      <c r="AD56" s="117" t="s">
        <v>349</v>
      </c>
      <c r="AE56" s="117" t="s">
        <v>1115</v>
      </c>
      <c r="AF56" s="90" t="s">
        <v>1116</v>
      </c>
      <c r="AG56" s="90" t="s">
        <v>0</v>
      </c>
      <c r="AH56" s="93" t="s">
        <v>972</v>
      </c>
      <c r="AI56" s="93" t="b">
        <v>0</v>
      </c>
      <c r="AJ56" s="93"/>
      <c r="AK56" s="93" t="b">
        <v>0</v>
      </c>
      <c r="AL56" s="93"/>
      <c r="AM56" s="93" t="b">
        <v>0</v>
      </c>
      <c r="AN56" s="93" t="b">
        <v>0</v>
      </c>
      <c r="AO56" s="93" t="b">
        <v>0</v>
      </c>
      <c r="AP56" s="93" t="b">
        <v>0</v>
      </c>
      <c r="AQ56" s="93" t="b">
        <v>0</v>
      </c>
      <c r="AR56" s="93" t="b">
        <v>0</v>
      </c>
      <c r="AS56" s="93" t="b">
        <v>0</v>
      </c>
      <c r="AT56" s="107" t="s">
        <v>1611</v>
      </c>
      <c r="AU56" s="94">
        <v>9228291</v>
      </c>
      <c r="AV56" s="90" t="s">
        <v>730</v>
      </c>
      <c r="AW56" s="108" t="s">
        <v>951</v>
      </c>
      <c r="AX56" s="91">
        <v>44509</v>
      </c>
      <c r="AY56" s="108" t="s">
        <v>1101</v>
      </c>
      <c r="AZ56" s="90" t="s">
        <v>583</v>
      </c>
      <c r="BA56" s="90" t="s">
        <v>143</v>
      </c>
      <c r="BB56" s="90" t="s">
        <v>43</v>
      </c>
      <c r="BC56" s="90"/>
      <c r="BD56" s="90" t="s">
        <v>756</v>
      </c>
      <c r="BE56" s="90"/>
      <c r="BF56" s="90"/>
      <c r="BG56" s="91"/>
      <c r="BH56" s="93" t="b">
        <v>0</v>
      </c>
      <c r="BI56" s="90"/>
      <c r="BJ56" s="90"/>
      <c r="BK56" s="90" t="s">
        <v>1382</v>
      </c>
      <c r="BL56" s="90"/>
      <c r="BM56" s="90"/>
      <c r="BN56" s="90"/>
      <c r="BO56" s="90"/>
      <c r="BP56" s="90"/>
      <c r="BQ56" s="90"/>
      <c r="BR56" s="95"/>
      <c r="BS56" s="90"/>
      <c r="BT56" s="90"/>
      <c r="BU56" s="90"/>
      <c r="BV56" s="90"/>
      <c r="BW56" s="90"/>
      <c r="BX56" s="90"/>
      <c r="BY56" s="90"/>
      <c r="BZ56" s="90"/>
      <c r="CA56" s="90"/>
      <c r="CB56" s="90"/>
      <c r="CC56" s="91"/>
      <c r="CD56" s="90"/>
      <c r="CE56" s="91"/>
      <c r="CF56" s="90"/>
      <c r="CG56" s="91"/>
      <c r="CH56" s="90"/>
      <c r="CI56" s="91"/>
      <c r="CJ56" s="90"/>
      <c r="CK56" s="91"/>
      <c r="CL56" s="90"/>
      <c r="CM56" s="91"/>
      <c r="CN56" s="96"/>
      <c r="CO56" s="91"/>
      <c r="CP56" s="90"/>
      <c r="CQ56" s="90"/>
      <c r="CR56" s="90"/>
      <c r="CS56" s="90"/>
      <c r="CT56" s="91"/>
      <c r="CU56" s="90"/>
      <c r="CV56" s="97"/>
    </row>
    <row r="57" spans="1:100" ht="15" customHeight="1" x14ac:dyDescent="0.3">
      <c r="A57" s="117" t="s">
        <v>1613</v>
      </c>
      <c r="B57" s="118">
        <v>44379</v>
      </c>
      <c r="C57" s="117" t="s">
        <v>1612</v>
      </c>
      <c r="D57" s="117" t="s">
        <v>364</v>
      </c>
      <c r="E57" s="119" t="s">
        <v>1104</v>
      </c>
      <c r="F57" s="117" t="s">
        <v>1105</v>
      </c>
      <c r="G57" s="117" t="s">
        <v>390</v>
      </c>
      <c r="H57" s="117" t="s">
        <v>1356</v>
      </c>
      <c r="I57" s="117" t="s">
        <v>19</v>
      </c>
      <c r="J57" s="117" t="s">
        <v>1484</v>
      </c>
      <c r="K57" s="117" t="s">
        <v>150</v>
      </c>
      <c r="L57" s="117" t="s">
        <v>1584</v>
      </c>
      <c r="M57" s="119" t="s">
        <v>346</v>
      </c>
      <c r="N57" s="117" t="s">
        <v>1614</v>
      </c>
      <c r="O57" s="117" t="s">
        <v>1615</v>
      </c>
      <c r="P57" s="117" t="s">
        <v>1616</v>
      </c>
      <c r="Q57" s="118">
        <v>44379</v>
      </c>
      <c r="R57" s="118">
        <v>44379</v>
      </c>
      <c r="S57" s="117" t="s">
        <v>1617</v>
      </c>
      <c r="T57" s="118">
        <v>44387</v>
      </c>
      <c r="U57" s="120" t="s">
        <v>295</v>
      </c>
      <c r="V57" s="120" t="s">
        <v>295</v>
      </c>
      <c r="W57" s="121" t="s">
        <v>262</v>
      </c>
      <c r="X57" s="117" t="s">
        <v>1618</v>
      </c>
      <c r="Y57" s="117"/>
      <c r="Z57" s="117"/>
      <c r="AA57" s="117" t="s">
        <v>4</v>
      </c>
      <c r="AB57" s="117" t="s">
        <v>1619</v>
      </c>
      <c r="AC57" s="118">
        <v>44387</v>
      </c>
      <c r="AD57" s="117" t="s">
        <v>349</v>
      </c>
      <c r="AE57" s="117" t="s">
        <v>1115</v>
      </c>
      <c r="AF57" s="90" t="s">
        <v>1116</v>
      </c>
      <c r="AG57" s="90" t="s">
        <v>0</v>
      </c>
      <c r="AH57" s="93" t="s">
        <v>972</v>
      </c>
      <c r="AI57" s="93" t="b">
        <v>0</v>
      </c>
      <c r="AJ57" s="93"/>
      <c r="AK57" s="93" t="b">
        <v>0</v>
      </c>
      <c r="AL57" s="93"/>
      <c r="AM57" s="93" t="b">
        <v>0</v>
      </c>
      <c r="AN57" s="93" t="b">
        <v>0</v>
      </c>
      <c r="AO57" s="93" t="b">
        <v>0</v>
      </c>
      <c r="AP57" s="93" t="b">
        <v>0</v>
      </c>
      <c r="AQ57" s="93" t="b">
        <v>0</v>
      </c>
      <c r="AR57" s="93" t="b">
        <v>0</v>
      </c>
      <c r="AS57" s="93" t="b">
        <v>0</v>
      </c>
      <c r="AT57" s="107" t="s">
        <v>1620</v>
      </c>
      <c r="AU57" s="94">
        <v>9228291</v>
      </c>
      <c r="AV57" s="90" t="s">
        <v>730</v>
      </c>
      <c r="AW57" s="108" t="s">
        <v>951</v>
      </c>
      <c r="AX57" s="91">
        <v>44509</v>
      </c>
      <c r="AY57" s="108" t="s">
        <v>1101</v>
      </c>
      <c r="AZ57" s="90" t="s">
        <v>19</v>
      </c>
      <c r="BA57" s="90" t="s">
        <v>150</v>
      </c>
      <c r="BB57" s="90" t="s">
        <v>52</v>
      </c>
      <c r="BC57" s="90"/>
      <c r="BD57" s="90" t="s">
        <v>801</v>
      </c>
      <c r="BE57" s="90"/>
      <c r="BF57" s="90"/>
      <c r="BG57" s="91"/>
      <c r="BH57" s="93" t="b">
        <v>0</v>
      </c>
      <c r="BI57" s="90"/>
      <c r="BJ57" s="90"/>
      <c r="BK57" s="90" t="s">
        <v>1382</v>
      </c>
      <c r="BL57" s="90"/>
      <c r="BM57" s="90"/>
      <c r="BN57" s="90"/>
      <c r="BO57" s="90"/>
      <c r="BP57" s="90"/>
      <c r="BQ57" s="90"/>
      <c r="BR57" s="95"/>
      <c r="BS57" s="90"/>
      <c r="BT57" s="90"/>
      <c r="BU57" s="90"/>
      <c r="BV57" s="90"/>
      <c r="BW57" s="90"/>
      <c r="BX57" s="90"/>
      <c r="BY57" s="90"/>
      <c r="BZ57" s="90"/>
      <c r="CA57" s="90"/>
      <c r="CB57" s="90"/>
      <c r="CC57" s="91"/>
      <c r="CD57" s="90"/>
      <c r="CE57" s="91"/>
      <c r="CF57" s="90"/>
      <c r="CG57" s="91"/>
      <c r="CH57" s="90"/>
      <c r="CI57" s="91"/>
      <c r="CJ57" s="90"/>
      <c r="CK57" s="91"/>
      <c r="CL57" s="90"/>
      <c r="CM57" s="91"/>
      <c r="CN57" s="96"/>
      <c r="CO57" s="91"/>
      <c r="CP57" s="90"/>
      <c r="CQ57" s="90"/>
      <c r="CR57" s="90"/>
      <c r="CS57" s="90"/>
      <c r="CT57" s="91"/>
      <c r="CU57" s="90"/>
      <c r="CV57" s="97"/>
    </row>
    <row r="58" spans="1:100" ht="15" customHeight="1" x14ac:dyDescent="0.3">
      <c r="A58" s="117" t="s">
        <v>1622</v>
      </c>
      <c r="B58" s="118">
        <v>44331</v>
      </c>
      <c r="C58" s="117" t="s">
        <v>1621</v>
      </c>
      <c r="D58" s="117" t="s">
        <v>364</v>
      </c>
      <c r="E58" s="119" t="s">
        <v>1104</v>
      </c>
      <c r="F58" s="117" t="s">
        <v>1105</v>
      </c>
      <c r="G58" s="117" t="s">
        <v>390</v>
      </c>
      <c r="H58" s="117" t="s">
        <v>1218</v>
      </c>
      <c r="I58" s="117" t="s">
        <v>13</v>
      </c>
      <c r="J58" s="117" t="s">
        <v>1145</v>
      </c>
      <c r="K58" s="117" t="s">
        <v>83</v>
      </c>
      <c r="L58" s="117" t="s">
        <v>1146</v>
      </c>
      <c r="M58" s="119" t="s">
        <v>346</v>
      </c>
      <c r="N58" s="117" t="s">
        <v>1623</v>
      </c>
      <c r="O58" s="117" t="s">
        <v>1624</v>
      </c>
      <c r="P58" s="117" t="s">
        <v>1625</v>
      </c>
      <c r="Q58" s="118">
        <v>44336</v>
      </c>
      <c r="R58" s="118">
        <v>44421</v>
      </c>
      <c r="S58" s="117" t="s">
        <v>1626</v>
      </c>
      <c r="T58" s="118">
        <v>44431</v>
      </c>
      <c r="U58" s="120" t="s">
        <v>295</v>
      </c>
      <c r="V58" s="120" t="s">
        <v>295</v>
      </c>
      <c r="W58" s="121" t="s">
        <v>262</v>
      </c>
      <c r="X58" s="117" t="s">
        <v>1627</v>
      </c>
      <c r="Y58" s="117"/>
      <c r="Z58" s="117"/>
      <c r="AA58" s="117" t="s">
        <v>1</v>
      </c>
      <c r="AB58" s="117" t="s">
        <v>1628</v>
      </c>
      <c r="AC58" s="118">
        <v>44431</v>
      </c>
      <c r="AD58" s="117" t="s">
        <v>349</v>
      </c>
      <c r="AE58" s="117" t="s">
        <v>1115</v>
      </c>
      <c r="AF58" s="90" t="s">
        <v>1116</v>
      </c>
      <c r="AG58" s="90" t="s">
        <v>0</v>
      </c>
      <c r="AH58" s="93" t="s">
        <v>972</v>
      </c>
      <c r="AI58" s="93" t="b">
        <v>0</v>
      </c>
      <c r="AJ58" s="93"/>
      <c r="AK58" s="93" t="b">
        <v>0</v>
      </c>
      <c r="AL58" s="93"/>
      <c r="AM58" s="93" t="b">
        <v>0</v>
      </c>
      <c r="AN58" s="93" t="b">
        <v>0</v>
      </c>
      <c r="AO58" s="93" t="b">
        <v>0</v>
      </c>
      <c r="AP58" s="93" t="b">
        <v>0</v>
      </c>
      <c r="AQ58" s="93" t="b">
        <v>0</v>
      </c>
      <c r="AR58" s="93" t="b">
        <v>0</v>
      </c>
      <c r="AS58" s="93" t="b">
        <v>0</v>
      </c>
      <c r="AT58" s="107" t="s">
        <v>2229</v>
      </c>
      <c r="AU58" s="94">
        <v>9228291</v>
      </c>
      <c r="AV58" s="90" t="s">
        <v>730</v>
      </c>
      <c r="AW58" s="108" t="s">
        <v>951</v>
      </c>
      <c r="AX58" s="91">
        <v>44617</v>
      </c>
      <c r="AY58" s="108" t="s">
        <v>1101</v>
      </c>
      <c r="AZ58" s="90" t="s">
        <v>13</v>
      </c>
      <c r="BA58" s="90" t="s">
        <v>83</v>
      </c>
      <c r="BB58" s="90" t="s">
        <v>42</v>
      </c>
      <c r="BC58" s="90"/>
      <c r="BD58" s="90" t="s">
        <v>31</v>
      </c>
      <c r="BE58" s="90"/>
      <c r="BF58" s="90" t="s">
        <v>574</v>
      </c>
      <c r="BG58" s="91">
        <v>44439</v>
      </c>
      <c r="BH58" s="93" t="b">
        <v>0</v>
      </c>
      <c r="BI58" s="90"/>
      <c r="BJ58" s="90" t="s">
        <v>2228</v>
      </c>
      <c r="BK58" s="90" t="s">
        <v>1118</v>
      </c>
      <c r="BL58" s="90"/>
      <c r="BM58" s="90"/>
      <c r="BN58" s="90"/>
      <c r="BO58" s="90"/>
      <c r="BP58" s="90"/>
      <c r="BQ58" s="90"/>
      <c r="BR58" s="95"/>
      <c r="BS58" s="90"/>
      <c r="BT58" s="90"/>
      <c r="BU58" s="90"/>
      <c r="BV58" s="90"/>
      <c r="BW58" s="90"/>
      <c r="BX58" s="90"/>
      <c r="BY58" s="90"/>
      <c r="BZ58" s="90"/>
      <c r="CA58" s="90"/>
      <c r="CB58" s="90"/>
      <c r="CC58" s="91"/>
      <c r="CD58" s="90"/>
      <c r="CE58" s="91"/>
      <c r="CF58" s="90"/>
      <c r="CG58" s="91"/>
      <c r="CH58" s="90"/>
      <c r="CI58" s="91"/>
      <c r="CJ58" s="90"/>
      <c r="CK58" s="91"/>
      <c r="CL58" s="90"/>
      <c r="CM58" s="91"/>
      <c r="CN58" s="96"/>
      <c r="CO58" s="91"/>
      <c r="CP58" s="90"/>
      <c r="CQ58" s="90"/>
      <c r="CR58" s="90"/>
      <c r="CS58" s="90"/>
      <c r="CT58" s="91"/>
      <c r="CU58" s="90"/>
      <c r="CV58" s="97"/>
    </row>
    <row r="59" spans="1:100" ht="15" customHeight="1" x14ac:dyDescent="0.3">
      <c r="A59" s="117" t="s">
        <v>1630</v>
      </c>
      <c r="B59" s="118">
        <v>44363</v>
      </c>
      <c r="C59" s="117" t="s">
        <v>1629</v>
      </c>
      <c r="D59" s="117" t="s">
        <v>364</v>
      </c>
      <c r="E59" s="119" t="s">
        <v>1104</v>
      </c>
      <c r="F59" s="117" t="s">
        <v>1105</v>
      </c>
      <c r="G59" s="117" t="s">
        <v>390</v>
      </c>
      <c r="H59" s="117" t="s">
        <v>1631</v>
      </c>
      <c r="I59" s="117" t="s">
        <v>581</v>
      </c>
      <c r="J59" s="117" t="s">
        <v>1123</v>
      </c>
      <c r="K59" s="117" t="s">
        <v>173</v>
      </c>
      <c r="L59" s="117" t="s">
        <v>1632</v>
      </c>
      <c r="M59" s="119" t="s">
        <v>346</v>
      </c>
      <c r="N59" s="117" t="s">
        <v>1633</v>
      </c>
      <c r="O59" s="117" t="s">
        <v>1634</v>
      </c>
      <c r="P59" s="117" t="s">
        <v>1635</v>
      </c>
      <c r="Q59" s="118">
        <v>44363</v>
      </c>
      <c r="R59" s="118">
        <v>44453</v>
      </c>
      <c r="S59" s="117" t="s">
        <v>1636</v>
      </c>
      <c r="T59" s="118">
        <v>44435</v>
      </c>
      <c r="U59" s="120" t="s">
        <v>295</v>
      </c>
      <c r="V59" s="120" t="s">
        <v>295</v>
      </c>
      <c r="W59" s="121" t="s">
        <v>262</v>
      </c>
      <c r="X59" s="117" t="s">
        <v>1637</v>
      </c>
      <c r="Y59" s="117"/>
      <c r="Z59" s="117"/>
      <c r="AA59" s="117" t="s">
        <v>1</v>
      </c>
      <c r="AB59" s="117" t="s">
        <v>1638</v>
      </c>
      <c r="AC59" s="118">
        <v>44435</v>
      </c>
      <c r="AD59" s="117" t="s">
        <v>349</v>
      </c>
      <c r="AE59" s="117" t="s">
        <v>1115</v>
      </c>
      <c r="AF59" s="90" t="s">
        <v>1116</v>
      </c>
      <c r="AG59" s="90" t="s">
        <v>0</v>
      </c>
      <c r="AH59" s="93" t="s">
        <v>972</v>
      </c>
      <c r="AI59" s="93" t="b">
        <v>0</v>
      </c>
      <c r="AJ59" s="93"/>
      <c r="AK59" s="93" t="b">
        <v>0</v>
      </c>
      <c r="AL59" s="93"/>
      <c r="AM59" s="93" t="b">
        <v>0</v>
      </c>
      <c r="AN59" s="93" t="b">
        <v>0</v>
      </c>
      <c r="AO59" s="93" t="b">
        <v>0</v>
      </c>
      <c r="AP59" s="93" t="b">
        <v>0</v>
      </c>
      <c r="AQ59" s="93" t="b">
        <v>0</v>
      </c>
      <c r="AR59" s="93" t="b">
        <v>0</v>
      </c>
      <c r="AS59" s="93" t="b">
        <v>0</v>
      </c>
      <c r="AT59" s="107" t="s">
        <v>1639</v>
      </c>
      <c r="AU59" s="94">
        <v>9228291</v>
      </c>
      <c r="AV59" s="90" t="s">
        <v>730</v>
      </c>
      <c r="AW59" s="108" t="s">
        <v>951</v>
      </c>
      <c r="AX59" s="91">
        <v>44509</v>
      </c>
      <c r="AY59" s="108" t="s">
        <v>1101</v>
      </c>
      <c r="AZ59" s="90" t="s">
        <v>581</v>
      </c>
      <c r="BA59" s="90" t="s">
        <v>173</v>
      </c>
      <c r="BB59" s="90" t="s">
        <v>42</v>
      </c>
      <c r="BC59" s="90"/>
      <c r="BD59" s="90" t="s">
        <v>31</v>
      </c>
      <c r="BE59" s="90"/>
      <c r="BF59" s="90"/>
      <c r="BG59" s="91"/>
      <c r="BH59" s="93" t="b">
        <v>0</v>
      </c>
      <c r="BI59" s="90"/>
      <c r="BJ59" s="90"/>
      <c r="BK59" s="90" t="s">
        <v>1382</v>
      </c>
      <c r="BL59" s="90"/>
      <c r="BM59" s="90"/>
      <c r="BN59" s="90"/>
      <c r="BO59" s="90"/>
      <c r="BP59" s="90"/>
      <c r="BQ59" s="90"/>
      <c r="BR59" s="95"/>
      <c r="BS59" s="90"/>
      <c r="BT59" s="90"/>
      <c r="BU59" s="90"/>
      <c r="BV59" s="90"/>
      <c r="BW59" s="90"/>
      <c r="BX59" s="90"/>
      <c r="BY59" s="90"/>
      <c r="BZ59" s="90"/>
      <c r="CA59" s="90"/>
      <c r="CB59" s="90"/>
      <c r="CC59" s="91"/>
      <c r="CD59" s="90"/>
      <c r="CE59" s="91"/>
      <c r="CF59" s="90"/>
      <c r="CG59" s="91"/>
      <c r="CH59" s="90"/>
      <c r="CI59" s="91"/>
      <c r="CJ59" s="90"/>
      <c r="CK59" s="91"/>
      <c r="CL59" s="90"/>
      <c r="CM59" s="91"/>
      <c r="CN59" s="96"/>
      <c r="CO59" s="91"/>
      <c r="CP59" s="90"/>
      <c r="CQ59" s="90"/>
      <c r="CR59" s="90"/>
      <c r="CS59" s="90"/>
      <c r="CT59" s="91"/>
      <c r="CU59" s="90"/>
      <c r="CV59" s="97"/>
    </row>
    <row r="60" spans="1:100" ht="15" customHeight="1" x14ac:dyDescent="0.3">
      <c r="A60" s="117" t="s">
        <v>1641</v>
      </c>
      <c r="B60" s="118">
        <v>44364</v>
      </c>
      <c r="C60" s="117" t="s">
        <v>1640</v>
      </c>
      <c r="D60" s="117" t="s">
        <v>364</v>
      </c>
      <c r="E60" s="119" t="s">
        <v>1104</v>
      </c>
      <c r="F60" s="117" t="s">
        <v>1105</v>
      </c>
      <c r="G60" s="117" t="s">
        <v>390</v>
      </c>
      <c r="H60" s="117" t="s">
        <v>1642</v>
      </c>
      <c r="I60" s="117" t="s">
        <v>581</v>
      </c>
      <c r="J60" s="117" t="s">
        <v>1123</v>
      </c>
      <c r="K60" s="117" t="s">
        <v>63</v>
      </c>
      <c r="L60" s="117" t="s">
        <v>1262</v>
      </c>
      <c r="M60" s="119" t="s">
        <v>346</v>
      </c>
      <c r="N60" s="117" t="s">
        <v>1643</v>
      </c>
      <c r="O60" s="117" t="s">
        <v>1644</v>
      </c>
      <c r="P60" s="117" t="s">
        <v>1645</v>
      </c>
      <c r="Q60" s="118">
        <v>44446</v>
      </c>
      <c r="R60" s="118">
        <v>44454</v>
      </c>
      <c r="S60" s="117" t="s">
        <v>1646</v>
      </c>
      <c r="T60" s="118">
        <v>44434</v>
      </c>
      <c r="U60" s="120" t="s">
        <v>295</v>
      </c>
      <c r="V60" s="120" t="s">
        <v>295</v>
      </c>
      <c r="W60" s="121" t="s">
        <v>262</v>
      </c>
      <c r="X60" s="117" t="s">
        <v>1647</v>
      </c>
      <c r="Y60" s="117"/>
      <c r="Z60" s="117"/>
      <c r="AA60" s="117" t="s">
        <v>1</v>
      </c>
      <c r="AB60" s="117" t="s">
        <v>1648</v>
      </c>
      <c r="AC60" s="118">
        <v>44434</v>
      </c>
      <c r="AD60" s="117" t="s">
        <v>349</v>
      </c>
      <c r="AE60" s="117" t="s">
        <v>1115</v>
      </c>
      <c r="AF60" s="90" t="s">
        <v>1116</v>
      </c>
      <c r="AG60" s="90" t="s">
        <v>0</v>
      </c>
      <c r="AH60" s="93" t="s">
        <v>972</v>
      </c>
      <c r="AI60" s="93" t="b">
        <v>0</v>
      </c>
      <c r="AJ60" s="93"/>
      <c r="AK60" s="93" t="b">
        <v>0</v>
      </c>
      <c r="AL60" s="93"/>
      <c r="AM60" s="93" t="b">
        <v>0</v>
      </c>
      <c r="AN60" s="93" t="b">
        <v>0</v>
      </c>
      <c r="AO60" s="93" t="b">
        <v>0</v>
      </c>
      <c r="AP60" s="93" t="b">
        <v>0</v>
      </c>
      <c r="AQ60" s="93" t="b">
        <v>0</v>
      </c>
      <c r="AR60" s="93" t="b">
        <v>0</v>
      </c>
      <c r="AS60" s="93" t="b">
        <v>0</v>
      </c>
      <c r="AT60" s="107" t="s">
        <v>1649</v>
      </c>
      <c r="AU60" s="94">
        <v>9228291</v>
      </c>
      <c r="AV60" s="90" t="s">
        <v>730</v>
      </c>
      <c r="AW60" s="108" t="s">
        <v>951</v>
      </c>
      <c r="AX60" s="91">
        <v>44509</v>
      </c>
      <c r="AY60" s="108" t="s">
        <v>1101</v>
      </c>
      <c r="AZ60" s="90" t="s">
        <v>581</v>
      </c>
      <c r="BA60" s="90" t="s">
        <v>63</v>
      </c>
      <c r="BB60" s="90" t="s">
        <v>52</v>
      </c>
      <c r="BC60" s="90"/>
      <c r="BD60" s="90" t="s">
        <v>757</v>
      </c>
      <c r="BE60" s="90"/>
      <c r="BF60" s="90"/>
      <c r="BG60" s="91"/>
      <c r="BH60" s="93" t="b">
        <v>0</v>
      </c>
      <c r="BI60" s="90"/>
      <c r="BJ60" s="90"/>
      <c r="BK60" s="90" t="s">
        <v>1382</v>
      </c>
      <c r="BL60" s="90"/>
      <c r="BM60" s="90"/>
      <c r="BN60" s="90"/>
      <c r="BO60" s="90"/>
      <c r="BP60" s="90"/>
      <c r="BQ60" s="90"/>
      <c r="BR60" s="95"/>
      <c r="BS60" s="90"/>
      <c r="BT60" s="90"/>
      <c r="BU60" s="90"/>
      <c r="BV60" s="90"/>
      <c r="BW60" s="90"/>
      <c r="BX60" s="90"/>
      <c r="BY60" s="90"/>
      <c r="BZ60" s="90"/>
      <c r="CA60" s="90"/>
      <c r="CB60" s="90"/>
      <c r="CC60" s="91"/>
      <c r="CD60" s="90"/>
      <c r="CE60" s="91"/>
      <c r="CF60" s="90"/>
      <c r="CG60" s="91"/>
      <c r="CH60" s="90"/>
      <c r="CI60" s="91"/>
      <c r="CJ60" s="90"/>
      <c r="CK60" s="91"/>
      <c r="CL60" s="90"/>
      <c r="CM60" s="91"/>
      <c r="CN60" s="96"/>
      <c r="CO60" s="91"/>
      <c r="CP60" s="90"/>
      <c r="CQ60" s="90"/>
      <c r="CR60" s="90"/>
      <c r="CS60" s="90"/>
      <c r="CT60" s="91"/>
      <c r="CU60" s="90"/>
      <c r="CV60" s="97"/>
    </row>
    <row r="61" spans="1:100" ht="15" customHeight="1" x14ac:dyDescent="0.3">
      <c r="A61" s="117" t="s">
        <v>1651</v>
      </c>
      <c r="B61" s="118">
        <v>44366</v>
      </c>
      <c r="C61" s="117" t="s">
        <v>1650</v>
      </c>
      <c r="D61" s="117" t="s">
        <v>364</v>
      </c>
      <c r="E61" s="119" t="s">
        <v>1104</v>
      </c>
      <c r="F61" s="117" t="s">
        <v>1105</v>
      </c>
      <c r="G61" s="117" t="s">
        <v>390</v>
      </c>
      <c r="H61" s="117" t="s">
        <v>1652</v>
      </c>
      <c r="I61" s="117" t="s">
        <v>13</v>
      </c>
      <c r="J61" s="117" t="s">
        <v>1145</v>
      </c>
      <c r="K61" s="117" t="s">
        <v>83</v>
      </c>
      <c r="L61" s="117" t="s">
        <v>1146</v>
      </c>
      <c r="M61" s="119" t="s">
        <v>346</v>
      </c>
      <c r="N61" s="117" t="s">
        <v>1653</v>
      </c>
      <c r="O61" s="117" t="s">
        <v>1654</v>
      </c>
      <c r="P61" s="117" t="s">
        <v>1655</v>
      </c>
      <c r="Q61" s="118">
        <v>44366</v>
      </c>
      <c r="R61" s="118">
        <v>44456</v>
      </c>
      <c r="S61" s="117" t="s">
        <v>1656</v>
      </c>
      <c r="T61" s="118">
        <v>44372</v>
      </c>
      <c r="U61" s="120" t="s">
        <v>295</v>
      </c>
      <c r="V61" s="120" t="s">
        <v>295</v>
      </c>
      <c r="W61" s="121" t="s">
        <v>262</v>
      </c>
      <c r="X61" s="117" t="s">
        <v>1657</v>
      </c>
      <c r="Y61" s="117"/>
      <c r="Z61" s="117"/>
      <c r="AA61" s="117" t="s">
        <v>4</v>
      </c>
      <c r="AB61" s="117" t="s">
        <v>1656</v>
      </c>
      <c r="AC61" s="118">
        <v>44372</v>
      </c>
      <c r="AD61" s="117" t="s">
        <v>349</v>
      </c>
      <c r="AE61" s="117" t="s">
        <v>1115</v>
      </c>
      <c r="AF61" s="90" t="s">
        <v>1116</v>
      </c>
      <c r="AG61" s="90" t="s">
        <v>0</v>
      </c>
      <c r="AH61" s="93" t="s">
        <v>972</v>
      </c>
      <c r="AI61" s="93" t="b">
        <v>0</v>
      </c>
      <c r="AJ61" s="93"/>
      <c r="AK61" s="93" t="b">
        <v>0</v>
      </c>
      <c r="AL61" s="93"/>
      <c r="AM61" s="93" t="b">
        <v>0</v>
      </c>
      <c r="AN61" s="93" t="b">
        <v>0</v>
      </c>
      <c r="AO61" s="93" t="b">
        <v>0</v>
      </c>
      <c r="AP61" s="93" t="b">
        <v>0</v>
      </c>
      <c r="AQ61" s="93" t="b">
        <v>0</v>
      </c>
      <c r="AR61" s="93" t="b">
        <v>0</v>
      </c>
      <c r="AS61" s="93" t="b">
        <v>0</v>
      </c>
      <c r="AT61" s="107" t="s">
        <v>1658</v>
      </c>
      <c r="AU61" s="94">
        <v>9228291</v>
      </c>
      <c r="AV61" s="90" t="s">
        <v>730</v>
      </c>
      <c r="AW61" s="108" t="s">
        <v>951</v>
      </c>
      <c r="AX61" s="91">
        <v>44509</v>
      </c>
      <c r="AY61" s="108" t="s">
        <v>1101</v>
      </c>
      <c r="AZ61" s="90" t="s">
        <v>13</v>
      </c>
      <c r="BA61" s="90" t="s">
        <v>83</v>
      </c>
      <c r="BB61" s="90" t="s">
        <v>52</v>
      </c>
      <c r="BC61" s="90"/>
      <c r="BD61" s="90" t="s">
        <v>757</v>
      </c>
      <c r="BE61" s="90"/>
      <c r="BF61" s="90"/>
      <c r="BG61" s="91"/>
      <c r="BH61" s="93" t="b">
        <v>0</v>
      </c>
      <c r="BI61" s="90"/>
      <c r="BJ61" s="90"/>
      <c r="BK61" s="90" t="s">
        <v>1382</v>
      </c>
      <c r="BL61" s="90"/>
      <c r="BM61" s="90"/>
      <c r="BN61" s="90"/>
      <c r="BO61" s="90"/>
      <c r="BP61" s="90"/>
      <c r="BQ61" s="90"/>
      <c r="BR61" s="95"/>
      <c r="BS61" s="90"/>
      <c r="BT61" s="90"/>
      <c r="BU61" s="90"/>
      <c r="BV61" s="90"/>
      <c r="BW61" s="90"/>
      <c r="BX61" s="90"/>
      <c r="BY61" s="90"/>
      <c r="BZ61" s="90"/>
      <c r="CA61" s="90"/>
      <c r="CB61" s="90"/>
      <c r="CC61" s="91"/>
      <c r="CD61" s="90"/>
      <c r="CE61" s="91"/>
      <c r="CF61" s="90"/>
      <c r="CG61" s="91"/>
      <c r="CH61" s="90"/>
      <c r="CI61" s="91"/>
      <c r="CJ61" s="90"/>
      <c r="CK61" s="91"/>
      <c r="CL61" s="90"/>
      <c r="CM61" s="91"/>
      <c r="CN61" s="96"/>
      <c r="CO61" s="91"/>
      <c r="CP61" s="90"/>
      <c r="CQ61" s="90"/>
      <c r="CR61" s="90"/>
      <c r="CS61" s="90"/>
      <c r="CT61" s="91"/>
      <c r="CU61" s="90"/>
      <c r="CV61" s="97"/>
    </row>
    <row r="62" spans="1:100" ht="15" customHeight="1" x14ac:dyDescent="0.3">
      <c r="A62" s="117" t="s">
        <v>1660</v>
      </c>
      <c r="B62" s="118">
        <v>44367</v>
      </c>
      <c r="C62" s="117" t="s">
        <v>1659</v>
      </c>
      <c r="D62" s="117" t="s">
        <v>364</v>
      </c>
      <c r="E62" s="119" t="s">
        <v>1104</v>
      </c>
      <c r="F62" s="117" t="s">
        <v>1105</v>
      </c>
      <c r="G62" s="117" t="s">
        <v>390</v>
      </c>
      <c r="H62" s="117" t="s">
        <v>1642</v>
      </c>
      <c r="I62" s="117" t="s">
        <v>584</v>
      </c>
      <c r="J62" s="117" t="s">
        <v>1107</v>
      </c>
      <c r="K62" s="117" t="s">
        <v>82</v>
      </c>
      <c r="L62" s="117" t="s">
        <v>1108</v>
      </c>
      <c r="M62" s="119" t="s">
        <v>346</v>
      </c>
      <c r="N62" s="117" t="s">
        <v>1661</v>
      </c>
      <c r="O62" s="117" t="s">
        <v>1662</v>
      </c>
      <c r="P62" s="117" t="s">
        <v>1663</v>
      </c>
      <c r="Q62" s="118">
        <v>44367</v>
      </c>
      <c r="R62" s="118">
        <v>44457</v>
      </c>
      <c r="S62" s="117" t="s">
        <v>1664</v>
      </c>
      <c r="T62" s="118">
        <v>44382</v>
      </c>
      <c r="U62" s="120" t="s">
        <v>295</v>
      </c>
      <c r="V62" s="120" t="s">
        <v>295</v>
      </c>
      <c r="W62" s="121" t="s">
        <v>262</v>
      </c>
      <c r="X62" s="117" t="s">
        <v>1665</v>
      </c>
      <c r="Y62" s="117"/>
      <c r="Z62" s="117"/>
      <c r="AA62" s="117" t="s">
        <v>1</v>
      </c>
      <c r="AB62" s="117" t="s">
        <v>1664</v>
      </c>
      <c r="AC62" s="118">
        <v>44382</v>
      </c>
      <c r="AD62" s="117" t="s">
        <v>349</v>
      </c>
      <c r="AE62" s="117" t="s">
        <v>1115</v>
      </c>
      <c r="AF62" s="90" t="s">
        <v>1116</v>
      </c>
      <c r="AG62" s="90" t="s">
        <v>0</v>
      </c>
      <c r="AH62" s="93" t="s">
        <v>972</v>
      </c>
      <c r="AI62" s="93" t="b">
        <v>0</v>
      </c>
      <c r="AJ62" s="93"/>
      <c r="AK62" s="93" t="b">
        <v>0</v>
      </c>
      <c r="AL62" s="93"/>
      <c r="AM62" s="93" t="b">
        <v>0</v>
      </c>
      <c r="AN62" s="93" t="b">
        <v>0</v>
      </c>
      <c r="AO62" s="93" t="b">
        <v>0</v>
      </c>
      <c r="AP62" s="93" t="b">
        <v>0</v>
      </c>
      <c r="AQ62" s="93" t="b">
        <v>0</v>
      </c>
      <c r="AR62" s="93" t="b">
        <v>0</v>
      </c>
      <c r="AS62" s="93" t="b">
        <v>0</v>
      </c>
      <c r="AT62" s="107" t="s">
        <v>1666</v>
      </c>
      <c r="AU62" s="94">
        <v>9228291</v>
      </c>
      <c r="AV62" s="90" t="s">
        <v>730</v>
      </c>
      <c r="AW62" s="108" t="s">
        <v>951</v>
      </c>
      <c r="AX62" s="91">
        <v>44509</v>
      </c>
      <c r="AY62" s="108" t="s">
        <v>1101</v>
      </c>
      <c r="AZ62" s="90" t="s">
        <v>584</v>
      </c>
      <c r="BA62" s="90" t="s">
        <v>82</v>
      </c>
      <c r="BB62" s="90" t="s">
        <v>40</v>
      </c>
      <c r="BC62" s="90"/>
      <c r="BD62" s="90" t="s">
        <v>30</v>
      </c>
      <c r="BE62" s="90"/>
      <c r="BF62" s="90"/>
      <c r="BG62" s="91"/>
      <c r="BH62" s="93" t="b">
        <v>0</v>
      </c>
      <c r="BI62" s="90"/>
      <c r="BJ62" s="90"/>
      <c r="BK62" s="90" t="s">
        <v>1382</v>
      </c>
      <c r="BL62" s="90"/>
      <c r="BM62" s="90"/>
      <c r="BN62" s="90"/>
      <c r="BO62" s="90"/>
      <c r="BP62" s="90"/>
      <c r="BQ62" s="90"/>
      <c r="BR62" s="95"/>
      <c r="BS62" s="90"/>
      <c r="BT62" s="90"/>
      <c r="BU62" s="90"/>
      <c r="BV62" s="90"/>
      <c r="BW62" s="90"/>
      <c r="BX62" s="90"/>
      <c r="BY62" s="90"/>
      <c r="BZ62" s="90"/>
      <c r="CA62" s="90"/>
      <c r="CB62" s="90"/>
      <c r="CC62" s="91"/>
      <c r="CD62" s="90"/>
      <c r="CE62" s="91"/>
      <c r="CF62" s="90"/>
      <c r="CG62" s="91"/>
      <c r="CH62" s="90"/>
      <c r="CI62" s="91"/>
      <c r="CJ62" s="90"/>
      <c r="CK62" s="91"/>
      <c r="CL62" s="90"/>
      <c r="CM62" s="91"/>
      <c r="CN62" s="96"/>
      <c r="CO62" s="91"/>
      <c r="CP62" s="90"/>
      <c r="CQ62" s="90"/>
      <c r="CR62" s="90"/>
      <c r="CS62" s="90"/>
      <c r="CT62" s="91"/>
      <c r="CU62" s="90"/>
      <c r="CV62" s="97"/>
    </row>
    <row r="63" spans="1:100" ht="15" customHeight="1" x14ac:dyDescent="0.3">
      <c r="A63" s="117" t="s">
        <v>1668</v>
      </c>
      <c r="B63" s="118">
        <v>44367</v>
      </c>
      <c r="C63" s="117" t="s">
        <v>1667</v>
      </c>
      <c r="D63" s="117" t="s">
        <v>364</v>
      </c>
      <c r="E63" s="119" t="s">
        <v>1104</v>
      </c>
      <c r="F63" s="117" t="s">
        <v>1105</v>
      </c>
      <c r="G63" s="117" t="s">
        <v>390</v>
      </c>
      <c r="H63" s="117" t="s">
        <v>1652</v>
      </c>
      <c r="I63" s="117" t="s">
        <v>584</v>
      </c>
      <c r="J63" s="117" t="s">
        <v>1107</v>
      </c>
      <c r="K63" s="117" t="s">
        <v>82</v>
      </c>
      <c r="L63" s="117" t="s">
        <v>1108</v>
      </c>
      <c r="M63" s="119" t="s">
        <v>346</v>
      </c>
      <c r="N63" s="117" t="s">
        <v>1669</v>
      </c>
      <c r="O63" s="117" t="s">
        <v>1670</v>
      </c>
      <c r="P63" s="117" t="s">
        <v>1671</v>
      </c>
      <c r="Q63" s="118">
        <v>44367</v>
      </c>
      <c r="R63" s="118">
        <v>44457</v>
      </c>
      <c r="S63" s="117" t="s">
        <v>1672</v>
      </c>
      <c r="T63" s="118">
        <v>44382</v>
      </c>
      <c r="U63" s="120" t="s">
        <v>295</v>
      </c>
      <c r="V63" s="120" t="s">
        <v>295</v>
      </c>
      <c r="W63" s="121" t="s">
        <v>262</v>
      </c>
      <c r="X63" s="117" t="s">
        <v>1673</v>
      </c>
      <c r="Y63" s="117"/>
      <c r="Z63" s="117"/>
      <c r="AA63" s="117" t="s">
        <v>1</v>
      </c>
      <c r="AB63" s="117" t="s">
        <v>1672</v>
      </c>
      <c r="AC63" s="118">
        <v>44382</v>
      </c>
      <c r="AD63" s="117" t="s">
        <v>349</v>
      </c>
      <c r="AE63" s="117" t="s">
        <v>1115</v>
      </c>
      <c r="AF63" s="90" t="s">
        <v>1116</v>
      </c>
      <c r="AG63" s="90" t="s">
        <v>0</v>
      </c>
      <c r="AH63" s="93" t="s">
        <v>972</v>
      </c>
      <c r="AI63" s="93" t="b">
        <v>0</v>
      </c>
      <c r="AJ63" s="93"/>
      <c r="AK63" s="93" t="b">
        <v>0</v>
      </c>
      <c r="AL63" s="93"/>
      <c r="AM63" s="93" t="b">
        <v>0</v>
      </c>
      <c r="AN63" s="93" t="b">
        <v>0</v>
      </c>
      <c r="AO63" s="93" t="b">
        <v>0</v>
      </c>
      <c r="AP63" s="93" t="b">
        <v>0</v>
      </c>
      <c r="AQ63" s="93" t="b">
        <v>0</v>
      </c>
      <c r="AR63" s="93" t="b">
        <v>0</v>
      </c>
      <c r="AS63" s="93" t="b">
        <v>0</v>
      </c>
      <c r="AT63" s="107" t="s">
        <v>1674</v>
      </c>
      <c r="AU63" s="94">
        <v>9228291</v>
      </c>
      <c r="AV63" s="90" t="s">
        <v>730</v>
      </c>
      <c r="AW63" s="108" t="s">
        <v>951</v>
      </c>
      <c r="AX63" s="91">
        <v>44509</v>
      </c>
      <c r="AY63" s="108" t="s">
        <v>1101</v>
      </c>
      <c r="AZ63" s="90" t="s">
        <v>584</v>
      </c>
      <c r="BA63" s="90" t="s">
        <v>82</v>
      </c>
      <c r="BB63" s="90" t="s">
        <v>40</v>
      </c>
      <c r="BC63" s="90"/>
      <c r="BD63" s="90" t="s">
        <v>30</v>
      </c>
      <c r="BE63" s="90"/>
      <c r="BF63" s="90"/>
      <c r="BG63" s="91"/>
      <c r="BH63" s="93" t="b">
        <v>0</v>
      </c>
      <c r="BI63" s="90"/>
      <c r="BJ63" s="90"/>
      <c r="BK63" s="90" t="s">
        <v>1382</v>
      </c>
      <c r="BL63" s="90"/>
      <c r="BM63" s="90"/>
      <c r="BN63" s="90"/>
      <c r="BO63" s="90"/>
      <c r="BP63" s="90"/>
      <c r="BQ63" s="90"/>
      <c r="BR63" s="95"/>
      <c r="BS63" s="90"/>
      <c r="BT63" s="90"/>
      <c r="BU63" s="90"/>
      <c r="BV63" s="90"/>
      <c r="BW63" s="90"/>
      <c r="BX63" s="90"/>
      <c r="BY63" s="90"/>
      <c r="BZ63" s="90"/>
      <c r="CA63" s="90"/>
      <c r="CB63" s="90"/>
      <c r="CC63" s="91"/>
      <c r="CD63" s="90"/>
      <c r="CE63" s="91"/>
      <c r="CF63" s="90"/>
      <c r="CG63" s="91"/>
      <c r="CH63" s="90"/>
      <c r="CI63" s="91"/>
      <c r="CJ63" s="90"/>
      <c r="CK63" s="91"/>
      <c r="CL63" s="90"/>
      <c r="CM63" s="91"/>
      <c r="CN63" s="96"/>
      <c r="CO63" s="91"/>
      <c r="CP63" s="90"/>
      <c r="CQ63" s="90"/>
      <c r="CR63" s="90"/>
      <c r="CS63" s="90"/>
      <c r="CT63" s="91"/>
      <c r="CU63" s="90"/>
      <c r="CV63" s="97"/>
    </row>
    <row r="64" spans="1:100" ht="15" customHeight="1" x14ac:dyDescent="0.3">
      <c r="A64" s="117" t="s">
        <v>1676</v>
      </c>
      <c r="B64" s="118">
        <v>44368</v>
      </c>
      <c r="C64" s="117" t="s">
        <v>1675</v>
      </c>
      <c r="D64" s="117" t="s">
        <v>364</v>
      </c>
      <c r="E64" s="119" t="s">
        <v>1104</v>
      </c>
      <c r="F64" s="117" t="s">
        <v>1105</v>
      </c>
      <c r="G64" s="117" t="s">
        <v>390</v>
      </c>
      <c r="H64" s="117" t="s">
        <v>1652</v>
      </c>
      <c r="I64" s="117" t="s">
        <v>584</v>
      </c>
      <c r="J64" s="117" t="s">
        <v>1107</v>
      </c>
      <c r="K64" s="117" t="s">
        <v>82</v>
      </c>
      <c r="L64" s="117" t="s">
        <v>1108</v>
      </c>
      <c r="M64" s="119" t="s">
        <v>346</v>
      </c>
      <c r="N64" s="117" t="s">
        <v>1677</v>
      </c>
      <c r="O64" s="117" t="s">
        <v>1678</v>
      </c>
      <c r="P64" s="117" t="s">
        <v>1679</v>
      </c>
      <c r="Q64" s="118">
        <v>44368</v>
      </c>
      <c r="R64" s="118">
        <v>44458</v>
      </c>
      <c r="S64" s="117" t="s">
        <v>1679</v>
      </c>
      <c r="T64" s="118">
        <v>44368</v>
      </c>
      <c r="U64" s="120" t="s">
        <v>295</v>
      </c>
      <c r="V64" s="120" t="s">
        <v>295</v>
      </c>
      <c r="W64" s="121" t="s">
        <v>262</v>
      </c>
      <c r="X64" s="117" t="s">
        <v>1679</v>
      </c>
      <c r="Y64" s="117"/>
      <c r="Z64" s="117"/>
      <c r="AA64" s="117" t="s">
        <v>1</v>
      </c>
      <c r="AB64" s="117" t="s">
        <v>1679</v>
      </c>
      <c r="AC64" s="118">
        <v>44368</v>
      </c>
      <c r="AD64" s="117" t="s">
        <v>349</v>
      </c>
      <c r="AE64" s="117" t="s">
        <v>1115</v>
      </c>
      <c r="AF64" s="90" t="s">
        <v>1116</v>
      </c>
      <c r="AG64" s="90" t="s">
        <v>0</v>
      </c>
      <c r="AH64" s="93" t="s">
        <v>972</v>
      </c>
      <c r="AI64" s="93" t="b">
        <v>0</v>
      </c>
      <c r="AJ64" s="93"/>
      <c r="AK64" s="93" t="b">
        <v>0</v>
      </c>
      <c r="AL64" s="93"/>
      <c r="AM64" s="93" t="b">
        <v>0</v>
      </c>
      <c r="AN64" s="93" t="b">
        <v>0</v>
      </c>
      <c r="AO64" s="93" t="b">
        <v>0</v>
      </c>
      <c r="AP64" s="93" t="b">
        <v>0</v>
      </c>
      <c r="AQ64" s="93" t="b">
        <v>0</v>
      </c>
      <c r="AR64" s="93" t="b">
        <v>0</v>
      </c>
      <c r="AS64" s="93" t="b">
        <v>0</v>
      </c>
      <c r="AT64" s="107" t="s">
        <v>1680</v>
      </c>
      <c r="AU64" s="94">
        <v>9228291</v>
      </c>
      <c r="AV64" s="90" t="s">
        <v>730</v>
      </c>
      <c r="AW64" s="108" t="s">
        <v>951</v>
      </c>
      <c r="AX64" s="91">
        <v>44509</v>
      </c>
      <c r="AY64" s="108" t="s">
        <v>1101</v>
      </c>
      <c r="AZ64" s="90" t="s">
        <v>584</v>
      </c>
      <c r="BA64" s="90" t="s">
        <v>82</v>
      </c>
      <c r="BB64" s="90" t="s">
        <v>52</v>
      </c>
      <c r="BC64" s="90"/>
      <c r="BD64" s="90" t="s">
        <v>801</v>
      </c>
      <c r="BE64" s="90"/>
      <c r="BF64" s="90"/>
      <c r="BG64" s="91"/>
      <c r="BH64" s="93" t="b">
        <v>0</v>
      </c>
      <c r="BI64" s="90"/>
      <c r="BJ64" s="90"/>
      <c r="BK64" s="90" t="s">
        <v>1382</v>
      </c>
      <c r="BL64" s="90"/>
      <c r="BM64" s="90"/>
      <c r="BN64" s="90"/>
      <c r="BO64" s="90"/>
      <c r="BP64" s="90"/>
      <c r="BQ64" s="90"/>
      <c r="BR64" s="95"/>
      <c r="BS64" s="90"/>
      <c r="BT64" s="90"/>
      <c r="BU64" s="90"/>
      <c r="BV64" s="90"/>
      <c r="BW64" s="90"/>
      <c r="BX64" s="90"/>
      <c r="BY64" s="90"/>
      <c r="BZ64" s="90"/>
      <c r="CA64" s="90"/>
      <c r="CB64" s="90"/>
      <c r="CC64" s="91"/>
      <c r="CD64" s="90"/>
      <c r="CE64" s="91"/>
      <c r="CF64" s="90"/>
      <c r="CG64" s="91"/>
      <c r="CH64" s="90"/>
      <c r="CI64" s="91"/>
      <c r="CJ64" s="90"/>
      <c r="CK64" s="91"/>
      <c r="CL64" s="90"/>
      <c r="CM64" s="91"/>
      <c r="CN64" s="96"/>
      <c r="CO64" s="91"/>
      <c r="CP64" s="90"/>
      <c r="CQ64" s="90"/>
      <c r="CR64" s="90"/>
      <c r="CS64" s="90"/>
      <c r="CT64" s="91"/>
      <c r="CU64" s="90"/>
      <c r="CV64" s="97"/>
    </row>
    <row r="65" spans="1:100" ht="15" customHeight="1" x14ac:dyDescent="0.3">
      <c r="A65" s="117" t="s">
        <v>1682</v>
      </c>
      <c r="B65" s="118">
        <v>44369</v>
      </c>
      <c r="C65" s="117" t="s">
        <v>1681</v>
      </c>
      <c r="D65" s="117" t="s">
        <v>364</v>
      </c>
      <c r="E65" s="119" t="s">
        <v>1104</v>
      </c>
      <c r="F65" s="117" t="s">
        <v>1105</v>
      </c>
      <c r="G65" s="117" t="s">
        <v>390</v>
      </c>
      <c r="H65" s="117" t="s">
        <v>1652</v>
      </c>
      <c r="I65" s="117" t="s">
        <v>10</v>
      </c>
      <c r="J65" s="117" t="s">
        <v>1301</v>
      </c>
      <c r="K65" s="117" t="s">
        <v>80</v>
      </c>
      <c r="L65" s="117" t="s">
        <v>1302</v>
      </c>
      <c r="M65" s="119" t="s">
        <v>346</v>
      </c>
      <c r="N65" s="117" t="s">
        <v>1683</v>
      </c>
      <c r="O65" s="117" t="s">
        <v>1684</v>
      </c>
      <c r="P65" s="117" t="s">
        <v>1685</v>
      </c>
      <c r="Q65" s="118">
        <v>44369</v>
      </c>
      <c r="R65" s="118">
        <v>44459</v>
      </c>
      <c r="S65" s="117" t="s">
        <v>1685</v>
      </c>
      <c r="T65" s="118">
        <v>44369</v>
      </c>
      <c r="U65" s="120" t="s">
        <v>295</v>
      </c>
      <c r="V65" s="120" t="s">
        <v>295</v>
      </c>
      <c r="W65" s="121" t="s">
        <v>262</v>
      </c>
      <c r="X65" s="117" t="s">
        <v>1685</v>
      </c>
      <c r="Y65" s="117"/>
      <c r="Z65" s="117"/>
      <c r="AA65" s="117" t="s">
        <v>1</v>
      </c>
      <c r="AB65" s="117" t="s">
        <v>1685</v>
      </c>
      <c r="AC65" s="118">
        <v>44369</v>
      </c>
      <c r="AD65" s="117" t="s">
        <v>349</v>
      </c>
      <c r="AE65" s="117" t="s">
        <v>1115</v>
      </c>
      <c r="AF65" s="90" t="s">
        <v>1116</v>
      </c>
      <c r="AG65" s="90" t="s">
        <v>0</v>
      </c>
      <c r="AH65" s="93" t="s">
        <v>972</v>
      </c>
      <c r="AI65" s="93" t="b">
        <v>0</v>
      </c>
      <c r="AJ65" s="93"/>
      <c r="AK65" s="93" t="b">
        <v>0</v>
      </c>
      <c r="AL65" s="93"/>
      <c r="AM65" s="93" t="b">
        <v>0</v>
      </c>
      <c r="AN65" s="93" t="b">
        <v>0</v>
      </c>
      <c r="AO65" s="93" t="b">
        <v>0</v>
      </c>
      <c r="AP65" s="93" t="b">
        <v>0</v>
      </c>
      <c r="AQ65" s="93" t="b">
        <v>0</v>
      </c>
      <c r="AR65" s="93" t="b">
        <v>0</v>
      </c>
      <c r="AS65" s="93" t="b">
        <v>0</v>
      </c>
      <c r="AT65" s="107" t="s">
        <v>1686</v>
      </c>
      <c r="AU65" s="94">
        <v>9228291</v>
      </c>
      <c r="AV65" s="90" t="s">
        <v>730</v>
      </c>
      <c r="AW65" s="108" t="s">
        <v>951</v>
      </c>
      <c r="AX65" s="91">
        <v>44509</v>
      </c>
      <c r="AY65" s="108" t="s">
        <v>1101</v>
      </c>
      <c r="AZ65" s="90" t="s">
        <v>10</v>
      </c>
      <c r="BA65" s="90" t="s">
        <v>80</v>
      </c>
      <c r="BB65" s="90" t="s">
        <v>41</v>
      </c>
      <c r="BC65" s="90"/>
      <c r="BD65" s="90" t="s">
        <v>30</v>
      </c>
      <c r="BE65" s="90"/>
      <c r="BF65" s="90"/>
      <c r="BG65" s="91"/>
      <c r="BH65" s="93" t="b">
        <v>0</v>
      </c>
      <c r="BI65" s="90"/>
      <c r="BJ65" s="90"/>
      <c r="BK65" s="90" t="s">
        <v>1382</v>
      </c>
      <c r="BL65" s="90"/>
      <c r="BM65" s="90"/>
      <c r="BN65" s="90"/>
      <c r="BO65" s="90"/>
      <c r="BP65" s="90"/>
      <c r="BQ65" s="90"/>
      <c r="BR65" s="95"/>
      <c r="BS65" s="90"/>
      <c r="BT65" s="90"/>
      <c r="BU65" s="90"/>
      <c r="BV65" s="90"/>
      <c r="BW65" s="90"/>
      <c r="BX65" s="90"/>
      <c r="BY65" s="90"/>
      <c r="BZ65" s="90"/>
      <c r="CA65" s="90"/>
      <c r="CB65" s="90"/>
      <c r="CC65" s="91"/>
      <c r="CD65" s="90"/>
      <c r="CE65" s="91"/>
      <c r="CF65" s="90"/>
      <c r="CG65" s="91"/>
      <c r="CH65" s="90"/>
      <c r="CI65" s="91"/>
      <c r="CJ65" s="90"/>
      <c r="CK65" s="91"/>
      <c r="CL65" s="90"/>
      <c r="CM65" s="91"/>
      <c r="CN65" s="96"/>
      <c r="CO65" s="91"/>
      <c r="CP65" s="90"/>
      <c r="CQ65" s="90"/>
      <c r="CR65" s="90"/>
      <c r="CS65" s="90"/>
      <c r="CT65" s="91"/>
      <c r="CU65" s="90"/>
      <c r="CV65" s="97"/>
    </row>
    <row r="66" spans="1:100" ht="15" customHeight="1" x14ac:dyDescent="0.3">
      <c r="A66" s="117" t="s">
        <v>1688</v>
      </c>
      <c r="B66" s="118">
        <v>44369</v>
      </c>
      <c r="C66" s="117" t="s">
        <v>1687</v>
      </c>
      <c r="D66" s="117" t="s">
        <v>364</v>
      </c>
      <c r="E66" s="119" t="s">
        <v>1104</v>
      </c>
      <c r="F66" s="117" t="s">
        <v>1105</v>
      </c>
      <c r="G66" s="117" t="s">
        <v>390</v>
      </c>
      <c r="H66" s="117" t="s">
        <v>1652</v>
      </c>
      <c r="I66" s="117" t="s">
        <v>10</v>
      </c>
      <c r="J66" s="117" t="s">
        <v>1301</v>
      </c>
      <c r="K66" s="117" t="s">
        <v>80</v>
      </c>
      <c r="L66" s="117" t="s">
        <v>1302</v>
      </c>
      <c r="M66" s="119" t="s">
        <v>346</v>
      </c>
      <c r="N66" s="117" t="s">
        <v>1689</v>
      </c>
      <c r="O66" s="117" t="s">
        <v>1684</v>
      </c>
      <c r="P66" s="117" t="s">
        <v>1690</v>
      </c>
      <c r="Q66" s="118">
        <v>44369</v>
      </c>
      <c r="R66" s="118">
        <v>44459</v>
      </c>
      <c r="S66" s="117" t="s">
        <v>1690</v>
      </c>
      <c r="T66" s="118">
        <v>44369</v>
      </c>
      <c r="U66" s="120" t="s">
        <v>295</v>
      </c>
      <c r="V66" s="120" t="s">
        <v>295</v>
      </c>
      <c r="W66" s="121" t="s">
        <v>262</v>
      </c>
      <c r="X66" s="117" t="s">
        <v>1690</v>
      </c>
      <c r="Y66" s="117"/>
      <c r="Z66" s="117"/>
      <c r="AA66" s="117" t="s">
        <v>1</v>
      </c>
      <c r="AB66" s="117" t="s">
        <v>1690</v>
      </c>
      <c r="AC66" s="118">
        <v>44369</v>
      </c>
      <c r="AD66" s="117" t="s">
        <v>349</v>
      </c>
      <c r="AE66" s="117" t="s">
        <v>1115</v>
      </c>
      <c r="AF66" s="90" t="s">
        <v>1116</v>
      </c>
      <c r="AG66" s="90" t="s">
        <v>0</v>
      </c>
      <c r="AH66" s="93" t="s">
        <v>972</v>
      </c>
      <c r="AI66" s="93" t="b">
        <v>0</v>
      </c>
      <c r="AJ66" s="93"/>
      <c r="AK66" s="93" t="b">
        <v>0</v>
      </c>
      <c r="AL66" s="93"/>
      <c r="AM66" s="93" t="b">
        <v>0</v>
      </c>
      <c r="AN66" s="93" t="b">
        <v>0</v>
      </c>
      <c r="AO66" s="93" t="b">
        <v>0</v>
      </c>
      <c r="AP66" s="93" t="b">
        <v>0</v>
      </c>
      <c r="AQ66" s="93" t="b">
        <v>0</v>
      </c>
      <c r="AR66" s="93" t="b">
        <v>0</v>
      </c>
      <c r="AS66" s="93" t="b">
        <v>0</v>
      </c>
      <c r="AT66" s="107" t="s">
        <v>1691</v>
      </c>
      <c r="AU66" s="94">
        <v>9228291</v>
      </c>
      <c r="AV66" s="90" t="s">
        <v>730</v>
      </c>
      <c r="AW66" s="108" t="s">
        <v>951</v>
      </c>
      <c r="AX66" s="91">
        <v>44509</v>
      </c>
      <c r="AY66" s="108" t="s">
        <v>1101</v>
      </c>
      <c r="AZ66" s="90" t="s">
        <v>10</v>
      </c>
      <c r="BA66" s="90" t="s">
        <v>80</v>
      </c>
      <c r="BB66" s="90" t="s">
        <v>41</v>
      </c>
      <c r="BC66" s="90"/>
      <c r="BD66" s="90" t="s">
        <v>30</v>
      </c>
      <c r="BE66" s="90"/>
      <c r="BF66" s="90"/>
      <c r="BG66" s="91"/>
      <c r="BH66" s="93" t="b">
        <v>0</v>
      </c>
      <c r="BI66" s="90"/>
      <c r="BJ66" s="90"/>
      <c r="BK66" s="90" t="s">
        <v>1382</v>
      </c>
      <c r="BL66" s="90"/>
      <c r="BM66" s="90"/>
      <c r="BN66" s="90"/>
      <c r="BO66" s="90"/>
      <c r="BP66" s="90"/>
      <c r="BQ66" s="90"/>
      <c r="BR66" s="95"/>
      <c r="BS66" s="90"/>
      <c r="BT66" s="90"/>
      <c r="BU66" s="90"/>
      <c r="BV66" s="90"/>
      <c r="BW66" s="90"/>
      <c r="BX66" s="90"/>
      <c r="BY66" s="90"/>
      <c r="BZ66" s="90"/>
      <c r="CA66" s="90"/>
      <c r="CB66" s="90"/>
      <c r="CC66" s="91"/>
      <c r="CD66" s="90"/>
      <c r="CE66" s="91"/>
      <c r="CF66" s="90"/>
      <c r="CG66" s="91"/>
      <c r="CH66" s="90"/>
      <c r="CI66" s="91"/>
      <c r="CJ66" s="90"/>
      <c r="CK66" s="91"/>
      <c r="CL66" s="90"/>
      <c r="CM66" s="91"/>
      <c r="CN66" s="96"/>
      <c r="CO66" s="91"/>
      <c r="CP66" s="90"/>
      <c r="CQ66" s="90"/>
      <c r="CR66" s="90"/>
      <c r="CS66" s="90"/>
      <c r="CT66" s="91"/>
      <c r="CU66" s="90"/>
      <c r="CV66" s="97"/>
    </row>
    <row r="67" spans="1:100" ht="15" customHeight="1" x14ac:dyDescent="0.3">
      <c r="A67" s="117" t="s">
        <v>1693</v>
      </c>
      <c r="B67" s="118">
        <v>44388</v>
      </c>
      <c r="C67" s="117" t="s">
        <v>1692</v>
      </c>
      <c r="D67" s="117" t="s">
        <v>364</v>
      </c>
      <c r="E67" s="119" t="s">
        <v>1104</v>
      </c>
      <c r="F67" s="117" t="s">
        <v>1105</v>
      </c>
      <c r="G67" s="117" t="s">
        <v>390</v>
      </c>
      <c r="H67" s="117" t="s">
        <v>1652</v>
      </c>
      <c r="I67" s="117" t="s">
        <v>584</v>
      </c>
      <c r="J67" s="117" t="s">
        <v>1107</v>
      </c>
      <c r="K67" s="117" t="s">
        <v>82</v>
      </c>
      <c r="L67" s="117" t="s">
        <v>1108</v>
      </c>
      <c r="M67" s="119" t="s">
        <v>346</v>
      </c>
      <c r="N67" s="117" t="s">
        <v>1694</v>
      </c>
      <c r="O67" s="117" t="s">
        <v>1695</v>
      </c>
      <c r="P67" s="117" t="s">
        <v>1696</v>
      </c>
      <c r="Q67" s="118">
        <v>44388</v>
      </c>
      <c r="R67" s="118">
        <v>44478</v>
      </c>
      <c r="S67" s="117" t="s">
        <v>1697</v>
      </c>
      <c r="T67" s="118">
        <v>44407</v>
      </c>
      <c r="U67" s="120" t="s">
        <v>295</v>
      </c>
      <c r="V67" s="120" t="s">
        <v>295</v>
      </c>
      <c r="W67" s="121" t="s">
        <v>262</v>
      </c>
      <c r="X67" s="117" t="s">
        <v>1698</v>
      </c>
      <c r="Y67" s="117"/>
      <c r="Z67" s="117"/>
      <c r="AA67" s="117" t="s">
        <v>1</v>
      </c>
      <c r="AB67" s="117" t="s">
        <v>1699</v>
      </c>
      <c r="AC67" s="118">
        <v>44407</v>
      </c>
      <c r="AD67" s="117" t="s">
        <v>349</v>
      </c>
      <c r="AE67" s="117" t="s">
        <v>1115</v>
      </c>
      <c r="AF67" s="90" t="s">
        <v>1116</v>
      </c>
      <c r="AG67" s="90" t="s">
        <v>0</v>
      </c>
      <c r="AH67" s="93" t="s">
        <v>972</v>
      </c>
      <c r="AI67" s="93" t="b">
        <v>0</v>
      </c>
      <c r="AJ67" s="93"/>
      <c r="AK67" s="93" t="b">
        <v>0</v>
      </c>
      <c r="AL67" s="93"/>
      <c r="AM67" s="93" t="b">
        <v>0</v>
      </c>
      <c r="AN67" s="93" t="b">
        <v>0</v>
      </c>
      <c r="AO67" s="93" t="b">
        <v>0</v>
      </c>
      <c r="AP67" s="93" t="b">
        <v>0</v>
      </c>
      <c r="AQ67" s="93" t="b">
        <v>0</v>
      </c>
      <c r="AR67" s="93" t="b">
        <v>0</v>
      </c>
      <c r="AS67" s="93" t="b">
        <v>0</v>
      </c>
      <c r="AT67" s="107" t="s">
        <v>1700</v>
      </c>
      <c r="AU67" s="94">
        <v>9228291</v>
      </c>
      <c r="AV67" s="90" t="s">
        <v>730</v>
      </c>
      <c r="AW67" s="108" t="s">
        <v>951</v>
      </c>
      <c r="AX67" s="91">
        <v>44509</v>
      </c>
      <c r="AY67" s="108" t="s">
        <v>1101</v>
      </c>
      <c r="AZ67" s="90" t="s">
        <v>584</v>
      </c>
      <c r="BA67" s="90" t="s">
        <v>82</v>
      </c>
      <c r="BB67" s="90" t="s">
        <v>52</v>
      </c>
      <c r="BC67" s="90"/>
      <c r="BD67" s="90" t="s">
        <v>30</v>
      </c>
      <c r="BE67" s="90"/>
      <c r="BF67" s="90"/>
      <c r="BG67" s="91"/>
      <c r="BH67" s="93" t="b">
        <v>0</v>
      </c>
      <c r="BI67" s="90"/>
      <c r="BJ67" s="90"/>
      <c r="BK67" s="90" t="s">
        <v>1382</v>
      </c>
      <c r="BL67" s="90"/>
      <c r="BM67" s="90"/>
      <c r="BN67" s="90"/>
      <c r="BO67" s="90"/>
      <c r="BP67" s="90"/>
      <c r="BQ67" s="90"/>
      <c r="BR67" s="95"/>
      <c r="BS67" s="90"/>
      <c r="BT67" s="90"/>
      <c r="BU67" s="90"/>
      <c r="BV67" s="90"/>
      <c r="BW67" s="90"/>
      <c r="BX67" s="90"/>
      <c r="BY67" s="90"/>
      <c r="BZ67" s="90"/>
      <c r="CA67" s="90"/>
      <c r="CB67" s="90"/>
      <c r="CC67" s="91"/>
      <c r="CD67" s="90"/>
      <c r="CE67" s="91"/>
      <c r="CF67" s="90"/>
      <c r="CG67" s="91"/>
      <c r="CH67" s="90"/>
      <c r="CI67" s="91"/>
      <c r="CJ67" s="90"/>
      <c r="CK67" s="91"/>
      <c r="CL67" s="90"/>
      <c r="CM67" s="91"/>
      <c r="CN67" s="96"/>
      <c r="CO67" s="91"/>
      <c r="CP67" s="90"/>
      <c r="CQ67" s="90"/>
      <c r="CR67" s="90"/>
      <c r="CS67" s="90"/>
      <c r="CT67" s="91"/>
      <c r="CU67" s="90"/>
      <c r="CV67" s="97"/>
    </row>
    <row r="68" spans="1:100" ht="15" customHeight="1" x14ac:dyDescent="0.3">
      <c r="A68" s="117" t="s">
        <v>1702</v>
      </c>
      <c r="B68" s="118">
        <v>44204</v>
      </c>
      <c r="C68" s="117" t="s">
        <v>1701</v>
      </c>
      <c r="D68" s="117" t="s">
        <v>364</v>
      </c>
      <c r="E68" s="119" t="s">
        <v>1104</v>
      </c>
      <c r="F68" s="117" t="s">
        <v>1105</v>
      </c>
      <c r="G68" s="117" t="s">
        <v>390</v>
      </c>
      <c r="H68" s="117" t="s">
        <v>1703</v>
      </c>
      <c r="I68" s="117" t="s">
        <v>14</v>
      </c>
      <c r="J68" s="117" t="s">
        <v>1325</v>
      </c>
      <c r="K68" s="117" t="s">
        <v>86</v>
      </c>
      <c r="L68" s="117" t="s">
        <v>1704</v>
      </c>
      <c r="M68" s="119" t="s">
        <v>346</v>
      </c>
      <c r="N68" s="117" t="s">
        <v>1705</v>
      </c>
      <c r="O68" s="117" t="s">
        <v>1706</v>
      </c>
      <c r="P68" s="117" t="s">
        <v>1707</v>
      </c>
      <c r="Q68" s="118">
        <v>44206</v>
      </c>
      <c r="R68" s="118">
        <v>44264</v>
      </c>
      <c r="S68" s="117" t="s">
        <v>1707</v>
      </c>
      <c r="T68" s="118">
        <v>44206</v>
      </c>
      <c r="U68" s="120" t="s">
        <v>295</v>
      </c>
      <c r="V68" s="120" t="s">
        <v>295</v>
      </c>
      <c r="W68" s="121" t="s">
        <v>262</v>
      </c>
      <c r="X68" s="117" t="s">
        <v>1708</v>
      </c>
      <c r="Y68" s="117"/>
      <c r="Z68" s="117"/>
      <c r="AA68" s="117" t="s">
        <v>1</v>
      </c>
      <c r="AB68" s="117" t="s">
        <v>1709</v>
      </c>
      <c r="AC68" s="118">
        <v>44206</v>
      </c>
      <c r="AD68" s="117" t="s">
        <v>349</v>
      </c>
      <c r="AE68" s="117" t="s">
        <v>1115</v>
      </c>
      <c r="AF68" s="90" t="s">
        <v>1116</v>
      </c>
      <c r="AG68" s="90" t="s">
        <v>0</v>
      </c>
      <c r="AH68" s="93" t="s">
        <v>1710</v>
      </c>
      <c r="AI68" s="93" t="b">
        <v>0</v>
      </c>
      <c r="AJ68" s="93"/>
      <c r="AK68" s="93" t="b">
        <v>1</v>
      </c>
      <c r="AL68" s="93" t="s">
        <v>1711</v>
      </c>
      <c r="AM68" s="93" t="b">
        <v>1</v>
      </c>
      <c r="AN68" s="93" t="b">
        <v>0</v>
      </c>
      <c r="AO68" s="93" t="b">
        <v>0</v>
      </c>
      <c r="AP68" s="93" t="b">
        <v>0</v>
      </c>
      <c r="AQ68" s="93" t="b">
        <v>0</v>
      </c>
      <c r="AR68" s="93" t="b">
        <v>0</v>
      </c>
      <c r="AS68" s="93" t="b">
        <v>0</v>
      </c>
      <c r="AT68" s="107" t="s">
        <v>1712</v>
      </c>
      <c r="AU68" s="94">
        <v>9228291</v>
      </c>
      <c r="AV68" s="90" t="s">
        <v>730</v>
      </c>
      <c r="AW68" s="108" t="s">
        <v>951</v>
      </c>
      <c r="AX68" s="91">
        <v>44509</v>
      </c>
      <c r="AY68" s="108" t="s">
        <v>1101</v>
      </c>
      <c r="AZ68" s="90" t="s">
        <v>14</v>
      </c>
      <c r="BA68" s="90" t="s">
        <v>86</v>
      </c>
      <c r="BB68" s="90" t="s">
        <v>43</v>
      </c>
      <c r="BC68" s="90"/>
      <c r="BD68" s="90" t="s">
        <v>756</v>
      </c>
      <c r="BE68" s="90"/>
      <c r="BF68" s="90"/>
      <c r="BG68" s="91"/>
      <c r="BH68" s="93" t="b">
        <v>0</v>
      </c>
      <c r="BI68" s="90"/>
      <c r="BJ68" s="90"/>
      <c r="BK68" s="90" t="s">
        <v>1382</v>
      </c>
      <c r="BL68" s="90"/>
      <c r="BM68" s="90"/>
      <c r="BN68" s="90"/>
      <c r="BO68" s="90"/>
      <c r="BP68" s="90"/>
      <c r="BQ68" s="90"/>
      <c r="BR68" s="95"/>
      <c r="BS68" s="90"/>
      <c r="BT68" s="90"/>
      <c r="BU68" s="90"/>
      <c r="BV68" s="90"/>
      <c r="BW68" s="90"/>
      <c r="BX68" s="90"/>
      <c r="BY68" s="90"/>
      <c r="BZ68" s="90"/>
      <c r="CA68" s="90"/>
      <c r="CB68" s="90"/>
      <c r="CC68" s="91"/>
      <c r="CD68" s="90"/>
      <c r="CE68" s="91"/>
      <c r="CF68" s="90"/>
      <c r="CG68" s="91"/>
      <c r="CH68" s="90"/>
      <c r="CI68" s="91"/>
      <c r="CJ68" s="90"/>
      <c r="CK68" s="91"/>
      <c r="CL68" s="90"/>
      <c r="CM68" s="91"/>
      <c r="CN68" s="96"/>
      <c r="CO68" s="91"/>
      <c r="CP68" s="90"/>
      <c r="CQ68" s="90"/>
      <c r="CR68" s="90"/>
      <c r="CS68" s="90"/>
      <c r="CT68" s="91"/>
      <c r="CU68" s="90"/>
      <c r="CV68" s="97"/>
    </row>
    <row r="69" spans="1:100" ht="15" customHeight="1" x14ac:dyDescent="0.3">
      <c r="A69" s="117" t="s">
        <v>1714</v>
      </c>
      <c r="B69" s="118">
        <v>44374</v>
      </c>
      <c r="C69" s="117" t="s">
        <v>1713</v>
      </c>
      <c r="D69" s="117" t="s">
        <v>337</v>
      </c>
      <c r="E69" s="119" t="s">
        <v>1426</v>
      </c>
      <c r="F69" s="117" t="s">
        <v>1427</v>
      </c>
      <c r="G69" s="117" t="s">
        <v>365</v>
      </c>
      <c r="H69" s="117" t="s">
        <v>1715</v>
      </c>
      <c r="I69" s="117" t="s">
        <v>339</v>
      </c>
      <c r="J69" s="117" t="s">
        <v>1429</v>
      </c>
      <c r="K69" s="117" t="s">
        <v>757</v>
      </c>
      <c r="L69" s="117" t="s">
        <v>1475</v>
      </c>
      <c r="M69" s="119" t="s">
        <v>346</v>
      </c>
      <c r="N69" s="117" t="s">
        <v>1716</v>
      </c>
      <c r="O69" s="117" t="s">
        <v>1717</v>
      </c>
      <c r="P69" s="117" t="s">
        <v>1718</v>
      </c>
      <c r="Q69" s="118"/>
      <c r="R69" s="118">
        <v>44485</v>
      </c>
      <c r="S69" s="117"/>
      <c r="T69" s="118"/>
      <c r="U69" s="120" t="s">
        <v>295</v>
      </c>
      <c r="V69" s="120" t="s">
        <v>295</v>
      </c>
      <c r="W69" s="121" t="s">
        <v>262</v>
      </c>
      <c r="X69" s="117" t="s">
        <v>1719</v>
      </c>
      <c r="Y69" s="117"/>
      <c r="Z69" s="117"/>
      <c r="AA69" s="117"/>
      <c r="AB69" s="117" t="s">
        <v>1720</v>
      </c>
      <c r="AC69" s="118">
        <v>44374</v>
      </c>
      <c r="AD69" s="117" t="s">
        <v>349</v>
      </c>
      <c r="AE69" s="117" t="s">
        <v>1721</v>
      </c>
      <c r="AF69" s="90" t="s">
        <v>1116</v>
      </c>
      <c r="AG69" s="90" t="s">
        <v>0</v>
      </c>
      <c r="AH69" s="93" t="s">
        <v>972</v>
      </c>
      <c r="AI69" s="93" t="b">
        <v>0</v>
      </c>
      <c r="AJ69" s="93"/>
      <c r="AK69" s="93" t="b">
        <v>0</v>
      </c>
      <c r="AL69" s="93"/>
      <c r="AM69" s="93" t="b">
        <v>0</v>
      </c>
      <c r="AN69" s="93" t="b">
        <v>0</v>
      </c>
      <c r="AO69" s="93" t="b">
        <v>0</v>
      </c>
      <c r="AP69" s="93" t="b">
        <v>0</v>
      </c>
      <c r="AQ69" s="93" t="b">
        <v>0</v>
      </c>
      <c r="AR69" s="93" t="b">
        <v>1</v>
      </c>
      <c r="AS69" s="93" t="b">
        <v>0</v>
      </c>
      <c r="AT69" s="107" t="s">
        <v>1729</v>
      </c>
      <c r="AU69" s="94">
        <v>9228291</v>
      </c>
      <c r="AV69" s="90" t="s">
        <v>730</v>
      </c>
      <c r="AW69" s="108" t="s">
        <v>951</v>
      </c>
      <c r="AX69" s="91">
        <v>44509</v>
      </c>
      <c r="AY69" s="108" t="s">
        <v>1101</v>
      </c>
      <c r="AZ69" s="90" t="s">
        <v>10</v>
      </c>
      <c r="BA69" s="90" t="s">
        <v>80</v>
      </c>
      <c r="BB69" s="90" t="s">
        <v>41</v>
      </c>
      <c r="BC69" s="90"/>
      <c r="BD69" s="90" t="s">
        <v>757</v>
      </c>
      <c r="BE69" s="90" t="s">
        <v>1722</v>
      </c>
      <c r="BF69" s="90"/>
      <c r="BG69" s="91"/>
      <c r="BH69" s="93" t="b">
        <v>0</v>
      </c>
      <c r="BI69" s="90"/>
      <c r="BJ69" s="90"/>
      <c r="BK69" s="90" t="s">
        <v>1382</v>
      </c>
      <c r="BL69" s="90" t="s">
        <v>1723</v>
      </c>
      <c r="BM69" s="90"/>
      <c r="BN69" s="90" t="s">
        <v>1724</v>
      </c>
      <c r="BO69" s="90" t="s">
        <v>1725</v>
      </c>
      <c r="BP69" s="90" t="s">
        <v>1439</v>
      </c>
      <c r="BQ69" s="90" t="s">
        <v>1440</v>
      </c>
      <c r="BR69" s="95"/>
      <c r="BS69" s="90" t="s">
        <v>1726</v>
      </c>
      <c r="BT69" s="90" t="s">
        <v>1727</v>
      </c>
      <c r="BU69" s="90" t="s">
        <v>1443</v>
      </c>
      <c r="BV69" s="90"/>
      <c r="BW69" s="90"/>
      <c r="BX69" s="90"/>
      <c r="BY69" s="90"/>
      <c r="BZ69" s="90"/>
      <c r="CA69" s="90"/>
      <c r="CB69" s="90"/>
      <c r="CC69" s="91"/>
      <c r="CD69" s="90"/>
      <c r="CE69" s="91"/>
      <c r="CF69" s="90"/>
      <c r="CG69" s="91"/>
      <c r="CH69" s="90"/>
      <c r="CI69" s="91"/>
      <c r="CJ69" s="90"/>
      <c r="CK69" s="91"/>
      <c r="CL69" s="90"/>
      <c r="CM69" s="91"/>
      <c r="CN69" s="96"/>
      <c r="CO69" s="91"/>
      <c r="CP69" s="90" t="s">
        <v>785</v>
      </c>
      <c r="CQ69" s="90" t="s">
        <v>1728</v>
      </c>
      <c r="CR69" s="90" t="s">
        <v>1445</v>
      </c>
      <c r="CS69" s="90">
        <v>8</v>
      </c>
      <c r="CT69" s="91">
        <v>44393</v>
      </c>
      <c r="CU69" s="90" t="s">
        <v>1721</v>
      </c>
      <c r="CV69" s="97">
        <v>44393</v>
      </c>
    </row>
    <row r="70" spans="1:100" ht="15" customHeight="1" x14ac:dyDescent="0.3">
      <c r="A70" s="117" t="s">
        <v>1731</v>
      </c>
      <c r="B70" s="118">
        <v>44374</v>
      </c>
      <c r="C70" s="117" t="s">
        <v>1730</v>
      </c>
      <c r="D70" s="117" t="s">
        <v>337</v>
      </c>
      <c r="E70" s="119" t="s">
        <v>1426</v>
      </c>
      <c r="F70" s="117" t="s">
        <v>1427</v>
      </c>
      <c r="G70" s="117" t="s">
        <v>365</v>
      </c>
      <c r="H70" s="117" t="s">
        <v>1715</v>
      </c>
      <c r="I70" s="117" t="s">
        <v>339</v>
      </c>
      <c r="J70" s="117" t="s">
        <v>1429</v>
      </c>
      <c r="K70" s="117" t="s">
        <v>755</v>
      </c>
      <c r="L70" s="117" t="s">
        <v>1732</v>
      </c>
      <c r="M70" s="119" t="s">
        <v>346</v>
      </c>
      <c r="N70" s="117" t="s">
        <v>1733</v>
      </c>
      <c r="O70" s="117" t="s">
        <v>1734</v>
      </c>
      <c r="P70" s="117" t="s">
        <v>1735</v>
      </c>
      <c r="Q70" s="118">
        <v>44381</v>
      </c>
      <c r="R70" s="118" t="s">
        <v>1736</v>
      </c>
      <c r="S70" s="117" t="s">
        <v>1737</v>
      </c>
      <c r="T70" s="118">
        <v>44393</v>
      </c>
      <c r="U70" s="120" t="s">
        <v>295</v>
      </c>
      <c r="V70" s="120" t="s">
        <v>295</v>
      </c>
      <c r="W70" s="121" t="s">
        <v>262</v>
      </c>
      <c r="X70" s="117" t="s">
        <v>1738</v>
      </c>
      <c r="Y70" s="117"/>
      <c r="Z70" s="117"/>
      <c r="AA70" s="117" t="s">
        <v>3</v>
      </c>
      <c r="AB70" s="117" t="s">
        <v>1739</v>
      </c>
      <c r="AC70" s="118">
        <v>44381</v>
      </c>
      <c r="AD70" s="117" t="s">
        <v>349</v>
      </c>
      <c r="AE70" s="117" t="s">
        <v>1721</v>
      </c>
      <c r="AF70" s="90" t="s">
        <v>1116</v>
      </c>
      <c r="AG70" s="90" t="s">
        <v>0</v>
      </c>
      <c r="AH70" s="93" t="s">
        <v>972</v>
      </c>
      <c r="AI70" s="93" t="b">
        <v>0</v>
      </c>
      <c r="AJ70" s="93"/>
      <c r="AK70" s="93" t="b">
        <v>0</v>
      </c>
      <c r="AL70" s="93"/>
      <c r="AM70" s="93" t="b">
        <v>0</v>
      </c>
      <c r="AN70" s="93" t="b">
        <v>0</v>
      </c>
      <c r="AO70" s="93" t="b">
        <v>0</v>
      </c>
      <c r="AP70" s="93" t="b">
        <v>0</v>
      </c>
      <c r="AQ70" s="93" t="b">
        <v>0</v>
      </c>
      <c r="AR70" s="93" t="b">
        <v>0</v>
      </c>
      <c r="AS70" s="93" t="b">
        <v>0</v>
      </c>
      <c r="AT70" s="107" t="s">
        <v>1741</v>
      </c>
      <c r="AU70" s="94">
        <v>9228291</v>
      </c>
      <c r="AV70" s="90" t="s">
        <v>730</v>
      </c>
      <c r="AW70" s="108" t="s">
        <v>951</v>
      </c>
      <c r="AX70" s="91">
        <v>44509</v>
      </c>
      <c r="AY70" s="108" t="s">
        <v>1101</v>
      </c>
      <c r="AZ70" s="90"/>
      <c r="BA70" s="90"/>
      <c r="BB70" s="90" t="s">
        <v>336</v>
      </c>
      <c r="BC70" s="90"/>
      <c r="BD70" s="90" t="s">
        <v>755</v>
      </c>
      <c r="BE70" s="90" t="s">
        <v>1740</v>
      </c>
      <c r="BF70" s="90"/>
      <c r="BG70" s="91"/>
      <c r="BH70" s="93" t="b">
        <v>0</v>
      </c>
      <c r="BI70" s="90"/>
      <c r="BJ70" s="90"/>
      <c r="BK70" s="90" t="s">
        <v>1382</v>
      </c>
      <c r="BL70" s="90" t="s">
        <v>1723</v>
      </c>
      <c r="BM70" s="90"/>
      <c r="BN70" s="90" t="s">
        <v>1724</v>
      </c>
      <c r="BO70" s="90" t="s">
        <v>1725</v>
      </c>
      <c r="BP70" s="90" t="s">
        <v>1439</v>
      </c>
      <c r="BQ70" s="90" t="s">
        <v>1440</v>
      </c>
      <c r="BR70" s="95"/>
      <c r="BS70" s="90" t="s">
        <v>1726</v>
      </c>
      <c r="BT70" s="90" t="s">
        <v>1727</v>
      </c>
      <c r="BU70" s="90" t="s">
        <v>1443</v>
      </c>
      <c r="BV70" s="90"/>
      <c r="BW70" s="90"/>
      <c r="BX70" s="90"/>
      <c r="BY70" s="90"/>
      <c r="BZ70" s="90"/>
      <c r="CA70" s="90"/>
      <c r="CB70" s="90"/>
      <c r="CC70" s="91"/>
      <c r="CD70" s="90"/>
      <c r="CE70" s="91"/>
      <c r="CF70" s="90"/>
      <c r="CG70" s="91"/>
      <c r="CH70" s="90"/>
      <c r="CI70" s="91"/>
      <c r="CJ70" s="90"/>
      <c r="CK70" s="91"/>
      <c r="CL70" s="90"/>
      <c r="CM70" s="91"/>
      <c r="CN70" s="96"/>
      <c r="CO70" s="91"/>
      <c r="CP70" s="90" t="s">
        <v>785</v>
      </c>
      <c r="CQ70" s="90" t="s">
        <v>1728</v>
      </c>
      <c r="CR70" s="90" t="s">
        <v>1445</v>
      </c>
      <c r="CS70" s="90">
        <v>5</v>
      </c>
      <c r="CT70" s="91">
        <v>44393</v>
      </c>
      <c r="CU70" s="90" t="s">
        <v>1721</v>
      </c>
      <c r="CV70" s="97">
        <v>44393</v>
      </c>
    </row>
    <row r="71" spans="1:100" ht="15" customHeight="1" x14ac:dyDescent="0.3">
      <c r="A71" s="117" t="s">
        <v>1743</v>
      </c>
      <c r="B71" s="118">
        <v>44374</v>
      </c>
      <c r="C71" s="117" t="s">
        <v>1742</v>
      </c>
      <c r="D71" s="117" t="s">
        <v>337</v>
      </c>
      <c r="E71" s="119" t="s">
        <v>1426</v>
      </c>
      <c r="F71" s="117" t="s">
        <v>1427</v>
      </c>
      <c r="G71" s="117" t="s">
        <v>365</v>
      </c>
      <c r="H71" s="117" t="s">
        <v>1715</v>
      </c>
      <c r="I71" s="117" t="s">
        <v>339</v>
      </c>
      <c r="J71" s="117" t="s">
        <v>1429</v>
      </c>
      <c r="K71" s="117" t="s">
        <v>28</v>
      </c>
      <c r="L71" s="117" t="s">
        <v>1430</v>
      </c>
      <c r="M71" s="119" t="s">
        <v>346</v>
      </c>
      <c r="N71" s="117" t="s">
        <v>1744</v>
      </c>
      <c r="O71" s="117" t="s">
        <v>1745</v>
      </c>
      <c r="P71" s="117" t="s">
        <v>1746</v>
      </c>
      <c r="Q71" s="118">
        <v>44374</v>
      </c>
      <c r="R71" s="118">
        <v>44393</v>
      </c>
      <c r="S71" s="117" t="s">
        <v>1747</v>
      </c>
      <c r="T71" s="118">
        <v>44393</v>
      </c>
      <c r="U71" s="120" t="s">
        <v>295</v>
      </c>
      <c r="V71" s="120" t="s">
        <v>295</v>
      </c>
      <c r="W71" s="121" t="s">
        <v>262</v>
      </c>
      <c r="X71" s="117" t="s">
        <v>1748</v>
      </c>
      <c r="Y71" s="117"/>
      <c r="Z71" s="117"/>
      <c r="AA71" s="117" t="s">
        <v>1</v>
      </c>
      <c r="AB71" s="117" t="s">
        <v>1749</v>
      </c>
      <c r="AC71" s="118">
        <v>44374</v>
      </c>
      <c r="AD71" s="117" t="s">
        <v>349</v>
      </c>
      <c r="AE71" s="117" t="s">
        <v>1721</v>
      </c>
      <c r="AF71" s="90" t="s">
        <v>1116</v>
      </c>
      <c r="AG71" s="90" t="s">
        <v>0</v>
      </c>
      <c r="AH71" s="93" t="s">
        <v>972</v>
      </c>
      <c r="AI71" s="93" t="b">
        <v>0</v>
      </c>
      <c r="AJ71" s="93"/>
      <c r="AK71" s="93" t="b">
        <v>0</v>
      </c>
      <c r="AL71" s="93"/>
      <c r="AM71" s="93" t="b">
        <v>0</v>
      </c>
      <c r="AN71" s="93" t="b">
        <v>0</v>
      </c>
      <c r="AO71" s="93" t="b">
        <v>0</v>
      </c>
      <c r="AP71" s="93" t="b">
        <v>0</v>
      </c>
      <c r="AQ71" s="93" t="b">
        <v>0</v>
      </c>
      <c r="AR71" s="93" t="b">
        <v>0</v>
      </c>
      <c r="AS71" s="93" t="b">
        <v>0</v>
      </c>
      <c r="AT71" s="107" t="s">
        <v>1751</v>
      </c>
      <c r="AU71" s="94">
        <v>9228291</v>
      </c>
      <c r="AV71" s="90" t="s">
        <v>730</v>
      </c>
      <c r="AW71" s="108" t="s">
        <v>951</v>
      </c>
      <c r="AX71" s="91">
        <v>44509</v>
      </c>
      <c r="AY71" s="108" t="s">
        <v>1101</v>
      </c>
      <c r="AZ71" s="90"/>
      <c r="BA71" s="90"/>
      <c r="BB71" s="90" t="s">
        <v>36</v>
      </c>
      <c r="BC71" s="90"/>
      <c r="BD71" s="90" t="s">
        <v>28</v>
      </c>
      <c r="BE71" s="90" t="s">
        <v>1750</v>
      </c>
      <c r="BF71" s="90"/>
      <c r="BG71" s="91"/>
      <c r="BH71" s="93" t="b">
        <v>0</v>
      </c>
      <c r="BI71" s="90"/>
      <c r="BJ71" s="90"/>
      <c r="BK71" s="90" t="s">
        <v>1382</v>
      </c>
      <c r="BL71" s="90" t="s">
        <v>1723</v>
      </c>
      <c r="BM71" s="90"/>
      <c r="BN71" s="90" t="s">
        <v>1724</v>
      </c>
      <c r="BO71" s="90" t="s">
        <v>1725</v>
      </c>
      <c r="BP71" s="90" t="s">
        <v>1439</v>
      </c>
      <c r="BQ71" s="90" t="s">
        <v>1440</v>
      </c>
      <c r="BR71" s="95"/>
      <c r="BS71" s="90" t="s">
        <v>1726</v>
      </c>
      <c r="BT71" s="90" t="s">
        <v>1727</v>
      </c>
      <c r="BU71" s="90" t="s">
        <v>1443</v>
      </c>
      <c r="BV71" s="90"/>
      <c r="BW71" s="90"/>
      <c r="BX71" s="90"/>
      <c r="BY71" s="90"/>
      <c r="BZ71" s="90"/>
      <c r="CA71" s="90"/>
      <c r="CB71" s="90"/>
      <c r="CC71" s="91"/>
      <c r="CD71" s="90"/>
      <c r="CE71" s="91"/>
      <c r="CF71" s="90"/>
      <c r="CG71" s="91"/>
      <c r="CH71" s="90"/>
      <c r="CI71" s="91"/>
      <c r="CJ71" s="90"/>
      <c r="CK71" s="91"/>
      <c r="CL71" s="90"/>
      <c r="CM71" s="91"/>
      <c r="CN71" s="96"/>
      <c r="CO71" s="91"/>
      <c r="CP71" s="90" t="s">
        <v>785</v>
      </c>
      <c r="CQ71" s="90" t="s">
        <v>1728</v>
      </c>
      <c r="CR71" s="90" t="s">
        <v>1445</v>
      </c>
      <c r="CS71" s="90">
        <v>10</v>
      </c>
      <c r="CT71" s="91">
        <v>44393</v>
      </c>
      <c r="CU71" s="90" t="s">
        <v>1721</v>
      </c>
      <c r="CV71" s="97">
        <v>44393</v>
      </c>
    </row>
    <row r="72" spans="1:100" ht="15" customHeight="1" x14ac:dyDescent="0.3">
      <c r="A72" s="117" t="s">
        <v>1752</v>
      </c>
      <c r="B72" s="118">
        <v>44374</v>
      </c>
      <c r="C72" s="117" t="s">
        <v>1394</v>
      </c>
      <c r="D72" s="117" t="s">
        <v>337</v>
      </c>
      <c r="E72" s="119" t="s">
        <v>1426</v>
      </c>
      <c r="F72" s="117" t="s">
        <v>1427</v>
      </c>
      <c r="G72" s="117" t="s">
        <v>365</v>
      </c>
      <c r="H72" s="117" t="s">
        <v>1715</v>
      </c>
      <c r="I72" s="117" t="s">
        <v>339</v>
      </c>
      <c r="J72" s="117" t="s">
        <v>1429</v>
      </c>
      <c r="K72" s="117" t="s">
        <v>29</v>
      </c>
      <c r="L72" s="117" t="s">
        <v>1753</v>
      </c>
      <c r="M72" s="119" t="s">
        <v>346</v>
      </c>
      <c r="N72" s="117" t="s">
        <v>1754</v>
      </c>
      <c r="O72" s="117" t="s">
        <v>1755</v>
      </c>
      <c r="P72" s="117" t="s">
        <v>1718</v>
      </c>
      <c r="Q72" s="118">
        <v>44374</v>
      </c>
      <c r="R72" s="118">
        <v>44374</v>
      </c>
      <c r="S72" s="117" t="s">
        <v>1718</v>
      </c>
      <c r="T72" s="118">
        <v>44374</v>
      </c>
      <c r="U72" s="120" t="s">
        <v>295</v>
      </c>
      <c r="V72" s="120" t="s">
        <v>295</v>
      </c>
      <c r="W72" s="121" t="s">
        <v>262</v>
      </c>
      <c r="X72" s="117" t="s">
        <v>1756</v>
      </c>
      <c r="Y72" s="117"/>
      <c r="Z72" s="117"/>
      <c r="AA72" s="117" t="s">
        <v>5</v>
      </c>
      <c r="AB72" s="117" t="s">
        <v>1718</v>
      </c>
      <c r="AC72" s="118">
        <v>44374</v>
      </c>
      <c r="AD72" s="117" t="s">
        <v>349</v>
      </c>
      <c r="AE72" s="117" t="s">
        <v>1721</v>
      </c>
      <c r="AF72" s="90" t="s">
        <v>1116</v>
      </c>
      <c r="AG72" s="90" t="s">
        <v>0</v>
      </c>
      <c r="AH72" s="93" t="s">
        <v>972</v>
      </c>
      <c r="AI72" s="93" t="b">
        <v>0</v>
      </c>
      <c r="AJ72" s="93"/>
      <c r="AK72" s="93" t="b">
        <v>0</v>
      </c>
      <c r="AL72" s="93"/>
      <c r="AM72" s="93" t="b">
        <v>0</v>
      </c>
      <c r="AN72" s="93" t="b">
        <v>0</v>
      </c>
      <c r="AO72" s="93" t="b">
        <v>0</v>
      </c>
      <c r="AP72" s="93" t="b">
        <v>0</v>
      </c>
      <c r="AQ72" s="93" t="b">
        <v>0</v>
      </c>
      <c r="AR72" s="93" t="b">
        <v>0</v>
      </c>
      <c r="AS72" s="93" t="b">
        <v>0</v>
      </c>
      <c r="AT72" s="107" t="s">
        <v>1758</v>
      </c>
      <c r="AU72" s="94">
        <v>9228291</v>
      </c>
      <c r="AV72" s="90" t="s">
        <v>730</v>
      </c>
      <c r="AW72" s="108" t="s">
        <v>951</v>
      </c>
      <c r="AX72" s="91">
        <v>44509</v>
      </c>
      <c r="AY72" s="108" t="s">
        <v>1101</v>
      </c>
      <c r="AZ72" s="90"/>
      <c r="BA72" s="90"/>
      <c r="BB72" s="90" t="s">
        <v>46</v>
      </c>
      <c r="BC72" s="90"/>
      <c r="BD72" s="90" t="s">
        <v>29</v>
      </c>
      <c r="BE72" s="90" t="s">
        <v>1757</v>
      </c>
      <c r="BF72" s="90"/>
      <c r="BG72" s="91"/>
      <c r="BH72" s="93" t="b">
        <v>0</v>
      </c>
      <c r="BI72" s="90"/>
      <c r="BJ72" s="90"/>
      <c r="BK72" s="90" t="s">
        <v>1382</v>
      </c>
      <c r="BL72" s="90" t="s">
        <v>1723</v>
      </c>
      <c r="BM72" s="90"/>
      <c r="BN72" s="90" t="s">
        <v>1724</v>
      </c>
      <c r="BO72" s="90" t="s">
        <v>1725</v>
      </c>
      <c r="BP72" s="90" t="s">
        <v>1439</v>
      </c>
      <c r="BQ72" s="90" t="s">
        <v>1440</v>
      </c>
      <c r="BR72" s="95"/>
      <c r="BS72" s="90" t="s">
        <v>1726</v>
      </c>
      <c r="BT72" s="90" t="s">
        <v>1727</v>
      </c>
      <c r="BU72" s="90" t="s">
        <v>1443</v>
      </c>
      <c r="BV72" s="90"/>
      <c r="BW72" s="90"/>
      <c r="BX72" s="90"/>
      <c r="BY72" s="90"/>
      <c r="BZ72" s="90"/>
      <c r="CA72" s="90"/>
      <c r="CB72" s="90"/>
      <c r="CC72" s="91"/>
      <c r="CD72" s="90"/>
      <c r="CE72" s="91"/>
      <c r="CF72" s="90"/>
      <c r="CG72" s="91"/>
      <c r="CH72" s="90"/>
      <c r="CI72" s="91"/>
      <c r="CJ72" s="90"/>
      <c r="CK72" s="91"/>
      <c r="CL72" s="90"/>
      <c r="CM72" s="91"/>
      <c r="CN72" s="96"/>
      <c r="CO72" s="91"/>
      <c r="CP72" s="90" t="s">
        <v>785</v>
      </c>
      <c r="CQ72" s="90" t="s">
        <v>1728</v>
      </c>
      <c r="CR72" s="90" t="s">
        <v>1445</v>
      </c>
      <c r="CS72" s="90">
        <v>8</v>
      </c>
      <c r="CT72" s="91">
        <v>44393</v>
      </c>
      <c r="CU72" s="90" t="s">
        <v>1721</v>
      </c>
      <c r="CV72" s="97">
        <v>44393</v>
      </c>
    </row>
    <row r="73" spans="1:100" ht="15" customHeight="1" x14ac:dyDescent="0.3">
      <c r="A73" s="117" t="s">
        <v>1759</v>
      </c>
      <c r="B73" s="118">
        <v>44374</v>
      </c>
      <c r="C73" s="117" t="s">
        <v>1421</v>
      </c>
      <c r="D73" s="117" t="s">
        <v>337</v>
      </c>
      <c r="E73" s="119" t="s">
        <v>1426</v>
      </c>
      <c r="F73" s="117" t="s">
        <v>1427</v>
      </c>
      <c r="G73" s="117" t="s">
        <v>365</v>
      </c>
      <c r="H73" s="117" t="s">
        <v>1715</v>
      </c>
      <c r="I73" s="117" t="s">
        <v>339</v>
      </c>
      <c r="J73" s="117" t="s">
        <v>1429</v>
      </c>
      <c r="K73" s="117" t="s">
        <v>30</v>
      </c>
      <c r="L73" s="117" t="s">
        <v>1457</v>
      </c>
      <c r="M73" s="119" t="s">
        <v>346</v>
      </c>
      <c r="N73" s="117" t="s">
        <v>1760</v>
      </c>
      <c r="O73" s="117" t="s">
        <v>1761</v>
      </c>
      <c r="P73" s="117" t="s">
        <v>1762</v>
      </c>
      <c r="Q73" s="118">
        <v>44382</v>
      </c>
      <c r="R73" s="118"/>
      <c r="S73" s="117" t="s">
        <v>1763</v>
      </c>
      <c r="T73" s="118">
        <v>44382</v>
      </c>
      <c r="U73" s="120" t="s">
        <v>295</v>
      </c>
      <c r="V73" s="120" t="s">
        <v>295</v>
      </c>
      <c r="W73" s="121" t="s">
        <v>262</v>
      </c>
      <c r="X73" s="117" t="s">
        <v>1764</v>
      </c>
      <c r="Y73" s="117"/>
      <c r="Z73" s="117"/>
      <c r="AA73" s="117" t="s">
        <v>2</v>
      </c>
      <c r="AB73" s="117" t="s">
        <v>1765</v>
      </c>
      <c r="AC73" s="118">
        <v>44382</v>
      </c>
      <c r="AD73" s="117" t="s">
        <v>349</v>
      </c>
      <c r="AE73" s="117" t="s">
        <v>1721</v>
      </c>
      <c r="AF73" s="90" t="s">
        <v>1116</v>
      </c>
      <c r="AG73" s="90" t="s">
        <v>0</v>
      </c>
      <c r="AH73" s="93" t="s">
        <v>972</v>
      </c>
      <c r="AI73" s="93" t="b">
        <v>0</v>
      </c>
      <c r="AJ73" s="93"/>
      <c r="AK73" s="93" t="b">
        <v>0</v>
      </c>
      <c r="AL73" s="93"/>
      <c r="AM73" s="93" t="b">
        <v>0</v>
      </c>
      <c r="AN73" s="93" t="b">
        <v>0</v>
      </c>
      <c r="AO73" s="93" t="b">
        <v>0</v>
      </c>
      <c r="AP73" s="93" t="b">
        <v>0</v>
      </c>
      <c r="AQ73" s="93" t="b">
        <v>0</v>
      </c>
      <c r="AR73" s="93" t="b">
        <v>0</v>
      </c>
      <c r="AS73" s="93" t="b">
        <v>0</v>
      </c>
      <c r="AT73" s="107" t="s">
        <v>1767</v>
      </c>
      <c r="AU73" s="94">
        <v>9228291</v>
      </c>
      <c r="AV73" s="90" t="s">
        <v>730</v>
      </c>
      <c r="AW73" s="108" t="s">
        <v>951</v>
      </c>
      <c r="AX73" s="91">
        <v>44509</v>
      </c>
      <c r="AY73" s="108" t="s">
        <v>1101</v>
      </c>
      <c r="AZ73" s="90" t="s">
        <v>582</v>
      </c>
      <c r="BA73" s="90"/>
      <c r="BB73" s="90" t="s">
        <v>40</v>
      </c>
      <c r="BC73" s="90"/>
      <c r="BD73" s="90" t="s">
        <v>30</v>
      </c>
      <c r="BE73" s="90" t="s">
        <v>1766</v>
      </c>
      <c r="BF73" s="90"/>
      <c r="BG73" s="91"/>
      <c r="BH73" s="93" t="b">
        <v>0</v>
      </c>
      <c r="BI73" s="90"/>
      <c r="BJ73" s="90"/>
      <c r="BK73" s="90" t="s">
        <v>1382</v>
      </c>
      <c r="BL73" s="90" t="s">
        <v>1723</v>
      </c>
      <c r="BM73" s="90"/>
      <c r="BN73" s="90" t="s">
        <v>1724</v>
      </c>
      <c r="BO73" s="90" t="s">
        <v>1725</v>
      </c>
      <c r="BP73" s="90" t="s">
        <v>1439</v>
      </c>
      <c r="BQ73" s="90" t="s">
        <v>1440</v>
      </c>
      <c r="BR73" s="95"/>
      <c r="BS73" s="90" t="s">
        <v>1726</v>
      </c>
      <c r="BT73" s="90" t="s">
        <v>1727</v>
      </c>
      <c r="BU73" s="90" t="s">
        <v>1443</v>
      </c>
      <c r="BV73" s="90"/>
      <c r="BW73" s="90"/>
      <c r="BX73" s="90"/>
      <c r="BY73" s="90"/>
      <c r="BZ73" s="90"/>
      <c r="CA73" s="90"/>
      <c r="CB73" s="90"/>
      <c r="CC73" s="91"/>
      <c r="CD73" s="90"/>
      <c r="CE73" s="91"/>
      <c r="CF73" s="90"/>
      <c r="CG73" s="91"/>
      <c r="CH73" s="90"/>
      <c r="CI73" s="91"/>
      <c r="CJ73" s="90"/>
      <c r="CK73" s="91"/>
      <c r="CL73" s="90"/>
      <c r="CM73" s="91"/>
      <c r="CN73" s="96"/>
      <c r="CO73" s="91"/>
      <c r="CP73" s="90" t="s">
        <v>785</v>
      </c>
      <c r="CQ73" s="90" t="s">
        <v>1728</v>
      </c>
      <c r="CR73" s="90" t="s">
        <v>1445</v>
      </c>
      <c r="CS73" s="90">
        <v>5</v>
      </c>
      <c r="CT73" s="91">
        <v>44393</v>
      </c>
      <c r="CU73" s="90" t="s">
        <v>1721</v>
      </c>
      <c r="CV73" s="97">
        <v>44393</v>
      </c>
    </row>
    <row r="74" spans="1:100" ht="15" customHeight="1" x14ac:dyDescent="0.3">
      <c r="A74" s="117" t="s">
        <v>1769</v>
      </c>
      <c r="B74" s="118">
        <v>44374</v>
      </c>
      <c r="C74" s="117" t="s">
        <v>1768</v>
      </c>
      <c r="D74" s="117" t="s">
        <v>337</v>
      </c>
      <c r="E74" s="119" t="s">
        <v>1426</v>
      </c>
      <c r="F74" s="117" t="s">
        <v>1427</v>
      </c>
      <c r="G74" s="117" t="s">
        <v>365</v>
      </c>
      <c r="H74" s="117" t="s">
        <v>1715</v>
      </c>
      <c r="I74" s="117" t="s">
        <v>339</v>
      </c>
      <c r="J74" s="117" t="s">
        <v>1429</v>
      </c>
      <c r="K74" s="117" t="s">
        <v>31</v>
      </c>
      <c r="L74" s="117" t="s">
        <v>1449</v>
      </c>
      <c r="M74" s="119" t="s">
        <v>346</v>
      </c>
      <c r="N74" s="117" t="s">
        <v>1770</v>
      </c>
      <c r="O74" s="117" t="s">
        <v>1771</v>
      </c>
      <c r="P74" s="117" t="s">
        <v>1772</v>
      </c>
      <c r="Q74" s="118">
        <v>44382</v>
      </c>
      <c r="R74" s="118"/>
      <c r="S74" s="117" t="s">
        <v>1773</v>
      </c>
      <c r="T74" s="118">
        <v>44382</v>
      </c>
      <c r="U74" s="120" t="s">
        <v>295</v>
      </c>
      <c r="V74" s="120" t="s">
        <v>295</v>
      </c>
      <c r="W74" s="121" t="s">
        <v>262</v>
      </c>
      <c r="X74" s="117" t="s">
        <v>1774</v>
      </c>
      <c r="Y74" s="117"/>
      <c r="Z74" s="117"/>
      <c r="AA74" s="117" t="s">
        <v>1</v>
      </c>
      <c r="AB74" s="117" t="s">
        <v>1775</v>
      </c>
      <c r="AC74" s="118">
        <v>44382</v>
      </c>
      <c r="AD74" s="117" t="s">
        <v>349</v>
      </c>
      <c r="AE74" s="117" t="s">
        <v>1721</v>
      </c>
      <c r="AF74" s="90" t="s">
        <v>1116</v>
      </c>
      <c r="AG74" s="90" t="s">
        <v>0</v>
      </c>
      <c r="AH74" s="93" t="s">
        <v>972</v>
      </c>
      <c r="AI74" s="93" t="b">
        <v>0</v>
      </c>
      <c r="AJ74" s="93"/>
      <c r="AK74" s="93" t="b">
        <v>0</v>
      </c>
      <c r="AL74" s="93"/>
      <c r="AM74" s="93" t="b">
        <v>0</v>
      </c>
      <c r="AN74" s="93" t="b">
        <v>0</v>
      </c>
      <c r="AO74" s="93" t="b">
        <v>0</v>
      </c>
      <c r="AP74" s="93" t="b">
        <v>0</v>
      </c>
      <c r="AQ74" s="93" t="b">
        <v>0</v>
      </c>
      <c r="AR74" s="93" t="b">
        <v>0</v>
      </c>
      <c r="AS74" s="93" t="b">
        <v>0</v>
      </c>
      <c r="AT74" s="107" t="s">
        <v>1777</v>
      </c>
      <c r="AU74" s="94">
        <v>9228291</v>
      </c>
      <c r="AV74" s="90" t="s">
        <v>730</v>
      </c>
      <c r="AW74" s="108" t="s">
        <v>951</v>
      </c>
      <c r="AX74" s="91">
        <v>44509</v>
      </c>
      <c r="AY74" s="108" t="s">
        <v>1101</v>
      </c>
      <c r="AZ74" s="90"/>
      <c r="BA74" s="90"/>
      <c r="BB74" s="90" t="s">
        <v>42</v>
      </c>
      <c r="BC74" s="90"/>
      <c r="BD74" s="90" t="s">
        <v>31</v>
      </c>
      <c r="BE74" s="90" t="s">
        <v>1776</v>
      </c>
      <c r="BF74" s="90"/>
      <c r="BG74" s="91"/>
      <c r="BH74" s="93" t="b">
        <v>0</v>
      </c>
      <c r="BI74" s="90"/>
      <c r="BJ74" s="90"/>
      <c r="BK74" s="90" t="s">
        <v>1382</v>
      </c>
      <c r="BL74" s="90" t="s">
        <v>1723</v>
      </c>
      <c r="BM74" s="90"/>
      <c r="BN74" s="90" t="s">
        <v>1724</v>
      </c>
      <c r="BO74" s="90" t="s">
        <v>1725</v>
      </c>
      <c r="BP74" s="90" t="s">
        <v>1439</v>
      </c>
      <c r="BQ74" s="90" t="s">
        <v>1440</v>
      </c>
      <c r="BR74" s="95"/>
      <c r="BS74" s="90" t="s">
        <v>1726</v>
      </c>
      <c r="BT74" s="90" t="s">
        <v>1727</v>
      </c>
      <c r="BU74" s="90" t="s">
        <v>1443</v>
      </c>
      <c r="BV74" s="90"/>
      <c r="BW74" s="90"/>
      <c r="BX74" s="90"/>
      <c r="BY74" s="90"/>
      <c r="BZ74" s="90"/>
      <c r="CA74" s="90"/>
      <c r="CB74" s="90"/>
      <c r="CC74" s="91"/>
      <c r="CD74" s="90"/>
      <c r="CE74" s="91"/>
      <c r="CF74" s="90"/>
      <c r="CG74" s="91"/>
      <c r="CH74" s="90"/>
      <c r="CI74" s="91"/>
      <c r="CJ74" s="90"/>
      <c r="CK74" s="91"/>
      <c r="CL74" s="90"/>
      <c r="CM74" s="91"/>
      <c r="CN74" s="96"/>
      <c r="CO74" s="91"/>
      <c r="CP74" s="90" t="s">
        <v>785</v>
      </c>
      <c r="CQ74" s="90" t="s">
        <v>1728</v>
      </c>
      <c r="CR74" s="90" t="s">
        <v>1445</v>
      </c>
      <c r="CS74" s="90">
        <v>2</v>
      </c>
      <c r="CT74" s="91">
        <v>44393</v>
      </c>
      <c r="CU74" s="90" t="s">
        <v>1721</v>
      </c>
      <c r="CV74" s="97">
        <v>44393</v>
      </c>
    </row>
    <row r="75" spans="1:100" ht="15" customHeight="1" x14ac:dyDescent="0.3">
      <c r="A75" s="117" t="s">
        <v>1779</v>
      </c>
      <c r="B75" s="118">
        <v>44362</v>
      </c>
      <c r="C75" s="117" t="s">
        <v>1778</v>
      </c>
      <c r="D75" s="117" t="s">
        <v>358</v>
      </c>
      <c r="E75" s="119" t="s">
        <v>1780</v>
      </c>
      <c r="F75" s="117" t="s">
        <v>1781</v>
      </c>
      <c r="G75" s="117" t="s">
        <v>379</v>
      </c>
      <c r="H75" s="117"/>
      <c r="I75" s="117" t="s">
        <v>360</v>
      </c>
      <c r="J75" s="117" t="s">
        <v>1782</v>
      </c>
      <c r="K75" s="117" t="s">
        <v>168</v>
      </c>
      <c r="L75" s="117" t="s">
        <v>1783</v>
      </c>
      <c r="M75" s="119" t="s">
        <v>346</v>
      </c>
      <c r="N75" s="117" t="s">
        <v>1784</v>
      </c>
      <c r="O75" s="117" t="s">
        <v>1785</v>
      </c>
      <c r="P75" s="117" t="s">
        <v>1786</v>
      </c>
      <c r="Q75" s="118">
        <v>44362</v>
      </c>
      <c r="R75" s="118"/>
      <c r="S75" s="117"/>
      <c r="T75" s="118"/>
      <c r="U75" s="120" t="s">
        <v>295</v>
      </c>
      <c r="V75" s="120" t="s">
        <v>295</v>
      </c>
      <c r="W75" s="121" t="s">
        <v>262</v>
      </c>
      <c r="X75" s="117" t="s">
        <v>1787</v>
      </c>
      <c r="Y75" s="117"/>
      <c r="Z75" s="117"/>
      <c r="AA75" s="117" t="s">
        <v>1</v>
      </c>
      <c r="AB75" s="117" t="s">
        <v>1788</v>
      </c>
      <c r="AC75" s="118">
        <v>44362</v>
      </c>
      <c r="AD75" s="117" t="s">
        <v>349</v>
      </c>
      <c r="AE75" s="117" t="s">
        <v>1789</v>
      </c>
      <c r="AF75" s="90" t="s">
        <v>1116</v>
      </c>
      <c r="AG75" s="90" t="s">
        <v>0</v>
      </c>
      <c r="AH75" s="93" t="s">
        <v>972</v>
      </c>
      <c r="AI75" s="93" t="b">
        <v>0</v>
      </c>
      <c r="AJ75" s="93"/>
      <c r="AK75" s="93" t="b">
        <v>0</v>
      </c>
      <c r="AL75" s="93"/>
      <c r="AM75" s="93" t="b">
        <v>0</v>
      </c>
      <c r="AN75" s="93" t="b">
        <v>0</v>
      </c>
      <c r="AO75" s="93" t="b">
        <v>0</v>
      </c>
      <c r="AP75" s="93" t="b">
        <v>0</v>
      </c>
      <c r="AQ75" s="93" t="b">
        <v>0</v>
      </c>
      <c r="AR75" s="93" t="b">
        <v>0</v>
      </c>
      <c r="AS75" s="93" t="b">
        <v>0</v>
      </c>
      <c r="AT75" s="107" t="s">
        <v>1801</v>
      </c>
      <c r="AU75" s="94">
        <v>9228291</v>
      </c>
      <c r="AV75" s="90" t="s">
        <v>730</v>
      </c>
      <c r="AW75" s="108" t="s">
        <v>951</v>
      </c>
      <c r="AX75" s="91">
        <v>44509</v>
      </c>
      <c r="AY75" s="108" t="s">
        <v>1101</v>
      </c>
      <c r="AZ75" s="90"/>
      <c r="BA75" s="90"/>
      <c r="BB75" s="90" t="s">
        <v>168</v>
      </c>
      <c r="BC75" s="90" t="s">
        <v>1790</v>
      </c>
      <c r="BD75" s="90" t="s">
        <v>801</v>
      </c>
      <c r="BE75" s="90"/>
      <c r="BF75" s="90"/>
      <c r="BG75" s="91"/>
      <c r="BH75" s="93" t="b">
        <v>0</v>
      </c>
      <c r="BI75" s="90"/>
      <c r="BJ75" s="90"/>
      <c r="BK75" s="90" t="s">
        <v>1382</v>
      </c>
      <c r="BL75" s="90" t="s">
        <v>1791</v>
      </c>
      <c r="BM75" s="90" t="s">
        <v>851</v>
      </c>
      <c r="BN75" s="90" t="s">
        <v>1792</v>
      </c>
      <c r="BO75" s="90" t="s">
        <v>1793</v>
      </c>
      <c r="BP75" s="90" t="s">
        <v>1794</v>
      </c>
      <c r="BQ75" s="90" t="s">
        <v>1795</v>
      </c>
      <c r="BR75" s="95">
        <v>7428.8193171296298</v>
      </c>
      <c r="BS75" s="90" t="s">
        <v>1796</v>
      </c>
      <c r="BT75" s="90" t="s">
        <v>1797</v>
      </c>
      <c r="BU75" s="90" t="s">
        <v>1443</v>
      </c>
      <c r="BV75" s="90" t="s">
        <v>1798</v>
      </c>
      <c r="BW75" s="90" t="s">
        <v>1799</v>
      </c>
      <c r="BX75" s="90" t="s">
        <v>1438</v>
      </c>
      <c r="BY75" s="90" t="s">
        <v>1800</v>
      </c>
      <c r="BZ75" s="90" t="s">
        <v>346</v>
      </c>
      <c r="CA75" s="90" t="s">
        <v>262</v>
      </c>
      <c r="CB75" s="90" t="s">
        <v>1789</v>
      </c>
      <c r="CC75" s="91"/>
      <c r="CD75" s="90" t="s">
        <v>341</v>
      </c>
      <c r="CE75" s="91">
        <v>44363</v>
      </c>
      <c r="CF75" s="90" t="s">
        <v>341</v>
      </c>
      <c r="CG75" s="91">
        <v>44363</v>
      </c>
      <c r="CH75" s="90" t="s">
        <v>262</v>
      </c>
      <c r="CI75" s="91"/>
      <c r="CJ75" s="90" t="s">
        <v>262</v>
      </c>
      <c r="CK75" s="91"/>
      <c r="CL75" s="90" t="s">
        <v>341</v>
      </c>
      <c r="CM75" s="91">
        <v>44363</v>
      </c>
      <c r="CN75" s="96"/>
      <c r="CO75" s="91"/>
      <c r="CP75" s="90"/>
      <c r="CQ75" s="90"/>
      <c r="CR75" s="90"/>
      <c r="CS75" s="90"/>
      <c r="CT75" s="91"/>
      <c r="CU75" s="90"/>
      <c r="CV75" s="97"/>
    </row>
    <row r="76" spans="1:100" ht="15" customHeight="1" x14ac:dyDescent="0.3">
      <c r="A76" s="117" t="s">
        <v>1803</v>
      </c>
      <c r="B76" s="118">
        <v>44362</v>
      </c>
      <c r="C76" s="117" t="s">
        <v>1802</v>
      </c>
      <c r="D76" s="117" t="s">
        <v>358</v>
      </c>
      <c r="E76" s="119" t="s">
        <v>1780</v>
      </c>
      <c r="F76" s="117" t="s">
        <v>1781</v>
      </c>
      <c r="G76" s="117" t="s">
        <v>379</v>
      </c>
      <c r="H76" s="117"/>
      <c r="I76" s="117" t="s">
        <v>360</v>
      </c>
      <c r="J76" s="117" t="s">
        <v>1782</v>
      </c>
      <c r="K76" s="117" t="s">
        <v>35</v>
      </c>
      <c r="L76" s="117" t="s">
        <v>1804</v>
      </c>
      <c r="M76" s="119" t="s">
        <v>346</v>
      </c>
      <c r="N76" s="117" t="s">
        <v>1805</v>
      </c>
      <c r="O76" s="117" t="s">
        <v>1806</v>
      </c>
      <c r="P76" s="117" t="s">
        <v>1807</v>
      </c>
      <c r="Q76" s="118">
        <v>44362</v>
      </c>
      <c r="R76" s="118"/>
      <c r="S76" s="117"/>
      <c r="T76" s="118"/>
      <c r="U76" s="120" t="s">
        <v>295</v>
      </c>
      <c r="V76" s="120" t="s">
        <v>295</v>
      </c>
      <c r="W76" s="121" t="s">
        <v>262</v>
      </c>
      <c r="X76" s="117" t="s">
        <v>1808</v>
      </c>
      <c r="Y76" s="117"/>
      <c r="Z76" s="117"/>
      <c r="AA76" s="117" t="s">
        <v>1</v>
      </c>
      <c r="AB76" s="117" t="s">
        <v>1809</v>
      </c>
      <c r="AC76" s="118">
        <v>44362</v>
      </c>
      <c r="AD76" s="117" t="s">
        <v>349</v>
      </c>
      <c r="AE76" s="117" t="s">
        <v>1789</v>
      </c>
      <c r="AF76" s="90" t="s">
        <v>1116</v>
      </c>
      <c r="AG76" s="90" t="s">
        <v>0</v>
      </c>
      <c r="AH76" s="93" t="s">
        <v>972</v>
      </c>
      <c r="AI76" s="93" t="b">
        <v>0</v>
      </c>
      <c r="AJ76" s="93"/>
      <c r="AK76" s="93" t="b">
        <v>0</v>
      </c>
      <c r="AL76" s="93"/>
      <c r="AM76" s="93" t="b">
        <v>0</v>
      </c>
      <c r="AN76" s="93" t="b">
        <v>0</v>
      </c>
      <c r="AO76" s="93" t="b">
        <v>0</v>
      </c>
      <c r="AP76" s="93" t="b">
        <v>0</v>
      </c>
      <c r="AQ76" s="93" t="b">
        <v>0</v>
      </c>
      <c r="AR76" s="93" t="b">
        <v>0</v>
      </c>
      <c r="AS76" s="93" t="b">
        <v>0</v>
      </c>
      <c r="AT76" s="107" t="s">
        <v>1811</v>
      </c>
      <c r="AU76" s="94">
        <v>9228291</v>
      </c>
      <c r="AV76" s="90" t="s">
        <v>730</v>
      </c>
      <c r="AW76" s="108" t="s">
        <v>951</v>
      </c>
      <c r="AX76" s="91">
        <v>44509</v>
      </c>
      <c r="AY76" s="108" t="s">
        <v>1101</v>
      </c>
      <c r="AZ76" s="90"/>
      <c r="BA76" s="90"/>
      <c r="BB76" s="90" t="s">
        <v>35</v>
      </c>
      <c r="BC76" s="90" t="s">
        <v>1810</v>
      </c>
      <c r="BD76" s="90" t="s">
        <v>757</v>
      </c>
      <c r="BE76" s="90"/>
      <c r="BF76" s="90"/>
      <c r="BG76" s="91"/>
      <c r="BH76" s="93" t="b">
        <v>0</v>
      </c>
      <c r="BI76" s="90"/>
      <c r="BJ76" s="90"/>
      <c r="BK76" s="90" t="s">
        <v>1382</v>
      </c>
      <c r="BL76" s="90" t="s">
        <v>1791</v>
      </c>
      <c r="BM76" s="90" t="s">
        <v>851</v>
      </c>
      <c r="BN76" s="90" t="s">
        <v>1792</v>
      </c>
      <c r="BO76" s="90" t="s">
        <v>1793</v>
      </c>
      <c r="BP76" s="90" t="s">
        <v>1794</v>
      </c>
      <c r="BQ76" s="90" t="s">
        <v>1795</v>
      </c>
      <c r="BR76" s="95">
        <v>7428.8193287037038</v>
      </c>
      <c r="BS76" s="90" t="s">
        <v>1796</v>
      </c>
      <c r="BT76" s="90" t="s">
        <v>1797</v>
      </c>
      <c r="BU76" s="90" t="s">
        <v>1443</v>
      </c>
      <c r="BV76" s="90" t="s">
        <v>1798</v>
      </c>
      <c r="BW76" s="90" t="s">
        <v>1799</v>
      </c>
      <c r="BX76" s="90" t="s">
        <v>1438</v>
      </c>
      <c r="BY76" s="90" t="s">
        <v>1800</v>
      </c>
      <c r="BZ76" s="90" t="s">
        <v>346</v>
      </c>
      <c r="CA76" s="90" t="s">
        <v>262</v>
      </c>
      <c r="CB76" s="90" t="s">
        <v>1789</v>
      </c>
      <c r="CC76" s="91"/>
      <c r="CD76" s="90" t="s">
        <v>341</v>
      </c>
      <c r="CE76" s="91">
        <v>44363</v>
      </c>
      <c r="CF76" s="90" t="s">
        <v>341</v>
      </c>
      <c r="CG76" s="91">
        <v>44363</v>
      </c>
      <c r="CH76" s="90" t="s">
        <v>262</v>
      </c>
      <c r="CI76" s="91"/>
      <c r="CJ76" s="90" t="s">
        <v>262</v>
      </c>
      <c r="CK76" s="91"/>
      <c r="CL76" s="90" t="s">
        <v>341</v>
      </c>
      <c r="CM76" s="91">
        <v>44363</v>
      </c>
      <c r="CN76" s="96"/>
      <c r="CO76" s="91"/>
      <c r="CP76" s="90"/>
      <c r="CQ76" s="90"/>
      <c r="CR76" s="90"/>
      <c r="CS76" s="90"/>
      <c r="CT76" s="91"/>
      <c r="CU76" s="90"/>
      <c r="CV76" s="97"/>
    </row>
    <row r="77" spans="1:100" ht="15" customHeight="1" x14ac:dyDescent="0.3">
      <c r="A77" s="117" t="s">
        <v>1813</v>
      </c>
      <c r="B77" s="118">
        <v>44362</v>
      </c>
      <c r="C77" s="117" t="s">
        <v>1812</v>
      </c>
      <c r="D77" s="117" t="s">
        <v>358</v>
      </c>
      <c r="E77" s="119" t="s">
        <v>1780</v>
      </c>
      <c r="F77" s="117" t="s">
        <v>1781</v>
      </c>
      <c r="G77" s="117" t="s">
        <v>379</v>
      </c>
      <c r="H77" s="117"/>
      <c r="I77" s="117" t="s">
        <v>360</v>
      </c>
      <c r="J77" s="117" t="s">
        <v>1782</v>
      </c>
      <c r="K77" s="117" t="s">
        <v>41</v>
      </c>
      <c r="L77" s="117" t="s">
        <v>1814</v>
      </c>
      <c r="M77" s="119" t="s">
        <v>346</v>
      </c>
      <c r="N77" s="117" t="s">
        <v>1815</v>
      </c>
      <c r="O77" s="117" t="s">
        <v>1816</v>
      </c>
      <c r="P77" s="117" t="s">
        <v>1817</v>
      </c>
      <c r="Q77" s="118">
        <v>44362</v>
      </c>
      <c r="R77" s="118"/>
      <c r="S77" s="117"/>
      <c r="T77" s="118"/>
      <c r="U77" s="120" t="s">
        <v>295</v>
      </c>
      <c r="V77" s="120" t="s">
        <v>295</v>
      </c>
      <c r="W77" s="121" t="s">
        <v>262</v>
      </c>
      <c r="X77" s="117" t="s">
        <v>1818</v>
      </c>
      <c r="Y77" s="117"/>
      <c r="Z77" s="117"/>
      <c r="AA77" s="117" t="s">
        <v>167</v>
      </c>
      <c r="AB77" s="117" t="s">
        <v>1818</v>
      </c>
      <c r="AC77" s="118">
        <v>44362</v>
      </c>
      <c r="AD77" s="117" t="s">
        <v>349</v>
      </c>
      <c r="AE77" s="117" t="s">
        <v>1789</v>
      </c>
      <c r="AF77" s="90" t="s">
        <v>1116</v>
      </c>
      <c r="AG77" s="90" t="s">
        <v>0</v>
      </c>
      <c r="AH77" s="93" t="s">
        <v>972</v>
      </c>
      <c r="AI77" s="93" t="b">
        <v>0</v>
      </c>
      <c r="AJ77" s="93"/>
      <c r="AK77" s="93" t="b">
        <v>0</v>
      </c>
      <c r="AL77" s="93"/>
      <c r="AM77" s="93" t="b">
        <v>0</v>
      </c>
      <c r="AN77" s="93" t="b">
        <v>0</v>
      </c>
      <c r="AO77" s="93" t="b">
        <v>0</v>
      </c>
      <c r="AP77" s="93" t="b">
        <v>0</v>
      </c>
      <c r="AQ77" s="93" t="b">
        <v>0</v>
      </c>
      <c r="AR77" s="93" t="b">
        <v>0</v>
      </c>
      <c r="AS77" s="93" t="b">
        <v>0</v>
      </c>
      <c r="AT77" s="107" t="s">
        <v>1819</v>
      </c>
      <c r="AU77" s="94">
        <v>9228291</v>
      </c>
      <c r="AV77" s="90" t="s">
        <v>730</v>
      </c>
      <c r="AW77" s="108" t="s">
        <v>951</v>
      </c>
      <c r="AX77" s="91">
        <v>44509</v>
      </c>
      <c r="AY77" s="108" t="s">
        <v>1101</v>
      </c>
      <c r="AZ77" s="90"/>
      <c r="BA77" s="90"/>
      <c r="BB77" s="90" t="s">
        <v>41</v>
      </c>
      <c r="BC77" s="90" t="s">
        <v>1810</v>
      </c>
      <c r="BD77" s="90" t="s">
        <v>28</v>
      </c>
      <c r="BE77" s="90"/>
      <c r="BF77" s="90"/>
      <c r="BG77" s="91"/>
      <c r="BH77" s="93" t="b">
        <v>0</v>
      </c>
      <c r="BI77" s="90"/>
      <c r="BJ77" s="90"/>
      <c r="BK77" s="90" t="s">
        <v>1382</v>
      </c>
      <c r="BL77" s="90" t="s">
        <v>1791</v>
      </c>
      <c r="BM77" s="90" t="s">
        <v>851</v>
      </c>
      <c r="BN77" s="90" t="s">
        <v>1792</v>
      </c>
      <c r="BO77" s="90" t="s">
        <v>1793</v>
      </c>
      <c r="BP77" s="90" t="s">
        <v>1794</v>
      </c>
      <c r="BQ77" s="90" t="s">
        <v>1795</v>
      </c>
      <c r="BR77" s="95">
        <v>7428.8193402777779</v>
      </c>
      <c r="BS77" s="90" t="s">
        <v>1796</v>
      </c>
      <c r="BT77" s="90" t="s">
        <v>1797</v>
      </c>
      <c r="BU77" s="90" t="s">
        <v>1443</v>
      </c>
      <c r="BV77" s="90" t="s">
        <v>1798</v>
      </c>
      <c r="BW77" s="90" t="s">
        <v>1799</v>
      </c>
      <c r="BX77" s="90" t="s">
        <v>1438</v>
      </c>
      <c r="BY77" s="90" t="s">
        <v>1800</v>
      </c>
      <c r="BZ77" s="90" t="s">
        <v>346</v>
      </c>
      <c r="CA77" s="90" t="s">
        <v>262</v>
      </c>
      <c r="CB77" s="90" t="s">
        <v>1789</v>
      </c>
      <c r="CC77" s="91"/>
      <c r="CD77" s="90" t="s">
        <v>341</v>
      </c>
      <c r="CE77" s="91">
        <v>44363</v>
      </c>
      <c r="CF77" s="90" t="s">
        <v>341</v>
      </c>
      <c r="CG77" s="91">
        <v>44363</v>
      </c>
      <c r="CH77" s="90" t="s">
        <v>262</v>
      </c>
      <c r="CI77" s="91"/>
      <c r="CJ77" s="90" t="s">
        <v>262</v>
      </c>
      <c r="CK77" s="91"/>
      <c r="CL77" s="90" t="s">
        <v>341</v>
      </c>
      <c r="CM77" s="91">
        <v>44363</v>
      </c>
      <c r="CN77" s="96"/>
      <c r="CO77" s="91"/>
      <c r="CP77" s="90"/>
      <c r="CQ77" s="90"/>
      <c r="CR77" s="90"/>
      <c r="CS77" s="90"/>
      <c r="CT77" s="91"/>
      <c r="CU77" s="90"/>
      <c r="CV77" s="97"/>
    </row>
    <row r="78" spans="1:100" ht="15" customHeight="1" x14ac:dyDescent="0.3">
      <c r="A78" s="117" t="s">
        <v>1821</v>
      </c>
      <c r="B78" s="118">
        <v>44362</v>
      </c>
      <c r="C78" s="117" t="s">
        <v>1820</v>
      </c>
      <c r="D78" s="117" t="s">
        <v>358</v>
      </c>
      <c r="E78" s="119" t="s">
        <v>1780</v>
      </c>
      <c r="F78" s="117" t="s">
        <v>1781</v>
      </c>
      <c r="G78" s="117" t="s">
        <v>379</v>
      </c>
      <c r="H78" s="117"/>
      <c r="I78" s="117" t="s">
        <v>360</v>
      </c>
      <c r="J78" s="117" t="s">
        <v>1782</v>
      </c>
      <c r="K78" s="117" t="s">
        <v>35</v>
      </c>
      <c r="L78" s="117" t="s">
        <v>1804</v>
      </c>
      <c r="M78" s="119" t="s">
        <v>346</v>
      </c>
      <c r="N78" s="117" t="s">
        <v>1822</v>
      </c>
      <c r="O78" s="117" t="s">
        <v>1823</v>
      </c>
      <c r="P78" s="117" t="s">
        <v>1824</v>
      </c>
      <c r="Q78" s="118">
        <v>44363</v>
      </c>
      <c r="R78" s="118"/>
      <c r="S78" s="117"/>
      <c r="T78" s="118"/>
      <c r="U78" s="120" t="s">
        <v>295</v>
      </c>
      <c r="V78" s="120" t="s">
        <v>295</v>
      </c>
      <c r="W78" s="121" t="s">
        <v>262</v>
      </c>
      <c r="X78" s="117" t="s">
        <v>1825</v>
      </c>
      <c r="Y78" s="117"/>
      <c r="Z78" s="117"/>
      <c r="AA78" s="117" t="s">
        <v>4</v>
      </c>
      <c r="AB78" s="117" t="s">
        <v>1826</v>
      </c>
      <c r="AC78" s="118">
        <v>44363</v>
      </c>
      <c r="AD78" s="117" t="s">
        <v>349</v>
      </c>
      <c r="AE78" s="117" t="s">
        <v>1789</v>
      </c>
      <c r="AF78" s="90" t="s">
        <v>1116</v>
      </c>
      <c r="AG78" s="90" t="s">
        <v>0</v>
      </c>
      <c r="AH78" s="93" t="s">
        <v>972</v>
      </c>
      <c r="AI78" s="93" t="b">
        <v>0</v>
      </c>
      <c r="AJ78" s="93"/>
      <c r="AK78" s="93" t="b">
        <v>0</v>
      </c>
      <c r="AL78" s="93"/>
      <c r="AM78" s="93" t="b">
        <v>0</v>
      </c>
      <c r="AN78" s="93" t="b">
        <v>0</v>
      </c>
      <c r="AO78" s="93" t="b">
        <v>0</v>
      </c>
      <c r="AP78" s="93" t="b">
        <v>0</v>
      </c>
      <c r="AQ78" s="93" t="b">
        <v>0</v>
      </c>
      <c r="AR78" s="93" t="b">
        <v>0</v>
      </c>
      <c r="AS78" s="93" t="b">
        <v>0</v>
      </c>
      <c r="AT78" s="107" t="s">
        <v>1827</v>
      </c>
      <c r="AU78" s="94">
        <v>9228291</v>
      </c>
      <c r="AV78" s="90" t="s">
        <v>730</v>
      </c>
      <c r="AW78" s="108" t="s">
        <v>951</v>
      </c>
      <c r="AX78" s="91">
        <v>44509</v>
      </c>
      <c r="AY78" s="108" t="s">
        <v>1101</v>
      </c>
      <c r="AZ78" s="90"/>
      <c r="BA78" s="90"/>
      <c r="BB78" s="90" t="s">
        <v>35</v>
      </c>
      <c r="BC78" s="90" t="s">
        <v>1790</v>
      </c>
      <c r="BD78" s="90" t="s">
        <v>28</v>
      </c>
      <c r="BE78" s="90"/>
      <c r="BF78" s="90"/>
      <c r="BG78" s="91"/>
      <c r="BH78" s="93" t="b">
        <v>0</v>
      </c>
      <c r="BI78" s="90"/>
      <c r="BJ78" s="90"/>
      <c r="BK78" s="90" t="s">
        <v>1382</v>
      </c>
      <c r="BL78" s="90" t="s">
        <v>1791</v>
      </c>
      <c r="BM78" s="90" t="s">
        <v>851</v>
      </c>
      <c r="BN78" s="90" t="s">
        <v>1792</v>
      </c>
      <c r="BO78" s="90" t="s">
        <v>1793</v>
      </c>
      <c r="BP78" s="90" t="s">
        <v>1794</v>
      </c>
      <c r="BQ78" s="90" t="s">
        <v>1795</v>
      </c>
      <c r="BR78" s="95">
        <v>7428.8193518518519</v>
      </c>
      <c r="BS78" s="90" t="s">
        <v>1796</v>
      </c>
      <c r="BT78" s="90" t="s">
        <v>1797</v>
      </c>
      <c r="BU78" s="90" t="s">
        <v>1443</v>
      </c>
      <c r="BV78" s="90" t="s">
        <v>1798</v>
      </c>
      <c r="BW78" s="90" t="s">
        <v>1799</v>
      </c>
      <c r="BX78" s="90" t="s">
        <v>1438</v>
      </c>
      <c r="BY78" s="90" t="s">
        <v>1800</v>
      </c>
      <c r="BZ78" s="90" t="s">
        <v>346</v>
      </c>
      <c r="CA78" s="90" t="s">
        <v>262</v>
      </c>
      <c r="CB78" s="90" t="s">
        <v>1789</v>
      </c>
      <c r="CC78" s="91"/>
      <c r="CD78" s="90" t="s">
        <v>341</v>
      </c>
      <c r="CE78" s="91">
        <v>44363</v>
      </c>
      <c r="CF78" s="90" t="s">
        <v>341</v>
      </c>
      <c r="CG78" s="91">
        <v>44363</v>
      </c>
      <c r="CH78" s="90" t="s">
        <v>262</v>
      </c>
      <c r="CI78" s="91"/>
      <c r="CJ78" s="90" t="s">
        <v>262</v>
      </c>
      <c r="CK78" s="91"/>
      <c r="CL78" s="90" t="s">
        <v>341</v>
      </c>
      <c r="CM78" s="91">
        <v>44363</v>
      </c>
      <c r="CN78" s="96"/>
      <c r="CO78" s="91"/>
      <c r="CP78" s="90"/>
      <c r="CQ78" s="90"/>
      <c r="CR78" s="90"/>
      <c r="CS78" s="90"/>
      <c r="CT78" s="91"/>
      <c r="CU78" s="90"/>
      <c r="CV78" s="97"/>
    </row>
    <row r="79" spans="1:100" ht="15" customHeight="1" x14ac:dyDescent="0.3">
      <c r="A79" s="117" t="s">
        <v>1829</v>
      </c>
      <c r="B79" s="118">
        <v>44362</v>
      </c>
      <c r="C79" s="117" t="s">
        <v>1828</v>
      </c>
      <c r="D79" s="117" t="s">
        <v>358</v>
      </c>
      <c r="E79" s="119" t="s">
        <v>1780</v>
      </c>
      <c r="F79" s="117" t="s">
        <v>1781</v>
      </c>
      <c r="G79" s="117" t="s">
        <v>379</v>
      </c>
      <c r="H79" s="117"/>
      <c r="I79" s="117" t="s">
        <v>360</v>
      </c>
      <c r="J79" s="117" t="s">
        <v>1782</v>
      </c>
      <c r="K79" s="117" t="s">
        <v>38</v>
      </c>
      <c r="L79" s="117" t="s">
        <v>1830</v>
      </c>
      <c r="M79" s="119" t="s">
        <v>346</v>
      </c>
      <c r="N79" s="117" t="s">
        <v>1831</v>
      </c>
      <c r="O79" s="117" t="s">
        <v>1832</v>
      </c>
      <c r="P79" s="117" t="s">
        <v>1786</v>
      </c>
      <c r="Q79" s="118">
        <v>44362</v>
      </c>
      <c r="R79" s="118"/>
      <c r="S79" s="117"/>
      <c r="T79" s="118"/>
      <c r="U79" s="120" t="s">
        <v>295</v>
      </c>
      <c r="V79" s="120" t="s">
        <v>295</v>
      </c>
      <c r="W79" s="121" t="s">
        <v>262</v>
      </c>
      <c r="X79" s="117" t="s">
        <v>1833</v>
      </c>
      <c r="Y79" s="117"/>
      <c r="Z79" s="117"/>
      <c r="AA79" s="117" t="s">
        <v>1</v>
      </c>
      <c r="AB79" s="117" t="s">
        <v>1833</v>
      </c>
      <c r="AC79" s="118">
        <v>44362</v>
      </c>
      <c r="AD79" s="117" t="s">
        <v>349</v>
      </c>
      <c r="AE79" s="117" t="s">
        <v>1789</v>
      </c>
      <c r="AF79" s="90" t="s">
        <v>1116</v>
      </c>
      <c r="AG79" s="90" t="s">
        <v>0</v>
      </c>
      <c r="AH79" s="93" t="s">
        <v>972</v>
      </c>
      <c r="AI79" s="93" t="b">
        <v>0</v>
      </c>
      <c r="AJ79" s="93"/>
      <c r="AK79" s="93" t="b">
        <v>0</v>
      </c>
      <c r="AL79" s="93"/>
      <c r="AM79" s="93" t="b">
        <v>0</v>
      </c>
      <c r="AN79" s="93" t="b">
        <v>0</v>
      </c>
      <c r="AO79" s="93" t="b">
        <v>0</v>
      </c>
      <c r="AP79" s="93" t="b">
        <v>0</v>
      </c>
      <c r="AQ79" s="93" t="b">
        <v>0</v>
      </c>
      <c r="AR79" s="93" t="b">
        <v>0</v>
      </c>
      <c r="AS79" s="93" t="b">
        <v>0</v>
      </c>
      <c r="AT79" s="107" t="s">
        <v>1834</v>
      </c>
      <c r="AU79" s="94">
        <v>9228291</v>
      </c>
      <c r="AV79" s="90" t="s">
        <v>730</v>
      </c>
      <c r="AW79" s="108" t="s">
        <v>951</v>
      </c>
      <c r="AX79" s="91">
        <v>44509</v>
      </c>
      <c r="AY79" s="108" t="s">
        <v>1101</v>
      </c>
      <c r="AZ79" s="90"/>
      <c r="BA79" s="90"/>
      <c r="BB79" s="90" t="s">
        <v>38</v>
      </c>
      <c r="BC79" s="90" t="s">
        <v>1790</v>
      </c>
      <c r="BD79" s="90" t="s">
        <v>756</v>
      </c>
      <c r="BE79" s="90"/>
      <c r="BF79" s="90"/>
      <c r="BG79" s="91"/>
      <c r="BH79" s="93" t="b">
        <v>0</v>
      </c>
      <c r="BI79" s="90"/>
      <c r="BJ79" s="90"/>
      <c r="BK79" s="90" t="s">
        <v>1382</v>
      </c>
      <c r="BL79" s="90" t="s">
        <v>1791</v>
      </c>
      <c r="BM79" s="90" t="s">
        <v>851</v>
      </c>
      <c r="BN79" s="90" t="s">
        <v>1792</v>
      </c>
      <c r="BO79" s="90" t="s">
        <v>1793</v>
      </c>
      <c r="BP79" s="90" t="s">
        <v>1794</v>
      </c>
      <c r="BQ79" s="90" t="s">
        <v>1795</v>
      </c>
      <c r="BR79" s="95">
        <v>7428.819363425926</v>
      </c>
      <c r="BS79" s="90" t="s">
        <v>1796</v>
      </c>
      <c r="BT79" s="90" t="s">
        <v>1797</v>
      </c>
      <c r="BU79" s="90" t="s">
        <v>1443</v>
      </c>
      <c r="BV79" s="90" t="s">
        <v>1798</v>
      </c>
      <c r="BW79" s="90" t="s">
        <v>1799</v>
      </c>
      <c r="BX79" s="90" t="s">
        <v>1438</v>
      </c>
      <c r="BY79" s="90" t="s">
        <v>1800</v>
      </c>
      <c r="BZ79" s="90" t="s">
        <v>346</v>
      </c>
      <c r="CA79" s="90" t="s">
        <v>262</v>
      </c>
      <c r="CB79" s="90" t="s">
        <v>1789</v>
      </c>
      <c r="CC79" s="91"/>
      <c r="CD79" s="90" t="s">
        <v>341</v>
      </c>
      <c r="CE79" s="91">
        <v>44363</v>
      </c>
      <c r="CF79" s="90" t="s">
        <v>341</v>
      </c>
      <c r="CG79" s="91">
        <v>44363</v>
      </c>
      <c r="CH79" s="90" t="s">
        <v>262</v>
      </c>
      <c r="CI79" s="91"/>
      <c r="CJ79" s="90" t="s">
        <v>262</v>
      </c>
      <c r="CK79" s="91"/>
      <c r="CL79" s="90" t="s">
        <v>341</v>
      </c>
      <c r="CM79" s="91">
        <v>44363</v>
      </c>
      <c r="CN79" s="96"/>
      <c r="CO79" s="91"/>
      <c r="CP79" s="90"/>
      <c r="CQ79" s="90"/>
      <c r="CR79" s="90"/>
      <c r="CS79" s="90"/>
      <c r="CT79" s="91"/>
      <c r="CU79" s="90"/>
      <c r="CV79" s="97"/>
    </row>
    <row r="80" spans="1:100" ht="15" customHeight="1" x14ac:dyDescent="0.3">
      <c r="A80" s="117" t="s">
        <v>1836</v>
      </c>
      <c r="B80" s="118">
        <v>44362</v>
      </c>
      <c r="C80" s="117" t="s">
        <v>1835</v>
      </c>
      <c r="D80" s="117" t="s">
        <v>358</v>
      </c>
      <c r="E80" s="119" t="s">
        <v>1780</v>
      </c>
      <c r="F80" s="117" t="s">
        <v>1781</v>
      </c>
      <c r="G80" s="117" t="s">
        <v>379</v>
      </c>
      <c r="H80" s="117"/>
      <c r="I80" s="117" t="s">
        <v>360</v>
      </c>
      <c r="J80" s="117" t="s">
        <v>1782</v>
      </c>
      <c r="K80" s="117" t="s">
        <v>38</v>
      </c>
      <c r="L80" s="117" t="s">
        <v>1830</v>
      </c>
      <c r="M80" s="119" t="s">
        <v>346</v>
      </c>
      <c r="N80" s="117" t="s">
        <v>1837</v>
      </c>
      <c r="O80" s="117" t="s">
        <v>1838</v>
      </c>
      <c r="P80" s="117" t="s">
        <v>1786</v>
      </c>
      <c r="Q80" s="118">
        <v>44362</v>
      </c>
      <c r="R80" s="118"/>
      <c r="S80" s="117"/>
      <c r="T80" s="118"/>
      <c r="U80" s="120" t="s">
        <v>295</v>
      </c>
      <c r="V80" s="120" t="s">
        <v>295</v>
      </c>
      <c r="W80" s="121" t="s">
        <v>262</v>
      </c>
      <c r="X80" s="117" t="s">
        <v>1839</v>
      </c>
      <c r="Y80" s="117"/>
      <c r="Z80" s="117"/>
      <c r="AA80" s="117" t="s">
        <v>1</v>
      </c>
      <c r="AB80" s="117" t="s">
        <v>1839</v>
      </c>
      <c r="AC80" s="118">
        <v>44362</v>
      </c>
      <c r="AD80" s="117" t="s">
        <v>349</v>
      </c>
      <c r="AE80" s="117" t="s">
        <v>1789</v>
      </c>
      <c r="AF80" s="90" t="s">
        <v>1116</v>
      </c>
      <c r="AG80" s="90" t="s">
        <v>0</v>
      </c>
      <c r="AH80" s="93" t="s">
        <v>972</v>
      </c>
      <c r="AI80" s="93" t="b">
        <v>0</v>
      </c>
      <c r="AJ80" s="93"/>
      <c r="AK80" s="93" t="b">
        <v>0</v>
      </c>
      <c r="AL80" s="93"/>
      <c r="AM80" s="93" t="b">
        <v>0</v>
      </c>
      <c r="AN80" s="93" t="b">
        <v>0</v>
      </c>
      <c r="AO80" s="93" t="b">
        <v>0</v>
      </c>
      <c r="AP80" s="93" t="b">
        <v>0</v>
      </c>
      <c r="AQ80" s="93" t="b">
        <v>0</v>
      </c>
      <c r="AR80" s="93" t="b">
        <v>0</v>
      </c>
      <c r="AS80" s="93" t="b">
        <v>0</v>
      </c>
      <c r="AT80" s="107" t="s">
        <v>1840</v>
      </c>
      <c r="AU80" s="94">
        <v>9228291</v>
      </c>
      <c r="AV80" s="90" t="s">
        <v>730</v>
      </c>
      <c r="AW80" s="108" t="s">
        <v>951</v>
      </c>
      <c r="AX80" s="91">
        <v>44509</v>
      </c>
      <c r="AY80" s="108" t="s">
        <v>1101</v>
      </c>
      <c r="AZ80" s="90"/>
      <c r="BA80" s="90"/>
      <c r="BB80" s="90" t="s">
        <v>38</v>
      </c>
      <c r="BC80" s="90" t="s">
        <v>1790</v>
      </c>
      <c r="BD80" s="90" t="s">
        <v>756</v>
      </c>
      <c r="BE80" s="90"/>
      <c r="BF80" s="90"/>
      <c r="BG80" s="91"/>
      <c r="BH80" s="93" t="b">
        <v>0</v>
      </c>
      <c r="BI80" s="90"/>
      <c r="BJ80" s="90"/>
      <c r="BK80" s="90" t="s">
        <v>1382</v>
      </c>
      <c r="BL80" s="90" t="s">
        <v>1791</v>
      </c>
      <c r="BM80" s="90" t="s">
        <v>851</v>
      </c>
      <c r="BN80" s="90" t="s">
        <v>1792</v>
      </c>
      <c r="BO80" s="90" t="s">
        <v>1793</v>
      </c>
      <c r="BP80" s="90" t="s">
        <v>1794</v>
      </c>
      <c r="BQ80" s="90" t="s">
        <v>1795</v>
      </c>
      <c r="BR80" s="95">
        <v>7428.819375</v>
      </c>
      <c r="BS80" s="90" t="s">
        <v>1796</v>
      </c>
      <c r="BT80" s="90" t="s">
        <v>1797</v>
      </c>
      <c r="BU80" s="90" t="s">
        <v>1443</v>
      </c>
      <c r="BV80" s="90" t="s">
        <v>1798</v>
      </c>
      <c r="BW80" s="90" t="s">
        <v>1799</v>
      </c>
      <c r="BX80" s="90" t="s">
        <v>1438</v>
      </c>
      <c r="BY80" s="90" t="s">
        <v>1800</v>
      </c>
      <c r="BZ80" s="90" t="s">
        <v>346</v>
      </c>
      <c r="CA80" s="90" t="s">
        <v>262</v>
      </c>
      <c r="CB80" s="90" t="s">
        <v>1789</v>
      </c>
      <c r="CC80" s="91"/>
      <c r="CD80" s="90" t="s">
        <v>341</v>
      </c>
      <c r="CE80" s="91">
        <v>44363</v>
      </c>
      <c r="CF80" s="90" t="s">
        <v>341</v>
      </c>
      <c r="CG80" s="91">
        <v>44363</v>
      </c>
      <c r="CH80" s="90" t="s">
        <v>262</v>
      </c>
      <c r="CI80" s="91"/>
      <c r="CJ80" s="90" t="s">
        <v>262</v>
      </c>
      <c r="CK80" s="91"/>
      <c r="CL80" s="90" t="s">
        <v>341</v>
      </c>
      <c r="CM80" s="91">
        <v>44363</v>
      </c>
      <c r="CN80" s="96"/>
      <c r="CO80" s="91"/>
      <c r="CP80" s="90"/>
      <c r="CQ80" s="90"/>
      <c r="CR80" s="90"/>
      <c r="CS80" s="90"/>
      <c r="CT80" s="91"/>
      <c r="CU80" s="90"/>
      <c r="CV80" s="97"/>
    </row>
    <row r="81" spans="1:100" ht="15" customHeight="1" x14ac:dyDescent="0.3">
      <c r="A81" s="117" t="s">
        <v>1842</v>
      </c>
      <c r="B81" s="118">
        <v>44362</v>
      </c>
      <c r="C81" s="117" t="s">
        <v>1841</v>
      </c>
      <c r="D81" s="117" t="s">
        <v>358</v>
      </c>
      <c r="E81" s="119" t="s">
        <v>1780</v>
      </c>
      <c r="F81" s="117" t="s">
        <v>1781</v>
      </c>
      <c r="G81" s="117" t="s">
        <v>379</v>
      </c>
      <c r="H81" s="117"/>
      <c r="I81" s="117" t="s">
        <v>360</v>
      </c>
      <c r="J81" s="117" t="s">
        <v>1782</v>
      </c>
      <c r="K81" s="117" t="s">
        <v>36</v>
      </c>
      <c r="L81" s="117" t="s">
        <v>1843</v>
      </c>
      <c r="M81" s="119" t="s">
        <v>346</v>
      </c>
      <c r="N81" s="117" t="s">
        <v>1844</v>
      </c>
      <c r="O81" s="117" t="s">
        <v>1845</v>
      </c>
      <c r="P81" s="117" t="s">
        <v>1846</v>
      </c>
      <c r="Q81" s="118">
        <v>44362</v>
      </c>
      <c r="R81" s="118"/>
      <c r="S81" s="117"/>
      <c r="T81" s="118"/>
      <c r="U81" s="120" t="s">
        <v>295</v>
      </c>
      <c r="V81" s="120" t="s">
        <v>295</v>
      </c>
      <c r="W81" s="121" t="s">
        <v>262</v>
      </c>
      <c r="X81" s="117" t="s">
        <v>1847</v>
      </c>
      <c r="Y81" s="117"/>
      <c r="Z81" s="117"/>
      <c r="AA81" s="117" t="s">
        <v>5</v>
      </c>
      <c r="AB81" s="117" t="s">
        <v>1847</v>
      </c>
      <c r="AC81" s="118">
        <v>44362</v>
      </c>
      <c r="AD81" s="117" t="s">
        <v>349</v>
      </c>
      <c r="AE81" s="117" t="s">
        <v>1789</v>
      </c>
      <c r="AF81" s="90" t="s">
        <v>1116</v>
      </c>
      <c r="AG81" s="90" t="s">
        <v>0</v>
      </c>
      <c r="AH81" s="93" t="s">
        <v>972</v>
      </c>
      <c r="AI81" s="93" t="b">
        <v>0</v>
      </c>
      <c r="AJ81" s="93"/>
      <c r="AK81" s="93" t="b">
        <v>0</v>
      </c>
      <c r="AL81" s="93"/>
      <c r="AM81" s="93" t="b">
        <v>0</v>
      </c>
      <c r="AN81" s="93" t="b">
        <v>0</v>
      </c>
      <c r="AO81" s="93" t="b">
        <v>0</v>
      </c>
      <c r="AP81" s="93" t="b">
        <v>0</v>
      </c>
      <c r="AQ81" s="93" t="b">
        <v>0</v>
      </c>
      <c r="AR81" s="93" t="b">
        <v>0</v>
      </c>
      <c r="AS81" s="93" t="b">
        <v>0</v>
      </c>
      <c r="AT81" s="107" t="s">
        <v>1848</v>
      </c>
      <c r="AU81" s="94">
        <v>9228291</v>
      </c>
      <c r="AV81" s="90" t="s">
        <v>730</v>
      </c>
      <c r="AW81" s="108" t="s">
        <v>951</v>
      </c>
      <c r="AX81" s="91">
        <v>44509</v>
      </c>
      <c r="AY81" s="108" t="s">
        <v>1101</v>
      </c>
      <c r="AZ81" s="90"/>
      <c r="BA81" s="90"/>
      <c r="BB81" s="90" t="s">
        <v>36</v>
      </c>
      <c r="BC81" s="90" t="s">
        <v>1790</v>
      </c>
      <c r="BD81" s="90" t="s">
        <v>340</v>
      </c>
      <c r="BE81" s="90"/>
      <c r="BF81" s="90"/>
      <c r="BG81" s="91"/>
      <c r="BH81" s="93" t="b">
        <v>0</v>
      </c>
      <c r="BI81" s="90"/>
      <c r="BJ81" s="90"/>
      <c r="BK81" s="90" t="s">
        <v>1382</v>
      </c>
      <c r="BL81" s="90" t="s">
        <v>1791</v>
      </c>
      <c r="BM81" s="90" t="s">
        <v>851</v>
      </c>
      <c r="BN81" s="90" t="s">
        <v>1792</v>
      </c>
      <c r="BO81" s="90" t="s">
        <v>1793</v>
      </c>
      <c r="BP81" s="90" t="s">
        <v>1794</v>
      </c>
      <c r="BQ81" s="90" t="s">
        <v>1795</v>
      </c>
      <c r="BR81" s="95">
        <v>7428.8193865740741</v>
      </c>
      <c r="BS81" s="90" t="s">
        <v>1796</v>
      </c>
      <c r="BT81" s="90" t="s">
        <v>1797</v>
      </c>
      <c r="BU81" s="90" t="s">
        <v>1443</v>
      </c>
      <c r="BV81" s="90" t="s">
        <v>1798</v>
      </c>
      <c r="BW81" s="90" t="s">
        <v>1799</v>
      </c>
      <c r="BX81" s="90" t="s">
        <v>1438</v>
      </c>
      <c r="BY81" s="90" t="s">
        <v>1800</v>
      </c>
      <c r="BZ81" s="90" t="s">
        <v>346</v>
      </c>
      <c r="CA81" s="90" t="s">
        <v>262</v>
      </c>
      <c r="CB81" s="90" t="s">
        <v>1789</v>
      </c>
      <c r="CC81" s="91"/>
      <c r="CD81" s="90" t="s">
        <v>341</v>
      </c>
      <c r="CE81" s="91">
        <v>44363</v>
      </c>
      <c r="CF81" s="90" t="s">
        <v>341</v>
      </c>
      <c r="CG81" s="91">
        <v>44363</v>
      </c>
      <c r="CH81" s="90" t="s">
        <v>262</v>
      </c>
      <c r="CI81" s="91"/>
      <c r="CJ81" s="90" t="s">
        <v>262</v>
      </c>
      <c r="CK81" s="91"/>
      <c r="CL81" s="90" t="s">
        <v>341</v>
      </c>
      <c r="CM81" s="91">
        <v>44363</v>
      </c>
      <c r="CN81" s="96"/>
      <c r="CO81" s="91"/>
      <c r="CP81" s="90"/>
      <c r="CQ81" s="90"/>
      <c r="CR81" s="90"/>
      <c r="CS81" s="90"/>
      <c r="CT81" s="91"/>
      <c r="CU81" s="90"/>
      <c r="CV81" s="97"/>
    </row>
    <row r="82" spans="1:100" ht="15" customHeight="1" x14ac:dyDescent="0.3">
      <c r="A82" s="117" t="s">
        <v>1850</v>
      </c>
      <c r="B82" s="118">
        <v>44362</v>
      </c>
      <c r="C82" s="117" t="s">
        <v>1849</v>
      </c>
      <c r="D82" s="117" t="s">
        <v>358</v>
      </c>
      <c r="E82" s="119" t="s">
        <v>1780</v>
      </c>
      <c r="F82" s="117" t="s">
        <v>1781</v>
      </c>
      <c r="G82" s="117" t="s">
        <v>379</v>
      </c>
      <c r="H82" s="117"/>
      <c r="I82" s="117" t="s">
        <v>360</v>
      </c>
      <c r="J82" s="117" t="s">
        <v>1782</v>
      </c>
      <c r="K82" s="117" t="s">
        <v>52</v>
      </c>
      <c r="L82" s="117" t="s">
        <v>1851</v>
      </c>
      <c r="M82" s="119" t="s">
        <v>346</v>
      </c>
      <c r="N82" s="117" t="s">
        <v>1852</v>
      </c>
      <c r="O82" s="117" t="s">
        <v>1853</v>
      </c>
      <c r="P82" s="117" t="s">
        <v>1854</v>
      </c>
      <c r="Q82" s="118"/>
      <c r="R82" s="118"/>
      <c r="S82" s="117"/>
      <c r="T82" s="118"/>
      <c r="U82" s="120" t="s">
        <v>295</v>
      </c>
      <c r="V82" s="120" t="s">
        <v>295</v>
      </c>
      <c r="W82" s="121" t="s">
        <v>262</v>
      </c>
      <c r="X82" s="117" t="s">
        <v>1855</v>
      </c>
      <c r="Y82" s="117"/>
      <c r="Z82" s="117"/>
      <c r="AA82" s="117" t="s">
        <v>5</v>
      </c>
      <c r="AB82" s="117" t="s">
        <v>1855</v>
      </c>
      <c r="AC82" s="118">
        <v>44362</v>
      </c>
      <c r="AD82" s="117" t="s">
        <v>349</v>
      </c>
      <c r="AE82" s="117" t="s">
        <v>1789</v>
      </c>
      <c r="AF82" s="90" t="s">
        <v>1116</v>
      </c>
      <c r="AG82" s="90" t="s">
        <v>0</v>
      </c>
      <c r="AH82" s="93" t="s">
        <v>972</v>
      </c>
      <c r="AI82" s="93" t="b">
        <v>0</v>
      </c>
      <c r="AJ82" s="93"/>
      <c r="AK82" s="93" t="b">
        <v>0</v>
      </c>
      <c r="AL82" s="93"/>
      <c r="AM82" s="93" t="b">
        <v>0</v>
      </c>
      <c r="AN82" s="93" t="b">
        <v>0</v>
      </c>
      <c r="AO82" s="93" t="b">
        <v>0</v>
      </c>
      <c r="AP82" s="93" t="b">
        <v>0</v>
      </c>
      <c r="AQ82" s="93" t="b">
        <v>0</v>
      </c>
      <c r="AR82" s="93" t="b">
        <v>0</v>
      </c>
      <c r="AS82" s="93" t="b">
        <v>0</v>
      </c>
      <c r="AT82" s="107" t="s">
        <v>1856</v>
      </c>
      <c r="AU82" s="94">
        <v>9228291</v>
      </c>
      <c r="AV82" s="90" t="s">
        <v>730</v>
      </c>
      <c r="AW82" s="108" t="s">
        <v>951</v>
      </c>
      <c r="AX82" s="91">
        <v>44509</v>
      </c>
      <c r="AY82" s="108" t="s">
        <v>1101</v>
      </c>
      <c r="AZ82" s="90"/>
      <c r="BA82" s="90"/>
      <c r="BB82" s="90" t="s">
        <v>52</v>
      </c>
      <c r="BC82" s="90" t="s">
        <v>1790</v>
      </c>
      <c r="BD82" s="90" t="s">
        <v>801</v>
      </c>
      <c r="BE82" s="90"/>
      <c r="BF82" s="90"/>
      <c r="BG82" s="91"/>
      <c r="BH82" s="93" t="b">
        <v>0</v>
      </c>
      <c r="BI82" s="90"/>
      <c r="BJ82" s="90"/>
      <c r="BK82" s="90" t="s">
        <v>1382</v>
      </c>
      <c r="BL82" s="90" t="s">
        <v>1791</v>
      </c>
      <c r="BM82" s="90" t="s">
        <v>851</v>
      </c>
      <c r="BN82" s="90" t="s">
        <v>1792</v>
      </c>
      <c r="BO82" s="90" t="s">
        <v>1793</v>
      </c>
      <c r="BP82" s="90" t="s">
        <v>1794</v>
      </c>
      <c r="BQ82" s="90" t="s">
        <v>1795</v>
      </c>
      <c r="BR82" s="95">
        <v>7428.8193981481481</v>
      </c>
      <c r="BS82" s="90" t="s">
        <v>1796</v>
      </c>
      <c r="BT82" s="90" t="s">
        <v>1797</v>
      </c>
      <c r="BU82" s="90" t="s">
        <v>1443</v>
      </c>
      <c r="BV82" s="90" t="s">
        <v>1798</v>
      </c>
      <c r="BW82" s="90" t="s">
        <v>1799</v>
      </c>
      <c r="BX82" s="90" t="s">
        <v>1438</v>
      </c>
      <c r="BY82" s="90" t="s">
        <v>1800</v>
      </c>
      <c r="BZ82" s="90" t="s">
        <v>346</v>
      </c>
      <c r="CA82" s="90" t="s">
        <v>262</v>
      </c>
      <c r="CB82" s="90" t="s">
        <v>1789</v>
      </c>
      <c r="CC82" s="91"/>
      <c r="CD82" s="90" t="s">
        <v>341</v>
      </c>
      <c r="CE82" s="91">
        <v>44363</v>
      </c>
      <c r="CF82" s="90" t="s">
        <v>341</v>
      </c>
      <c r="CG82" s="91">
        <v>44363</v>
      </c>
      <c r="CH82" s="90" t="s">
        <v>262</v>
      </c>
      <c r="CI82" s="91"/>
      <c r="CJ82" s="90" t="s">
        <v>262</v>
      </c>
      <c r="CK82" s="91"/>
      <c r="CL82" s="90" t="s">
        <v>341</v>
      </c>
      <c r="CM82" s="91">
        <v>44363</v>
      </c>
      <c r="CN82" s="96"/>
      <c r="CO82" s="91"/>
      <c r="CP82" s="90"/>
      <c r="CQ82" s="90"/>
      <c r="CR82" s="90"/>
      <c r="CS82" s="90"/>
      <c r="CT82" s="91"/>
      <c r="CU82" s="90"/>
      <c r="CV82" s="97"/>
    </row>
    <row r="83" spans="1:100" ht="15" customHeight="1" x14ac:dyDescent="0.3">
      <c r="A83" s="117" t="s">
        <v>1858</v>
      </c>
      <c r="B83" s="118">
        <v>44241</v>
      </c>
      <c r="C83" s="117" t="s">
        <v>1857</v>
      </c>
      <c r="D83" s="117" t="s">
        <v>364</v>
      </c>
      <c r="E83" s="119" t="s">
        <v>1104</v>
      </c>
      <c r="F83" s="117" t="s">
        <v>1105</v>
      </c>
      <c r="G83" s="117" t="s">
        <v>390</v>
      </c>
      <c r="H83" s="117" t="s">
        <v>1703</v>
      </c>
      <c r="I83" s="117" t="s">
        <v>15</v>
      </c>
      <c r="J83" s="117" t="s">
        <v>1412</v>
      </c>
      <c r="K83" s="117" t="s">
        <v>101</v>
      </c>
      <c r="L83" s="117" t="s">
        <v>1859</v>
      </c>
      <c r="M83" s="119" t="s">
        <v>346</v>
      </c>
      <c r="N83" s="117" t="s">
        <v>1860</v>
      </c>
      <c r="O83" s="117" t="s">
        <v>1861</v>
      </c>
      <c r="P83" s="117" t="s">
        <v>1862</v>
      </c>
      <c r="Q83" s="118">
        <v>44422</v>
      </c>
      <c r="R83" s="118">
        <v>44331</v>
      </c>
      <c r="S83" s="117" t="s">
        <v>1863</v>
      </c>
      <c r="T83" s="118">
        <v>44243</v>
      </c>
      <c r="U83" s="120" t="s">
        <v>295</v>
      </c>
      <c r="V83" s="120" t="s">
        <v>295</v>
      </c>
      <c r="W83" s="121" t="s">
        <v>262</v>
      </c>
      <c r="X83" s="117" t="s">
        <v>1864</v>
      </c>
      <c r="Y83" s="117"/>
      <c r="Z83" s="117"/>
      <c r="AA83" s="117" t="s">
        <v>1</v>
      </c>
      <c r="AB83" s="117" t="s">
        <v>1865</v>
      </c>
      <c r="AC83" s="118">
        <v>44243</v>
      </c>
      <c r="AD83" s="117" t="s">
        <v>349</v>
      </c>
      <c r="AE83" s="117" t="s">
        <v>1115</v>
      </c>
      <c r="AF83" s="90" t="s">
        <v>1116</v>
      </c>
      <c r="AG83" s="90" t="s">
        <v>0</v>
      </c>
      <c r="AH83" s="93" t="s">
        <v>972</v>
      </c>
      <c r="AI83" s="93" t="b">
        <v>0</v>
      </c>
      <c r="AJ83" s="93"/>
      <c r="AK83" s="93" t="b">
        <v>0</v>
      </c>
      <c r="AL83" s="93"/>
      <c r="AM83" s="93" t="b">
        <v>0</v>
      </c>
      <c r="AN83" s="93" t="b">
        <v>0</v>
      </c>
      <c r="AO83" s="93" t="b">
        <v>0</v>
      </c>
      <c r="AP83" s="93" t="b">
        <v>0</v>
      </c>
      <c r="AQ83" s="93" t="b">
        <v>0</v>
      </c>
      <c r="AR83" s="93" t="b">
        <v>0</v>
      </c>
      <c r="AS83" s="93" t="b">
        <v>0</v>
      </c>
      <c r="AT83" s="107" t="s">
        <v>1866</v>
      </c>
      <c r="AU83" s="94">
        <v>9228291</v>
      </c>
      <c r="AV83" s="90" t="s">
        <v>730</v>
      </c>
      <c r="AW83" s="108" t="s">
        <v>951</v>
      </c>
      <c r="AX83" s="91">
        <v>44509</v>
      </c>
      <c r="AY83" s="108" t="s">
        <v>1101</v>
      </c>
      <c r="AZ83" s="90" t="s">
        <v>15</v>
      </c>
      <c r="BA83" s="90" t="s">
        <v>101</v>
      </c>
      <c r="BB83" s="90" t="s">
        <v>43</v>
      </c>
      <c r="BC83" s="90"/>
      <c r="BD83" s="90" t="s">
        <v>756</v>
      </c>
      <c r="BE83" s="90"/>
      <c r="BF83" s="90"/>
      <c r="BG83" s="91"/>
      <c r="BH83" s="93" t="b">
        <v>0</v>
      </c>
      <c r="BI83" s="90"/>
      <c r="BJ83" s="90"/>
      <c r="BK83" s="90" t="s">
        <v>1382</v>
      </c>
      <c r="BL83" s="90"/>
      <c r="BM83" s="90"/>
      <c r="BN83" s="90"/>
      <c r="BO83" s="90"/>
      <c r="BP83" s="90"/>
      <c r="BQ83" s="90"/>
      <c r="BR83" s="95"/>
      <c r="BS83" s="90"/>
      <c r="BT83" s="90"/>
      <c r="BU83" s="90"/>
      <c r="BV83" s="90"/>
      <c r="BW83" s="90"/>
      <c r="BX83" s="90"/>
      <c r="BY83" s="90"/>
      <c r="BZ83" s="90"/>
      <c r="CA83" s="90"/>
      <c r="CB83" s="90"/>
      <c r="CC83" s="91"/>
      <c r="CD83" s="90"/>
      <c r="CE83" s="91"/>
      <c r="CF83" s="90"/>
      <c r="CG83" s="91"/>
      <c r="CH83" s="90"/>
      <c r="CI83" s="91"/>
      <c r="CJ83" s="90"/>
      <c r="CK83" s="91"/>
      <c r="CL83" s="90"/>
      <c r="CM83" s="91"/>
      <c r="CN83" s="96"/>
      <c r="CO83" s="91"/>
      <c r="CP83" s="90"/>
      <c r="CQ83" s="90"/>
      <c r="CR83" s="90"/>
      <c r="CS83" s="90"/>
      <c r="CT83" s="91"/>
      <c r="CU83" s="90"/>
      <c r="CV83" s="97"/>
    </row>
    <row r="84" spans="1:100" ht="15" customHeight="1" x14ac:dyDescent="0.3">
      <c r="A84" s="117" t="s">
        <v>1868</v>
      </c>
      <c r="B84" s="118">
        <v>44377</v>
      </c>
      <c r="C84" s="117" t="s">
        <v>1867</v>
      </c>
      <c r="D84" s="117" t="s">
        <v>364</v>
      </c>
      <c r="E84" s="119" t="s">
        <v>1104</v>
      </c>
      <c r="F84" s="117" t="s">
        <v>1105</v>
      </c>
      <c r="G84" s="117" t="s">
        <v>390</v>
      </c>
      <c r="H84" s="117" t="s">
        <v>1356</v>
      </c>
      <c r="I84" s="117" t="s">
        <v>21</v>
      </c>
      <c r="J84" s="117" t="s">
        <v>1869</v>
      </c>
      <c r="K84" s="117" t="s">
        <v>332</v>
      </c>
      <c r="L84" s="117" t="s">
        <v>1870</v>
      </c>
      <c r="M84" s="119" t="s">
        <v>346</v>
      </c>
      <c r="N84" s="117" t="s">
        <v>1871</v>
      </c>
      <c r="O84" s="117" t="s">
        <v>1872</v>
      </c>
      <c r="P84" s="117" t="s">
        <v>1873</v>
      </c>
      <c r="Q84" s="118">
        <v>44391</v>
      </c>
      <c r="R84" s="118">
        <v>44467</v>
      </c>
      <c r="S84" s="117" t="s">
        <v>1874</v>
      </c>
      <c r="T84" s="118">
        <v>44424</v>
      </c>
      <c r="U84" s="120" t="s">
        <v>295</v>
      </c>
      <c r="V84" s="120" t="s">
        <v>295</v>
      </c>
      <c r="W84" s="121" t="s">
        <v>262</v>
      </c>
      <c r="X84" s="117" t="s">
        <v>1875</v>
      </c>
      <c r="Y84" s="117"/>
      <c r="Z84" s="117"/>
      <c r="AA84" s="117" t="s">
        <v>4</v>
      </c>
      <c r="AB84" s="117" t="s">
        <v>1876</v>
      </c>
      <c r="AC84" s="118">
        <v>44424</v>
      </c>
      <c r="AD84" s="117" t="s">
        <v>349</v>
      </c>
      <c r="AE84" s="117" t="s">
        <v>1115</v>
      </c>
      <c r="AF84" s="90" t="s">
        <v>1116</v>
      </c>
      <c r="AG84" s="90" t="s">
        <v>0</v>
      </c>
      <c r="AH84" s="93" t="s">
        <v>972</v>
      </c>
      <c r="AI84" s="93" t="b">
        <v>0</v>
      </c>
      <c r="AJ84" s="93"/>
      <c r="AK84" s="93" t="b">
        <v>0</v>
      </c>
      <c r="AL84" s="93"/>
      <c r="AM84" s="93" t="b">
        <v>0</v>
      </c>
      <c r="AN84" s="93" t="b">
        <v>0</v>
      </c>
      <c r="AO84" s="93" t="b">
        <v>0</v>
      </c>
      <c r="AP84" s="93" t="b">
        <v>0</v>
      </c>
      <c r="AQ84" s="93" t="b">
        <v>0</v>
      </c>
      <c r="AR84" s="93" t="b">
        <v>0</v>
      </c>
      <c r="AS84" s="93" t="b">
        <v>0</v>
      </c>
      <c r="AT84" s="107" t="s">
        <v>1877</v>
      </c>
      <c r="AU84" s="94">
        <v>9228291</v>
      </c>
      <c r="AV84" s="90" t="s">
        <v>730</v>
      </c>
      <c r="AW84" s="108" t="s">
        <v>951</v>
      </c>
      <c r="AX84" s="91">
        <v>44509</v>
      </c>
      <c r="AY84" s="108" t="s">
        <v>1101</v>
      </c>
      <c r="AZ84" s="90" t="s">
        <v>21</v>
      </c>
      <c r="BA84" s="90" t="s">
        <v>332</v>
      </c>
      <c r="BB84" s="90" t="s">
        <v>43</v>
      </c>
      <c r="BC84" s="90"/>
      <c r="BD84" s="90" t="s">
        <v>756</v>
      </c>
      <c r="BE84" s="90"/>
      <c r="BF84" s="90"/>
      <c r="BG84" s="91"/>
      <c r="BH84" s="93" t="b">
        <v>0</v>
      </c>
      <c r="BI84" s="90"/>
      <c r="BJ84" s="90"/>
      <c r="BK84" s="90" t="s">
        <v>1382</v>
      </c>
      <c r="BL84" s="90"/>
      <c r="BM84" s="90"/>
      <c r="BN84" s="90"/>
      <c r="BO84" s="90"/>
      <c r="BP84" s="90"/>
      <c r="BQ84" s="90"/>
      <c r="BR84" s="95"/>
      <c r="BS84" s="90"/>
      <c r="BT84" s="90"/>
      <c r="BU84" s="90"/>
      <c r="BV84" s="90"/>
      <c r="BW84" s="90"/>
      <c r="BX84" s="90"/>
      <c r="BY84" s="90"/>
      <c r="BZ84" s="90"/>
      <c r="CA84" s="90"/>
      <c r="CB84" s="90"/>
      <c r="CC84" s="91"/>
      <c r="CD84" s="90"/>
      <c r="CE84" s="91"/>
      <c r="CF84" s="90"/>
      <c r="CG84" s="91"/>
      <c r="CH84" s="90"/>
      <c r="CI84" s="91"/>
      <c r="CJ84" s="90"/>
      <c r="CK84" s="91"/>
      <c r="CL84" s="90"/>
      <c r="CM84" s="91"/>
      <c r="CN84" s="96"/>
      <c r="CO84" s="91"/>
      <c r="CP84" s="90"/>
      <c r="CQ84" s="90"/>
      <c r="CR84" s="90"/>
      <c r="CS84" s="90"/>
      <c r="CT84" s="91"/>
      <c r="CU84" s="90"/>
      <c r="CV84" s="97"/>
    </row>
    <row r="85" spans="1:100" ht="15" customHeight="1" x14ac:dyDescent="0.3">
      <c r="A85" s="117" t="s">
        <v>1879</v>
      </c>
      <c r="B85" s="118">
        <v>44432</v>
      </c>
      <c r="C85" s="117" t="s">
        <v>1878</v>
      </c>
      <c r="D85" s="117" t="s">
        <v>364</v>
      </c>
      <c r="E85" s="119" t="s">
        <v>1104</v>
      </c>
      <c r="F85" s="117" t="s">
        <v>1105</v>
      </c>
      <c r="G85" s="117" t="s">
        <v>390</v>
      </c>
      <c r="H85" s="117" t="s">
        <v>1356</v>
      </c>
      <c r="I85" s="117" t="s">
        <v>15</v>
      </c>
      <c r="J85" s="117" t="s">
        <v>1412</v>
      </c>
      <c r="K85" s="117" t="s">
        <v>114</v>
      </c>
      <c r="L85" s="117" t="s">
        <v>1413</v>
      </c>
      <c r="M85" s="119" t="s">
        <v>346</v>
      </c>
      <c r="N85" s="117" t="s">
        <v>1880</v>
      </c>
      <c r="O85" s="117" t="s">
        <v>1881</v>
      </c>
      <c r="P85" s="117" t="s">
        <v>1882</v>
      </c>
      <c r="Q85" s="118">
        <v>44432</v>
      </c>
      <c r="R85" s="118">
        <v>44522</v>
      </c>
      <c r="S85" s="117" t="s">
        <v>1883</v>
      </c>
      <c r="T85" s="118">
        <v>44441</v>
      </c>
      <c r="U85" s="120" t="s">
        <v>295</v>
      </c>
      <c r="V85" s="120" t="s">
        <v>295</v>
      </c>
      <c r="W85" s="121" t="s">
        <v>262</v>
      </c>
      <c r="X85" s="117" t="s">
        <v>1884</v>
      </c>
      <c r="Y85" s="117"/>
      <c r="Z85" s="117"/>
      <c r="AA85" s="117" t="s">
        <v>2</v>
      </c>
      <c r="AB85" s="117" t="s">
        <v>1885</v>
      </c>
      <c r="AC85" s="118">
        <v>44441</v>
      </c>
      <c r="AD85" s="117" t="s">
        <v>349</v>
      </c>
      <c r="AE85" s="117" t="s">
        <v>1115</v>
      </c>
      <c r="AF85" s="90" t="s">
        <v>1116</v>
      </c>
      <c r="AG85" s="90" t="s">
        <v>0</v>
      </c>
      <c r="AH85" s="93" t="s">
        <v>972</v>
      </c>
      <c r="AI85" s="93" t="b">
        <v>0</v>
      </c>
      <c r="AJ85" s="93"/>
      <c r="AK85" s="93" t="b">
        <v>0</v>
      </c>
      <c r="AL85" s="93"/>
      <c r="AM85" s="93" t="b">
        <v>0</v>
      </c>
      <c r="AN85" s="93" t="b">
        <v>0</v>
      </c>
      <c r="AO85" s="93" t="b">
        <v>0</v>
      </c>
      <c r="AP85" s="93" t="b">
        <v>0</v>
      </c>
      <c r="AQ85" s="93" t="b">
        <v>0</v>
      </c>
      <c r="AR85" s="93" t="b">
        <v>0</v>
      </c>
      <c r="AS85" s="93" t="b">
        <v>0</v>
      </c>
      <c r="AT85" s="107" t="s">
        <v>1886</v>
      </c>
      <c r="AU85" s="94">
        <v>9228291</v>
      </c>
      <c r="AV85" s="90" t="s">
        <v>730</v>
      </c>
      <c r="AW85" s="108" t="s">
        <v>951</v>
      </c>
      <c r="AX85" s="91">
        <v>44509</v>
      </c>
      <c r="AY85" s="108" t="s">
        <v>1101</v>
      </c>
      <c r="AZ85" s="90" t="s">
        <v>15</v>
      </c>
      <c r="BA85" s="90" t="s">
        <v>114</v>
      </c>
      <c r="BB85" s="90" t="s">
        <v>43</v>
      </c>
      <c r="BC85" s="90"/>
      <c r="BD85" s="90" t="s">
        <v>756</v>
      </c>
      <c r="BE85" s="90"/>
      <c r="BF85" s="90"/>
      <c r="BG85" s="91"/>
      <c r="BH85" s="93" t="b">
        <v>0</v>
      </c>
      <c r="BI85" s="90"/>
      <c r="BJ85" s="90"/>
      <c r="BK85" s="90" t="s">
        <v>1382</v>
      </c>
      <c r="BL85" s="90"/>
      <c r="BM85" s="90"/>
      <c r="BN85" s="90"/>
      <c r="BO85" s="90"/>
      <c r="BP85" s="90"/>
      <c r="BQ85" s="90"/>
      <c r="BR85" s="95"/>
      <c r="BS85" s="90"/>
      <c r="BT85" s="90"/>
      <c r="BU85" s="90"/>
      <c r="BV85" s="90"/>
      <c r="BW85" s="90"/>
      <c r="BX85" s="90"/>
      <c r="BY85" s="90"/>
      <c r="BZ85" s="90"/>
      <c r="CA85" s="90"/>
      <c r="CB85" s="90"/>
      <c r="CC85" s="91"/>
      <c r="CD85" s="90"/>
      <c r="CE85" s="91"/>
      <c r="CF85" s="90"/>
      <c r="CG85" s="91"/>
      <c r="CH85" s="90"/>
      <c r="CI85" s="91"/>
      <c r="CJ85" s="90"/>
      <c r="CK85" s="91"/>
      <c r="CL85" s="90"/>
      <c r="CM85" s="91"/>
      <c r="CN85" s="96"/>
      <c r="CO85" s="91"/>
      <c r="CP85" s="90"/>
      <c r="CQ85" s="90"/>
      <c r="CR85" s="90"/>
      <c r="CS85" s="90"/>
      <c r="CT85" s="91"/>
      <c r="CU85" s="90"/>
      <c r="CV85" s="97"/>
    </row>
    <row r="86" spans="1:100" ht="15" customHeight="1" x14ac:dyDescent="0.3">
      <c r="A86" s="122" t="s">
        <v>1888</v>
      </c>
      <c r="B86" s="123">
        <v>44432</v>
      </c>
      <c r="C86" s="122" t="s">
        <v>1887</v>
      </c>
      <c r="D86" s="122" t="s">
        <v>364</v>
      </c>
      <c r="E86" s="124" t="s">
        <v>1104</v>
      </c>
      <c r="F86" s="122" t="s">
        <v>1105</v>
      </c>
      <c r="G86" s="122" t="s">
        <v>390</v>
      </c>
      <c r="H86" s="122" t="s">
        <v>1356</v>
      </c>
      <c r="I86" s="122" t="s">
        <v>12</v>
      </c>
      <c r="J86" s="122" t="s">
        <v>1363</v>
      </c>
      <c r="K86" s="122" t="s">
        <v>177</v>
      </c>
      <c r="L86" s="122" t="s">
        <v>1364</v>
      </c>
      <c r="M86" s="124" t="s">
        <v>346</v>
      </c>
      <c r="N86" s="122" t="s">
        <v>1889</v>
      </c>
      <c r="O86" s="122" t="s">
        <v>1890</v>
      </c>
      <c r="P86" s="122" t="s">
        <v>1891</v>
      </c>
      <c r="Q86" s="123">
        <v>44432</v>
      </c>
      <c r="R86" s="123">
        <v>44523</v>
      </c>
      <c r="S86" s="122"/>
      <c r="T86" s="123"/>
      <c r="U86" s="125" t="s">
        <v>295</v>
      </c>
      <c r="V86" s="125" t="s">
        <v>295</v>
      </c>
      <c r="W86" s="126" t="s">
        <v>262</v>
      </c>
      <c r="X86" s="122" t="s">
        <v>2141</v>
      </c>
      <c r="Y86" s="122"/>
      <c r="Z86" s="122"/>
      <c r="AA86" s="122" t="s">
        <v>4</v>
      </c>
      <c r="AB86" s="122"/>
      <c r="AC86" s="123"/>
      <c r="AD86" s="122" t="s">
        <v>261</v>
      </c>
      <c r="AE86" s="122" t="s">
        <v>1115</v>
      </c>
      <c r="AF86" s="90" t="s">
        <v>1116</v>
      </c>
      <c r="AG86" s="90" t="s">
        <v>0</v>
      </c>
      <c r="AH86" s="93" t="s">
        <v>972</v>
      </c>
      <c r="AI86" s="93" t="b">
        <v>0</v>
      </c>
      <c r="AJ86" s="93"/>
      <c r="AK86" s="93" t="b">
        <v>0</v>
      </c>
      <c r="AL86" s="93"/>
      <c r="AM86" s="93" t="b">
        <v>0</v>
      </c>
      <c r="AN86" s="93" t="b">
        <v>0</v>
      </c>
      <c r="AO86" s="93" t="b">
        <v>0</v>
      </c>
      <c r="AP86" s="93" t="b">
        <v>0</v>
      </c>
      <c r="AQ86" s="93" t="b">
        <v>0</v>
      </c>
      <c r="AR86" s="93" t="b">
        <v>0</v>
      </c>
      <c r="AS86" s="93" t="b">
        <v>0</v>
      </c>
      <c r="AT86" s="107" t="s">
        <v>2207</v>
      </c>
      <c r="AU86" s="94">
        <v>9228291</v>
      </c>
      <c r="AV86" s="90" t="s">
        <v>730</v>
      </c>
      <c r="AW86" s="108" t="s">
        <v>951</v>
      </c>
      <c r="AX86" s="91">
        <v>44567</v>
      </c>
      <c r="AY86" s="108" t="s">
        <v>1101</v>
      </c>
      <c r="AZ86" s="90" t="s">
        <v>12</v>
      </c>
      <c r="BA86" s="90" t="s">
        <v>177</v>
      </c>
      <c r="BB86" s="90" t="s">
        <v>36</v>
      </c>
      <c r="BC86" s="90"/>
      <c r="BD86" s="90" t="s">
        <v>28</v>
      </c>
      <c r="BE86" s="90"/>
      <c r="BF86" s="90" t="s">
        <v>575</v>
      </c>
      <c r="BG86" s="91">
        <v>44614</v>
      </c>
      <c r="BH86" s="93" t="b">
        <v>0</v>
      </c>
      <c r="BI86" s="90" t="s">
        <v>2014</v>
      </c>
      <c r="BJ86" s="90" t="s">
        <v>2142</v>
      </c>
      <c r="BK86" s="90" t="s">
        <v>1118</v>
      </c>
      <c r="BL86" s="90"/>
      <c r="BM86" s="90"/>
      <c r="BN86" s="90"/>
      <c r="BO86" s="90"/>
      <c r="BP86" s="90"/>
      <c r="BQ86" s="90"/>
      <c r="BR86" s="95"/>
      <c r="BS86" s="90"/>
      <c r="BT86" s="90"/>
      <c r="BU86" s="90"/>
      <c r="BV86" s="90"/>
      <c r="BW86" s="90"/>
      <c r="BX86" s="90"/>
      <c r="BY86" s="90"/>
      <c r="BZ86" s="90"/>
      <c r="CA86" s="90"/>
      <c r="CB86" s="90"/>
      <c r="CC86" s="91"/>
      <c r="CD86" s="90"/>
      <c r="CE86" s="91"/>
      <c r="CF86" s="90"/>
      <c r="CG86" s="91"/>
      <c r="CH86" s="90"/>
      <c r="CI86" s="91"/>
      <c r="CJ86" s="90"/>
      <c r="CK86" s="91"/>
      <c r="CL86" s="90"/>
      <c r="CM86" s="91"/>
      <c r="CN86" s="96"/>
      <c r="CO86" s="91"/>
      <c r="CP86" s="90"/>
      <c r="CQ86" s="90"/>
      <c r="CR86" s="90"/>
      <c r="CS86" s="90"/>
      <c r="CT86" s="91"/>
      <c r="CU86" s="90"/>
      <c r="CV86" s="97"/>
    </row>
    <row r="87" spans="1:100" ht="15" customHeight="1" x14ac:dyDescent="0.3">
      <c r="A87" s="117" t="s">
        <v>1893</v>
      </c>
      <c r="B87" s="118">
        <v>44435</v>
      </c>
      <c r="C87" s="117" t="s">
        <v>1892</v>
      </c>
      <c r="D87" s="117" t="s">
        <v>364</v>
      </c>
      <c r="E87" s="119" t="s">
        <v>1104</v>
      </c>
      <c r="F87" s="117" t="s">
        <v>1105</v>
      </c>
      <c r="G87" s="117" t="s">
        <v>390</v>
      </c>
      <c r="H87" s="117" t="s">
        <v>1356</v>
      </c>
      <c r="I87" s="117" t="s">
        <v>19</v>
      </c>
      <c r="J87" s="117" t="s">
        <v>1484</v>
      </c>
      <c r="K87" s="117" t="s">
        <v>149</v>
      </c>
      <c r="L87" s="117" t="s">
        <v>1495</v>
      </c>
      <c r="M87" s="119" t="s">
        <v>346</v>
      </c>
      <c r="N87" s="117" t="s">
        <v>1894</v>
      </c>
      <c r="O87" s="117" t="s">
        <v>1895</v>
      </c>
      <c r="P87" s="117" t="s">
        <v>1896</v>
      </c>
      <c r="Q87" s="118">
        <v>44435</v>
      </c>
      <c r="R87" s="118">
        <v>44525</v>
      </c>
      <c r="S87" s="117" t="s">
        <v>1897</v>
      </c>
      <c r="T87" s="118">
        <v>44453</v>
      </c>
      <c r="U87" s="120" t="s">
        <v>295</v>
      </c>
      <c r="V87" s="120" t="s">
        <v>295</v>
      </c>
      <c r="W87" s="121" t="s">
        <v>262</v>
      </c>
      <c r="X87" s="117" t="s">
        <v>1898</v>
      </c>
      <c r="Y87" s="117"/>
      <c r="Z87" s="117"/>
      <c r="AA87" s="117" t="s">
        <v>4</v>
      </c>
      <c r="AB87" s="117" t="s">
        <v>1899</v>
      </c>
      <c r="AC87" s="118">
        <v>44453</v>
      </c>
      <c r="AD87" s="117" t="s">
        <v>349</v>
      </c>
      <c r="AE87" s="117" t="s">
        <v>1115</v>
      </c>
      <c r="AF87" s="90" t="s">
        <v>1116</v>
      </c>
      <c r="AG87" s="90" t="s">
        <v>0</v>
      </c>
      <c r="AH87" s="93" t="s">
        <v>972</v>
      </c>
      <c r="AI87" s="93" t="b">
        <v>0</v>
      </c>
      <c r="AJ87" s="93"/>
      <c r="AK87" s="93" t="b">
        <v>0</v>
      </c>
      <c r="AL87" s="93"/>
      <c r="AM87" s="93" t="b">
        <v>0</v>
      </c>
      <c r="AN87" s="93" t="b">
        <v>0</v>
      </c>
      <c r="AO87" s="93" t="b">
        <v>0</v>
      </c>
      <c r="AP87" s="93" t="b">
        <v>0</v>
      </c>
      <c r="AQ87" s="93" t="b">
        <v>0</v>
      </c>
      <c r="AR87" s="93" t="b">
        <v>0</v>
      </c>
      <c r="AS87" s="93" t="b">
        <v>0</v>
      </c>
      <c r="AT87" s="107" t="s">
        <v>1900</v>
      </c>
      <c r="AU87" s="94">
        <v>9228291</v>
      </c>
      <c r="AV87" s="90" t="s">
        <v>730</v>
      </c>
      <c r="AW87" s="108" t="s">
        <v>951</v>
      </c>
      <c r="AX87" s="91">
        <v>44509</v>
      </c>
      <c r="AY87" s="108" t="s">
        <v>1101</v>
      </c>
      <c r="AZ87" s="90" t="s">
        <v>19</v>
      </c>
      <c r="BA87" s="90" t="s">
        <v>149</v>
      </c>
      <c r="BB87" s="90" t="s">
        <v>43</v>
      </c>
      <c r="BC87" s="90"/>
      <c r="BD87" s="90" t="s">
        <v>756</v>
      </c>
      <c r="BE87" s="90"/>
      <c r="BF87" s="90"/>
      <c r="BG87" s="91"/>
      <c r="BH87" s="93" t="b">
        <v>0</v>
      </c>
      <c r="BI87" s="90"/>
      <c r="BJ87" s="90"/>
      <c r="BK87" s="90" t="s">
        <v>1382</v>
      </c>
      <c r="BL87" s="90"/>
      <c r="BM87" s="90"/>
      <c r="BN87" s="90"/>
      <c r="BO87" s="90"/>
      <c r="BP87" s="90"/>
      <c r="BQ87" s="90"/>
      <c r="BR87" s="95"/>
      <c r="BS87" s="90"/>
      <c r="BT87" s="90"/>
      <c r="BU87" s="90"/>
      <c r="BV87" s="90"/>
      <c r="BW87" s="90"/>
      <c r="BX87" s="90"/>
      <c r="BY87" s="90"/>
      <c r="BZ87" s="90"/>
      <c r="CA87" s="90"/>
      <c r="CB87" s="90"/>
      <c r="CC87" s="91"/>
      <c r="CD87" s="90"/>
      <c r="CE87" s="91"/>
      <c r="CF87" s="90"/>
      <c r="CG87" s="91"/>
      <c r="CH87" s="90"/>
      <c r="CI87" s="91"/>
      <c r="CJ87" s="90"/>
      <c r="CK87" s="91"/>
      <c r="CL87" s="90"/>
      <c r="CM87" s="91"/>
      <c r="CN87" s="96"/>
      <c r="CO87" s="91"/>
      <c r="CP87" s="90"/>
      <c r="CQ87" s="90"/>
      <c r="CR87" s="90"/>
      <c r="CS87" s="90"/>
      <c r="CT87" s="91"/>
      <c r="CU87" s="90"/>
      <c r="CV87" s="97"/>
    </row>
    <row r="88" spans="1:100" ht="15" customHeight="1" x14ac:dyDescent="0.3">
      <c r="A88" s="117" t="s">
        <v>1902</v>
      </c>
      <c r="B88" s="118">
        <v>44288</v>
      </c>
      <c r="C88" s="117" t="s">
        <v>1901</v>
      </c>
      <c r="D88" s="117" t="s">
        <v>352</v>
      </c>
      <c r="E88" s="119" t="s">
        <v>1179</v>
      </c>
      <c r="F88" s="117" t="s">
        <v>1180</v>
      </c>
      <c r="G88" s="117" t="s">
        <v>374</v>
      </c>
      <c r="H88" s="117" t="s">
        <v>1903</v>
      </c>
      <c r="I88" s="117" t="s">
        <v>354</v>
      </c>
      <c r="J88" s="117" t="s">
        <v>1182</v>
      </c>
      <c r="K88" s="117" t="s">
        <v>412</v>
      </c>
      <c r="L88" s="117" t="s">
        <v>1904</v>
      </c>
      <c r="M88" s="119" t="s">
        <v>346</v>
      </c>
      <c r="N88" s="117" t="s">
        <v>1905</v>
      </c>
      <c r="O88" s="117" t="s">
        <v>1906</v>
      </c>
      <c r="P88" s="117" t="s">
        <v>1907</v>
      </c>
      <c r="Q88" s="118">
        <v>44231</v>
      </c>
      <c r="R88" s="118">
        <v>44203</v>
      </c>
      <c r="S88" s="117" t="s">
        <v>1908</v>
      </c>
      <c r="T88" s="118">
        <v>44303</v>
      </c>
      <c r="U88" s="120" t="s">
        <v>295</v>
      </c>
      <c r="V88" s="120" t="s">
        <v>295</v>
      </c>
      <c r="W88" s="121" t="s">
        <v>262</v>
      </c>
      <c r="X88" s="117" t="s">
        <v>1909</v>
      </c>
      <c r="Y88" s="117"/>
      <c r="Z88" s="117"/>
      <c r="AA88" s="117" t="s">
        <v>804</v>
      </c>
      <c r="AB88" s="117" t="s">
        <v>1910</v>
      </c>
      <c r="AC88" s="118">
        <v>44303</v>
      </c>
      <c r="AD88" s="117" t="s">
        <v>349</v>
      </c>
      <c r="AE88" s="117" t="s">
        <v>1115</v>
      </c>
      <c r="AF88" s="90" t="s">
        <v>1116</v>
      </c>
      <c r="AG88" s="90" t="s">
        <v>0</v>
      </c>
      <c r="AH88" s="93" t="s">
        <v>972</v>
      </c>
      <c r="AI88" s="93" t="b">
        <v>0</v>
      </c>
      <c r="AJ88" s="93"/>
      <c r="AK88" s="93" t="b">
        <v>0</v>
      </c>
      <c r="AL88" s="93"/>
      <c r="AM88" s="93" t="b">
        <v>0</v>
      </c>
      <c r="AN88" s="93" t="b">
        <v>0</v>
      </c>
      <c r="AO88" s="93" t="b">
        <v>0</v>
      </c>
      <c r="AP88" s="93" t="b">
        <v>0</v>
      </c>
      <c r="AQ88" s="93" t="b">
        <v>0</v>
      </c>
      <c r="AR88" s="93" t="b">
        <v>0</v>
      </c>
      <c r="AS88" s="93" t="b">
        <v>0</v>
      </c>
      <c r="AT88" s="107" t="s">
        <v>1912</v>
      </c>
      <c r="AU88" s="94">
        <v>9228291</v>
      </c>
      <c r="AV88" s="90" t="s">
        <v>730</v>
      </c>
      <c r="AW88" s="108" t="s">
        <v>951</v>
      </c>
      <c r="AX88" s="91">
        <v>44509</v>
      </c>
      <c r="AY88" s="108" t="s">
        <v>1101</v>
      </c>
      <c r="AZ88" s="90" t="s">
        <v>11</v>
      </c>
      <c r="BA88" s="90" t="s">
        <v>81</v>
      </c>
      <c r="BB88" s="90" t="s">
        <v>38</v>
      </c>
      <c r="BC88" s="90"/>
      <c r="BD88" s="90" t="s">
        <v>28</v>
      </c>
      <c r="BE88" s="90"/>
      <c r="BF88" s="90"/>
      <c r="BG88" s="91"/>
      <c r="BH88" s="93" t="b">
        <v>0</v>
      </c>
      <c r="BI88" s="90"/>
      <c r="BJ88" s="90"/>
      <c r="BK88" s="90" t="s">
        <v>1382</v>
      </c>
      <c r="BL88" s="90" t="s">
        <v>1911</v>
      </c>
      <c r="BM88" s="90"/>
      <c r="BN88" s="90"/>
      <c r="BO88" s="90"/>
      <c r="BP88" s="90"/>
      <c r="BQ88" s="90"/>
      <c r="BR88" s="95"/>
      <c r="BS88" s="90"/>
      <c r="BT88" s="90"/>
      <c r="BU88" s="90"/>
      <c r="BV88" s="90"/>
      <c r="BW88" s="90"/>
      <c r="BX88" s="90"/>
      <c r="BY88" s="90"/>
      <c r="BZ88" s="90"/>
      <c r="CA88" s="90"/>
      <c r="CB88" s="90"/>
      <c r="CC88" s="91"/>
      <c r="CD88" s="90"/>
      <c r="CE88" s="91"/>
      <c r="CF88" s="90"/>
      <c r="CG88" s="91"/>
      <c r="CH88" s="90"/>
      <c r="CI88" s="91"/>
      <c r="CJ88" s="90"/>
      <c r="CK88" s="91"/>
      <c r="CL88" s="90"/>
      <c r="CM88" s="91"/>
      <c r="CN88" s="96"/>
      <c r="CO88" s="91"/>
      <c r="CP88" s="90"/>
      <c r="CQ88" s="90"/>
      <c r="CR88" s="90"/>
      <c r="CS88" s="90"/>
      <c r="CT88" s="91"/>
      <c r="CU88" s="90"/>
      <c r="CV88" s="97"/>
    </row>
    <row r="89" spans="1:100" ht="15" customHeight="1" x14ac:dyDescent="0.3">
      <c r="A89" s="117" t="s">
        <v>1914</v>
      </c>
      <c r="B89" s="118">
        <v>44288</v>
      </c>
      <c r="C89" s="117" t="s">
        <v>1913</v>
      </c>
      <c r="D89" s="117" t="s">
        <v>352</v>
      </c>
      <c r="E89" s="119" t="s">
        <v>1179</v>
      </c>
      <c r="F89" s="117" t="s">
        <v>1180</v>
      </c>
      <c r="G89" s="117" t="s">
        <v>374</v>
      </c>
      <c r="H89" s="117" t="s">
        <v>1903</v>
      </c>
      <c r="I89" s="117" t="s">
        <v>354</v>
      </c>
      <c r="J89" s="117" t="s">
        <v>1182</v>
      </c>
      <c r="K89" s="117" t="s">
        <v>409</v>
      </c>
      <c r="L89" s="117" t="s">
        <v>1915</v>
      </c>
      <c r="M89" s="119" t="s">
        <v>346</v>
      </c>
      <c r="N89" s="117" t="s">
        <v>1916</v>
      </c>
      <c r="O89" s="117" t="s">
        <v>1917</v>
      </c>
      <c r="P89" s="117" t="s">
        <v>1918</v>
      </c>
      <c r="Q89" s="118">
        <v>44443</v>
      </c>
      <c r="R89" s="118">
        <v>44378</v>
      </c>
      <c r="S89" s="117" t="s">
        <v>1919</v>
      </c>
      <c r="T89" s="118">
        <v>44377</v>
      </c>
      <c r="U89" s="120" t="s">
        <v>295</v>
      </c>
      <c r="V89" s="120" t="s">
        <v>295</v>
      </c>
      <c r="W89" s="121" t="s">
        <v>262</v>
      </c>
      <c r="X89" s="117" t="s">
        <v>1920</v>
      </c>
      <c r="Y89" s="117"/>
      <c r="Z89" s="117"/>
      <c r="AA89" s="117" t="s">
        <v>3</v>
      </c>
      <c r="AB89" s="117" t="s">
        <v>1920</v>
      </c>
      <c r="AC89" s="118">
        <v>44377</v>
      </c>
      <c r="AD89" s="117" t="s">
        <v>349</v>
      </c>
      <c r="AE89" s="117" t="s">
        <v>1115</v>
      </c>
      <c r="AF89" s="90" t="s">
        <v>1116</v>
      </c>
      <c r="AG89" s="90" t="s">
        <v>0</v>
      </c>
      <c r="AH89" s="93" t="s">
        <v>972</v>
      </c>
      <c r="AI89" s="93" t="b">
        <v>0</v>
      </c>
      <c r="AJ89" s="93"/>
      <c r="AK89" s="93" t="b">
        <v>0</v>
      </c>
      <c r="AL89" s="93"/>
      <c r="AM89" s="93" t="b">
        <v>0</v>
      </c>
      <c r="AN89" s="93" t="b">
        <v>0</v>
      </c>
      <c r="AO89" s="93" t="b">
        <v>0</v>
      </c>
      <c r="AP89" s="93" t="b">
        <v>0</v>
      </c>
      <c r="AQ89" s="93" t="b">
        <v>0</v>
      </c>
      <c r="AR89" s="93" t="b">
        <v>0</v>
      </c>
      <c r="AS89" s="93" t="b">
        <v>0</v>
      </c>
      <c r="AT89" s="107" t="s">
        <v>1921</v>
      </c>
      <c r="AU89" s="94">
        <v>9228291</v>
      </c>
      <c r="AV89" s="90" t="s">
        <v>730</v>
      </c>
      <c r="AW89" s="108" t="s">
        <v>951</v>
      </c>
      <c r="AX89" s="91">
        <v>44509</v>
      </c>
      <c r="AY89" s="108" t="s">
        <v>1101</v>
      </c>
      <c r="AZ89" s="90" t="s">
        <v>12</v>
      </c>
      <c r="BA89" s="90" t="s">
        <v>177</v>
      </c>
      <c r="BB89" s="90" t="s">
        <v>36</v>
      </c>
      <c r="BC89" s="90"/>
      <c r="BD89" s="90" t="s">
        <v>28</v>
      </c>
      <c r="BE89" s="90"/>
      <c r="BF89" s="90"/>
      <c r="BG89" s="91"/>
      <c r="BH89" s="93" t="b">
        <v>0</v>
      </c>
      <c r="BI89" s="90"/>
      <c r="BJ89" s="90"/>
      <c r="BK89" s="90" t="s">
        <v>1382</v>
      </c>
      <c r="BL89" s="90" t="s">
        <v>1911</v>
      </c>
      <c r="BM89" s="90"/>
      <c r="BN89" s="90"/>
      <c r="BO89" s="90"/>
      <c r="BP89" s="90"/>
      <c r="BQ89" s="90"/>
      <c r="BR89" s="95"/>
      <c r="BS89" s="90"/>
      <c r="BT89" s="90"/>
      <c r="BU89" s="90"/>
      <c r="BV89" s="90"/>
      <c r="BW89" s="90"/>
      <c r="BX89" s="90"/>
      <c r="BY89" s="90"/>
      <c r="BZ89" s="90"/>
      <c r="CA89" s="90"/>
      <c r="CB89" s="90"/>
      <c r="CC89" s="91"/>
      <c r="CD89" s="90"/>
      <c r="CE89" s="91"/>
      <c r="CF89" s="90"/>
      <c r="CG89" s="91"/>
      <c r="CH89" s="90"/>
      <c r="CI89" s="91"/>
      <c r="CJ89" s="90"/>
      <c r="CK89" s="91"/>
      <c r="CL89" s="90"/>
      <c r="CM89" s="91"/>
      <c r="CN89" s="96"/>
      <c r="CO89" s="91"/>
      <c r="CP89" s="90"/>
      <c r="CQ89" s="90"/>
      <c r="CR89" s="90"/>
      <c r="CS89" s="90"/>
      <c r="CT89" s="91"/>
      <c r="CU89" s="90"/>
      <c r="CV89" s="97"/>
    </row>
    <row r="90" spans="1:100" ht="15" customHeight="1" x14ac:dyDescent="0.3">
      <c r="A90" s="117" t="s">
        <v>1923</v>
      </c>
      <c r="B90" s="118">
        <v>44288</v>
      </c>
      <c r="C90" s="117" t="s">
        <v>1922</v>
      </c>
      <c r="D90" s="117" t="s">
        <v>352</v>
      </c>
      <c r="E90" s="119" t="s">
        <v>1179</v>
      </c>
      <c r="F90" s="117" t="s">
        <v>1180</v>
      </c>
      <c r="G90" s="117" t="s">
        <v>374</v>
      </c>
      <c r="H90" s="117" t="s">
        <v>1903</v>
      </c>
      <c r="I90" s="117" t="s">
        <v>354</v>
      </c>
      <c r="J90" s="117" t="s">
        <v>1182</v>
      </c>
      <c r="K90" s="117" t="s">
        <v>424</v>
      </c>
      <c r="L90" s="117" t="s">
        <v>1924</v>
      </c>
      <c r="M90" s="119" t="s">
        <v>346</v>
      </c>
      <c r="N90" s="117" t="s">
        <v>1925</v>
      </c>
      <c r="O90" s="117" t="s">
        <v>1926</v>
      </c>
      <c r="P90" s="117" t="s">
        <v>1927</v>
      </c>
      <c r="Q90" s="118">
        <v>44323</v>
      </c>
      <c r="R90" s="118">
        <v>44378</v>
      </c>
      <c r="S90" s="117" t="s">
        <v>1928</v>
      </c>
      <c r="T90" s="118">
        <v>44404</v>
      </c>
      <c r="U90" s="120" t="s">
        <v>295</v>
      </c>
      <c r="V90" s="120" t="s">
        <v>295</v>
      </c>
      <c r="W90" s="121" t="s">
        <v>262</v>
      </c>
      <c r="X90" s="117" t="s">
        <v>1929</v>
      </c>
      <c r="Y90" s="117"/>
      <c r="Z90" s="117"/>
      <c r="AA90" s="117" t="s">
        <v>3</v>
      </c>
      <c r="AB90" s="117" t="s">
        <v>1929</v>
      </c>
      <c r="AC90" s="118">
        <v>44404</v>
      </c>
      <c r="AD90" s="117" t="s">
        <v>349</v>
      </c>
      <c r="AE90" s="117" t="s">
        <v>1115</v>
      </c>
      <c r="AF90" s="90" t="s">
        <v>1116</v>
      </c>
      <c r="AG90" s="90" t="s">
        <v>0</v>
      </c>
      <c r="AH90" s="93" t="s">
        <v>972</v>
      </c>
      <c r="AI90" s="93" t="b">
        <v>0</v>
      </c>
      <c r="AJ90" s="93"/>
      <c r="AK90" s="93" t="b">
        <v>0</v>
      </c>
      <c r="AL90" s="93"/>
      <c r="AM90" s="93" t="b">
        <v>0</v>
      </c>
      <c r="AN90" s="93" t="b">
        <v>0</v>
      </c>
      <c r="AO90" s="93" t="b">
        <v>0</v>
      </c>
      <c r="AP90" s="93" t="b">
        <v>0</v>
      </c>
      <c r="AQ90" s="93" t="b">
        <v>0</v>
      </c>
      <c r="AR90" s="93" t="b">
        <v>0</v>
      </c>
      <c r="AS90" s="93" t="b">
        <v>0</v>
      </c>
      <c r="AT90" s="107" t="s">
        <v>1931</v>
      </c>
      <c r="AU90" s="94">
        <v>9228291</v>
      </c>
      <c r="AV90" s="90" t="s">
        <v>730</v>
      </c>
      <c r="AW90" s="108" t="s">
        <v>951</v>
      </c>
      <c r="AX90" s="91">
        <v>44509</v>
      </c>
      <c r="AY90" s="108" t="s">
        <v>1101</v>
      </c>
      <c r="AZ90" s="90" t="s">
        <v>391</v>
      </c>
      <c r="BA90" s="90"/>
      <c r="BB90" s="90" t="s">
        <v>50</v>
      </c>
      <c r="BC90" s="90"/>
      <c r="BD90" s="90" t="s">
        <v>29</v>
      </c>
      <c r="BE90" s="90"/>
      <c r="BF90" s="90" t="s">
        <v>575</v>
      </c>
      <c r="BG90" s="91">
        <v>44408</v>
      </c>
      <c r="BH90" s="93" t="b">
        <v>0</v>
      </c>
      <c r="BI90" s="90"/>
      <c r="BJ90" s="90" t="s">
        <v>1930</v>
      </c>
      <c r="BK90" s="90" t="s">
        <v>1118</v>
      </c>
      <c r="BL90" s="90" t="s">
        <v>1911</v>
      </c>
      <c r="BM90" s="90"/>
      <c r="BN90" s="90"/>
      <c r="BO90" s="90"/>
      <c r="BP90" s="90"/>
      <c r="BQ90" s="90"/>
      <c r="BR90" s="95"/>
      <c r="BS90" s="90"/>
      <c r="BT90" s="90"/>
      <c r="BU90" s="90"/>
      <c r="BV90" s="90"/>
      <c r="BW90" s="90"/>
      <c r="BX90" s="90"/>
      <c r="BY90" s="90"/>
      <c r="BZ90" s="90"/>
      <c r="CA90" s="90"/>
      <c r="CB90" s="90"/>
      <c r="CC90" s="91"/>
      <c r="CD90" s="90"/>
      <c r="CE90" s="91"/>
      <c r="CF90" s="90"/>
      <c r="CG90" s="91"/>
      <c r="CH90" s="90"/>
      <c r="CI90" s="91"/>
      <c r="CJ90" s="90"/>
      <c r="CK90" s="91"/>
      <c r="CL90" s="90"/>
      <c r="CM90" s="91"/>
      <c r="CN90" s="96"/>
      <c r="CO90" s="91"/>
      <c r="CP90" s="90"/>
      <c r="CQ90" s="90"/>
      <c r="CR90" s="90"/>
      <c r="CS90" s="90"/>
      <c r="CT90" s="91"/>
      <c r="CU90" s="90"/>
      <c r="CV90" s="97"/>
    </row>
    <row r="91" spans="1:100" ht="15" customHeight="1" x14ac:dyDescent="0.3">
      <c r="A91" s="117" t="s">
        <v>1933</v>
      </c>
      <c r="B91" s="118">
        <v>44438</v>
      </c>
      <c r="C91" s="117" t="s">
        <v>1932</v>
      </c>
      <c r="D91" s="117" t="s">
        <v>364</v>
      </c>
      <c r="E91" s="119" t="s">
        <v>1104</v>
      </c>
      <c r="F91" s="117" t="s">
        <v>1105</v>
      </c>
      <c r="G91" s="117" t="s">
        <v>390</v>
      </c>
      <c r="H91" s="117" t="s">
        <v>1652</v>
      </c>
      <c r="I91" s="117" t="s">
        <v>17</v>
      </c>
      <c r="J91" s="117" t="s">
        <v>1338</v>
      </c>
      <c r="K91" s="117" t="s">
        <v>126</v>
      </c>
      <c r="L91" s="117" t="s">
        <v>1934</v>
      </c>
      <c r="M91" s="119" t="s">
        <v>346</v>
      </c>
      <c r="N91" s="117" t="s">
        <v>1935</v>
      </c>
      <c r="O91" s="117" t="s">
        <v>1936</v>
      </c>
      <c r="P91" s="117" t="s">
        <v>1937</v>
      </c>
      <c r="Q91" s="118">
        <v>44438</v>
      </c>
      <c r="R91" s="118">
        <v>44528</v>
      </c>
      <c r="S91" s="117" t="s">
        <v>1938</v>
      </c>
      <c r="T91" s="118">
        <v>44438</v>
      </c>
      <c r="U91" s="120" t="s">
        <v>295</v>
      </c>
      <c r="V91" s="120" t="s">
        <v>295</v>
      </c>
      <c r="W91" s="121" t="s">
        <v>262</v>
      </c>
      <c r="X91" s="117" t="s">
        <v>1939</v>
      </c>
      <c r="Y91" s="117"/>
      <c r="Z91" s="117"/>
      <c r="AA91" s="117" t="s">
        <v>1</v>
      </c>
      <c r="AB91" s="117" t="s">
        <v>1939</v>
      </c>
      <c r="AC91" s="118">
        <v>44438</v>
      </c>
      <c r="AD91" s="117" t="s">
        <v>349</v>
      </c>
      <c r="AE91" s="117" t="s">
        <v>1115</v>
      </c>
      <c r="AF91" s="90" t="s">
        <v>1116</v>
      </c>
      <c r="AG91" s="90" t="s">
        <v>0</v>
      </c>
      <c r="AH91" s="93" t="s">
        <v>972</v>
      </c>
      <c r="AI91" s="93" t="b">
        <v>0</v>
      </c>
      <c r="AJ91" s="93"/>
      <c r="AK91" s="93" t="b">
        <v>0</v>
      </c>
      <c r="AL91" s="93"/>
      <c r="AM91" s="93" t="b">
        <v>0</v>
      </c>
      <c r="AN91" s="93" t="b">
        <v>0</v>
      </c>
      <c r="AO91" s="93" t="b">
        <v>0</v>
      </c>
      <c r="AP91" s="93" t="b">
        <v>0</v>
      </c>
      <c r="AQ91" s="93" t="b">
        <v>0</v>
      </c>
      <c r="AR91" s="93" t="b">
        <v>0</v>
      </c>
      <c r="AS91" s="93" t="b">
        <v>0</v>
      </c>
      <c r="AT91" s="107" t="s">
        <v>1940</v>
      </c>
      <c r="AU91" s="94">
        <v>9228291</v>
      </c>
      <c r="AV91" s="90" t="s">
        <v>730</v>
      </c>
      <c r="AW91" s="108" t="s">
        <v>951</v>
      </c>
      <c r="AX91" s="91">
        <v>44509</v>
      </c>
      <c r="AY91" s="108" t="s">
        <v>1101</v>
      </c>
      <c r="AZ91" s="90" t="s">
        <v>17</v>
      </c>
      <c r="BA91" s="90" t="s">
        <v>126</v>
      </c>
      <c r="BB91" s="90" t="s">
        <v>43</v>
      </c>
      <c r="BC91" s="90"/>
      <c r="BD91" s="90" t="s">
        <v>756</v>
      </c>
      <c r="BE91" s="90"/>
      <c r="BF91" s="90"/>
      <c r="BG91" s="91"/>
      <c r="BH91" s="93" t="b">
        <v>0</v>
      </c>
      <c r="BI91" s="90"/>
      <c r="BJ91" s="90"/>
      <c r="BK91" s="90" t="s">
        <v>1382</v>
      </c>
      <c r="BL91" s="90"/>
      <c r="BM91" s="90"/>
      <c r="BN91" s="90"/>
      <c r="BO91" s="90"/>
      <c r="BP91" s="90"/>
      <c r="BQ91" s="90"/>
      <c r="BR91" s="95"/>
      <c r="BS91" s="90"/>
      <c r="BT91" s="90"/>
      <c r="BU91" s="90"/>
      <c r="BV91" s="90"/>
      <c r="BW91" s="90"/>
      <c r="BX91" s="90"/>
      <c r="BY91" s="90"/>
      <c r="BZ91" s="90"/>
      <c r="CA91" s="90"/>
      <c r="CB91" s="90"/>
      <c r="CC91" s="91"/>
      <c r="CD91" s="90"/>
      <c r="CE91" s="91"/>
      <c r="CF91" s="90"/>
      <c r="CG91" s="91"/>
      <c r="CH91" s="90"/>
      <c r="CI91" s="91"/>
      <c r="CJ91" s="90"/>
      <c r="CK91" s="91"/>
      <c r="CL91" s="90"/>
      <c r="CM91" s="91"/>
      <c r="CN91" s="96"/>
      <c r="CO91" s="91"/>
      <c r="CP91" s="90"/>
      <c r="CQ91" s="90"/>
      <c r="CR91" s="90"/>
      <c r="CS91" s="90"/>
      <c r="CT91" s="91"/>
      <c r="CU91" s="90"/>
      <c r="CV91" s="97"/>
    </row>
    <row r="92" spans="1:100" ht="15" customHeight="1" x14ac:dyDescent="0.3">
      <c r="A92" s="117" t="s">
        <v>1942</v>
      </c>
      <c r="B92" s="118">
        <v>44438</v>
      </c>
      <c r="C92" s="117" t="s">
        <v>1941</v>
      </c>
      <c r="D92" s="117" t="s">
        <v>364</v>
      </c>
      <c r="E92" s="119" t="s">
        <v>1104</v>
      </c>
      <c r="F92" s="117" t="s">
        <v>1105</v>
      </c>
      <c r="G92" s="117" t="s">
        <v>390</v>
      </c>
      <c r="H92" s="117" t="s">
        <v>1631</v>
      </c>
      <c r="I92" s="117" t="s">
        <v>12</v>
      </c>
      <c r="J92" s="117" t="s">
        <v>1363</v>
      </c>
      <c r="K92" s="117" t="s">
        <v>177</v>
      </c>
      <c r="L92" s="117" t="s">
        <v>1364</v>
      </c>
      <c r="M92" s="119" t="s">
        <v>346</v>
      </c>
      <c r="N92" s="117" t="s">
        <v>1943</v>
      </c>
      <c r="O92" s="117" t="s">
        <v>1944</v>
      </c>
      <c r="P92" s="117" t="s">
        <v>1945</v>
      </c>
      <c r="Q92" s="118">
        <v>44236</v>
      </c>
      <c r="R92" s="118">
        <v>44528</v>
      </c>
      <c r="S92" s="117" t="s">
        <v>1946</v>
      </c>
      <c r="T92" s="118">
        <v>44236</v>
      </c>
      <c r="U92" s="120" t="s">
        <v>295</v>
      </c>
      <c r="V92" s="120" t="s">
        <v>295</v>
      </c>
      <c r="W92" s="121" t="s">
        <v>262</v>
      </c>
      <c r="X92" s="117" t="s">
        <v>1947</v>
      </c>
      <c r="Y92" s="117"/>
      <c r="Z92" s="117"/>
      <c r="AA92" s="117" t="s">
        <v>1</v>
      </c>
      <c r="AB92" s="117" t="s">
        <v>1948</v>
      </c>
      <c r="AC92" s="118">
        <v>44441</v>
      </c>
      <c r="AD92" s="117" t="s">
        <v>349</v>
      </c>
      <c r="AE92" s="117" t="s">
        <v>1949</v>
      </c>
      <c r="AF92" s="90" t="s">
        <v>1116</v>
      </c>
      <c r="AG92" s="90" t="s">
        <v>0</v>
      </c>
      <c r="AH92" s="93" t="s">
        <v>972</v>
      </c>
      <c r="AI92" s="93" t="b">
        <v>0</v>
      </c>
      <c r="AJ92" s="93"/>
      <c r="AK92" s="93" t="b">
        <v>0</v>
      </c>
      <c r="AL92" s="93"/>
      <c r="AM92" s="93" t="b">
        <v>0</v>
      </c>
      <c r="AN92" s="93" t="b">
        <v>0</v>
      </c>
      <c r="AO92" s="93" t="b">
        <v>0</v>
      </c>
      <c r="AP92" s="93" t="b">
        <v>0</v>
      </c>
      <c r="AQ92" s="93" t="b">
        <v>0</v>
      </c>
      <c r="AR92" s="93" t="b">
        <v>0</v>
      </c>
      <c r="AS92" s="93" t="b">
        <v>0</v>
      </c>
      <c r="AT92" s="107" t="s">
        <v>1950</v>
      </c>
      <c r="AU92" s="94">
        <v>9228291</v>
      </c>
      <c r="AV92" s="90" t="s">
        <v>730</v>
      </c>
      <c r="AW92" s="108" t="s">
        <v>951</v>
      </c>
      <c r="AX92" s="91">
        <v>44509</v>
      </c>
      <c r="AY92" s="108" t="s">
        <v>1101</v>
      </c>
      <c r="AZ92" s="90" t="s">
        <v>12</v>
      </c>
      <c r="BA92" s="90" t="s">
        <v>177</v>
      </c>
      <c r="BB92" s="90" t="s">
        <v>36</v>
      </c>
      <c r="BC92" s="90"/>
      <c r="BD92" s="90" t="s">
        <v>28</v>
      </c>
      <c r="BE92" s="90"/>
      <c r="BF92" s="90"/>
      <c r="BG92" s="91"/>
      <c r="BH92" s="93" t="b">
        <v>0</v>
      </c>
      <c r="BI92" s="90"/>
      <c r="BJ92" s="90"/>
      <c r="BK92" s="90" t="s">
        <v>1382</v>
      </c>
      <c r="BL92" s="90"/>
      <c r="BM92" s="90"/>
      <c r="BN92" s="90"/>
      <c r="BO92" s="90"/>
      <c r="BP92" s="90"/>
      <c r="BQ92" s="90"/>
      <c r="BR92" s="95"/>
      <c r="BS92" s="90"/>
      <c r="BT92" s="90"/>
      <c r="BU92" s="90"/>
      <c r="BV92" s="90"/>
      <c r="BW92" s="90"/>
      <c r="BX92" s="90"/>
      <c r="BY92" s="90"/>
      <c r="BZ92" s="90"/>
      <c r="CA92" s="90"/>
      <c r="CB92" s="90"/>
      <c r="CC92" s="91"/>
      <c r="CD92" s="90"/>
      <c r="CE92" s="91"/>
      <c r="CF92" s="90"/>
      <c r="CG92" s="91"/>
      <c r="CH92" s="90"/>
      <c r="CI92" s="91"/>
      <c r="CJ92" s="90"/>
      <c r="CK92" s="91"/>
      <c r="CL92" s="90"/>
      <c r="CM92" s="91"/>
      <c r="CN92" s="96"/>
      <c r="CO92" s="91"/>
      <c r="CP92" s="90"/>
      <c r="CQ92" s="90"/>
      <c r="CR92" s="90"/>
      <c r="CS92" s="90"/>
      <c r="CT92" s="91"/>
      <c r="CU92" s="90"/>
      <c r="CV92" s="97"/>
    </row>
    <row r="93" spans="1:100" ht="15" customHeight="1" x14ac:dyDescent="0.3">
      <c r="A93" s="117" t="s">
        <v>1952</v>
      </c>
      <c r="B93" s="118">
        <v>44451</v>
      </c>
      <c r="C93" s="117" t="s">
        <v>1951</v>
      </c>
      <c r="D93" s="117" t="s">
        <v>337</v>
      </c>
      <c r="E93" s="119" t="s">
        <v>1426</v>
      </c>
      <c r="F93" s="117" t="s">
        <v>1427</v>
      </c>
      <c r="G93" s="117" t="s">
        <v>370</v>
      </c>
      <c r="H93" s="117" t="s">
        <v>1953</v>
      </c>
      <c r="I93" s="117" t="s">
        <v>339</v>
      </c>
      <c r="J93" s="117" t="s">
        <v>1429</v>
      </c>
      <c r="K93" s="117" t="s">
        <v>28</v>
      </c>
      <c r="L93" s="117" t="s">
        <v>1430</v>
      </c>
      <c r="M93" s="119" t="s">
        <v>346</v>
      </c>
      <c r="N93" s="134" t="s">
        <v>1954</v>
      </c>
      <c r="O93" s="117" t="s">
        <v>1955</v>
      </c>
      <c r="P93" s="117" t="s">
        <v>1718</v>
      </c>
      <c r="Q93" s="118">
        <v>44451</v>
      </c>
      <c r="R93" s="118"/>
      <c r="S93" s="117"/>
      <c r="T93" s="118">
        <v>44451</v>
      </c>
      <c r="U93" s="120" t="s">
        <v>295</v>
      </c>
      <c r="V93" s="120" t="s">
        <v>295</v>
      </c>
      <c r="W93" s="121" t="s">
        <v>262</v>
      </c>
      <c r="X93" s="134" t="s">
        <v>1719</v>
      </c>
      <c r="Y93" s="117"/>
      <c r="Z93" s="117"/>
      <c r="AA93" s="117" t="s">
        <v>2</v>
      </c>
      <c r="AB93" s="134" t="s">
        <v>2230</v>
      </c>
      <c r="AC93" s="118">
        <v>44451</v>
      </c>
      <c r="AD93" s="117" t="s">
        <v>349</v>
      </c>
      <c r="AE93" s="117" t="s">
        <v>1721</v>
      </c>
      <c r="AF93" s="90" t="s">
        <v>1116</v>
      </c>
      <c r="AG93" s="90" t="s">
        <v>0</v>
      </c>
      <c r="AH93" s="93" t="s">
        <v>972</v>
      </c>
      <c r="AI93" s="93" t="b">
        <v>0</v>
      </c>
      <c r="AJ93" s="93"/>
      <c r="AK93" s="93" t="b">
        <v>0</v>
      </c>
      <c r="AL93" s="93"/>
      <c r="AM93" s="93" t="b">
        <v>0</v>
      </c>
      <c r="AN93" s="93" t="b">
        <v>0</v>
      </c>
      <c r="AO93" s="93" t="b">
        <v>0</v>
      </c>
      <c r="AP93" s="93" t="b">
        <v>0</v>
      </c>
      <c r="AQ93" s="93" t="b">
        <v>0</v>
      </c>
      <c r="AR93" s="93" t="b">
        <v>0</v>
      </c>
      <c r="AS93" s="93" t="b">
        <v>0</v>
      </c>
      <c r="AT93" s="107" t="s">
        <v>2232</v>
      </c>
      <c r="AU93" s="94">
        <v>9228291</v>
      </c>
      <c r="AV93" s="90" t="s">
        <v>730</v>
      </c>
      <c r="AW93" s="108" t="s">
        <v>951</v>
      </c>
      <c r="AX93" s="91">
        <v>44617</v>
      </c>
      <c r="AY93" s="108" t="s">
        <v>1101</v>
      </c>
      <c r="AZ93" s="90"/>
      <c r="BA93" s="90"/>
      <c r="BB93" s="90" t="s">
        <v>38</v>
      </c>
      <c r="BC93" s="90"/>
      <c r="BD93" s="90" t="s">
        <v>28</v>
      </c>
      <c r="BE93" s="90"/>
      <c r="BF93" s="90" t="s">
        <v>575</v>
      </c>
      <c r="BG93" s="91">
        <v>44561</v>
      </c>
      <c r="BH93" s="93" t="b">
        <v>0</v>
      </c>
      <c r="BI93" s="90"/>
      <c r="BJ93" s="90" t="s">
        <v>2231</v>
      </c>
      <c r="BK93" s="90" t="s">
        <v>1382</v>
      </c>
      <c r="BL93" s="90" t="s">
        <v>1956</v>
      </c>
      <c r="BM93" s="90"/>
      <c r="BN93" s="90" t="s">
        <v>1957</v>
      </c>
      <c r="BO93" s="90" t="s">
        <v>1958</v>
      </c>
      <c r="BP93" s="90" t="s">
        <v>1439</v>
      </c>
      <c r="BQ93" s="90" t="s">
        <v>1440</v>
      </c>
      <c r="BR93" s="95"/>
      <c r="BS93" s="90" t="s">
        <v>1726</v>
      </c>
      <c r="BT93" s="90" t="s">
        <v>1727</v>
      </c>
      <c r="BU93" s="90" t="s">
        <v>1959</v>
      </c>
      <c r="BV93" s="90"/>
      <c r="BW93" s="90"/>
      <c r="BX93" s="90"/>
      <c r="BY93" s="90"/>
      <c r="BZ93" s="90"/>
      <c r="CA93" s="90"/>
      <c r="CB93" s="90"/>
      <c r="CC93" s="91"/>
      <c r="CD93" s="90"/>
      <c r="CE93" s="91"/>
      <c r="CF93" s="90"/>
      <c r="CG93" s="91"/>
      <c r="CH93" s="90"/>
      <c r="CI93" s="91"/>
      <c r="CJ93" s="90"/>
      <c r="CK93" s="91"/>
      <c r="CL93" s="90"/>
      <c r="CM93" s="91"/>
      <c r="CN93" s="96"/>
      <c r="CO93" s="91"/>
      <c r="CP93" s="90" t="s">
        <v>771</v>
      </c>
      <c r="CQ93" s="90" t="s">
        <v>568</v>
      </c>
      <c r="CR93" s="90" t="s">
        <v>1721</v>
      </c>
      <c r="CS93" s="90">
        <v>8</v>
      </c>
      <c r="CT93" s="91">
        <v>44469</v>
      </c>
      <c r="CU93" s="90" t="s">
        <v>1721</v>
      </c>
      <c r="CV93" s="97">
        <v>44469</v>
      </c>
    </row>
    <row r="94" spans="1:100" ht="15" customHeight="1" x14ac:dyDescent="0.3">
      <c r="A94" s="117" t="s">
        <v>1961</v>
      </c>
      <c r="B94" s="118">
        <v>44451</v>
      </c>
      <c r="C94" s="117" t="s">
        <v>1960</v>
      </c>
      <c r="D94" s="117" t="s">
        <v>337</v>
      </c>
      <c r="E94" s="119" t="s">
        <v>1426</v>
      </c>
      <c r="F94" s="117" t="s">
        <v>1427</v>
      </c>
      <c r="G94" s="117" t="s">
        <v>370</v>
      </c>
      <c r="H94" s="117" t="s">
        <v>1953</v>
      </c>
      <c r="I94" s="117" t="s">
        <v>339</v>
      </c>
      <c r="J94" s="117" t="s">
        <v>1429</v>
      </c>
      <c r="K94" s="117" t="s">
        <v>28</v>
      </c>
      <c r="L94" s="117" t="s">
        <v>1430</v>
      </c>
      <c r="M94" s="119" t="s">
        <v>346</v>
      </c>
      <c r="N94" s="117" t="s">
        <v>1962</v>
      </c>
      <c r="O94" s="117" t="s">
        <v>1963</v>
      </c>
      <c r="P94" s="117" t="s">
        <v>1964</v>
      </c>
      <c r="Q94" s="118">
        <v>44451</v>
      </c>
      <c r="R94" s="118"/>
      <c r="S94" s="117" t="s">
        <v>1965</v>
      </c>
      <c r="T94" s="118">
        <v>44451</v>
      </c>
      <c r="U94" s="120" t="s">
        <v>295</v>
      </c>
      <c r="V94" s="120" t="s">
        <v>295</v>
      </c>
      <c r="W94" s="121" t="s">
        <v>262</v>
      </c>
      <c r="X94" s="117" t="s">
        <v>1966</v>
      </c>
      <c r="Y94" s="117"/>
      <c r="Z94" s="117"/>
      <c r="AA94" s="117" t="s">
        <v>2</v>
      </c>
      <c r="AB94" s="117" t="s">
        <v>1967</v>
      </c>
      <c r="AC94" s="118">
        <v>44451</v>
      </c>
      <c r="AD94" s="117" t="s">
        <v>349</v>
      </c>
      <c r="AE94" s="117" t="s">
        <v>1721</v>
      </c>
      <c r="AF94" s="90" t="s">
        <v>1116</v>
      </c>
      <c r="AG94" s="90" t="s">
        <v>0</v>
      </c>
      <c r="AH94" s="93" t="s">
        <v>972</v>
      </c>
      <c r="AI94" s="93" t="b">
        <v>0</v>
      </c>
      <c r="AJ94" s="93"/>
      <c r="AK94" s="93" t="b">
        <v>0</v>
      </c>
      <c r="AL94" s="93"/>
      <c r="AM94" s="93" t="b">
        <v>0</v>
      </c>
      <c r="AN94" s="93" t="b">
        <v>0</v>
      </c>
      <c r="AO94" s="93" t="b">
        <v>0</v>
      </c>
      <c r="AP94" s="93" t="b">
        <v>0</v>
      </c>
      <c r="AQ94" s="93" t="b">
        <v>0</v>
      </c>
      <c r="AR94" s="93" t="b">
        <v>0</v>
      </c>
      <c r="AS94" s="93" t="b">
        <v>0</v>
      </c>
      <c r="AT94" s="107" t="s">
        <v>1969</v>
      </c>
      <c r="AU94" s="94">
        <v>9228291</v>
      </c>
      <c r="AV94" s="90" t="s">
        <v>730</v>
      </c>
      <c r="AW94" s="108" t="s">
        <v>951</v>
      </c>
      <c r="AX94" s="91">
        <v>44509</v>
      </c>
      <c r="AY94" s="108" t="s">
        <v>1101</v>
      </c>
      <c r="AZ94" s="90"/>
      <c r="BA94" s="90"/>
      <c r="BB94" s="90"/>
      <c r="BC94" s="90"/>
      <c r="BD94" s="90" t="s">
        <v>28</v>
      </c>
      <c r="BE94" s="90" t="s">
        <v>1968</v>
      </c>
      <c r="BF94" s="90"/>
      <c r="BG94" s="91"/>
      <c r="BH94" s="93" t="b">
        <v>0</v>
      </c>
      <c r="BI94" s="90"/>
      <c r="BJ94" s="90"/>
      <c r="BK94" s="90" t="s">
        <v>1382</v>
      </c>
      <c r="BL94" s="90" t="s">
        <v>1956</v>
      </c>
      <c r="BM94" s="90"/>
      <c r="BN94" s="90" t="s">
        <v>1957</v>
      </c>
      <c r="BO94" s="90" t="s">
        <v>1958</v>
      </c>
      <c r="BP94" s="90" t="s">
        <v>1439</v>
      </c>
      <c r="BQ94" s="90" t="s">
        <v>1440</v>
      </c>
      <c r="BR94" s="95"/>
      <c r="BS94" s="90" t="s">
        <v>1726</v>
      </c>
      <c r="BT94" s="90" t="s">
        <v>1727</v>
      </c>
      <c r="BU94" s="90" t="s">
        <v>1959</v>
      </c>
      <c r="BV94" s="90"/>
      <c r="BW94" s="90"/>
      <c r="BX94" s="90"/>
      <c r="BY94" s="90"/>
      <c r="BZ94" s="90"/>
      <c r="CA94" s="90"/>
      <c r="CB94" s="90"/>
      <c r="CC94" s="91"/>
      <c r="CD94" s="90"/>
      <c r="CE94" s="91"/>
      <c r="CF94" s="90"/>
      <c r="CG94" s="91"/>
      <c r="CH94" s="90"/>
      <c r="CI94" s="91"/>
      <c r="CJ94" s="90"/>
      <c r="CK94" s="91"/>
      <c r="CL94" s="90"/>
      <c r="CM94" s="91"/>
      <c r="CN94" s="96"/>
      <c r="CO94" s="91"/>
      <c r="CP94" s="90" t="s">
        <v>771</v>
      </c>
      <c r="CQ94" s="90" t="s">
        <v>568</v>
      </c>
      <c r="CR94" s="90" t="s">
        <v>1721</v>
      </c>
      <c r="CS94" s="90">
        <v>8</v>
      </c>
      <c r="CT94" s="91">
        <v>44469</v>
      </c>
      <c r="CU94" s="90" t="s">
        <v>1721</v>
      </c>
      <c r="CV94" s="97">
        <v>44469</v>
      </c>
    </row>
    <row r="95" spans="1:100" ht="15" customHeight="1" x14ac:dyDescent="0.3">
      <c r="A95" s="117" t="s">
        <v>1971</v>
      </c>
      <c r="B95" s="118">
        <v>44451</v>
      </c>
      <c r="C95" s="117" t="s">
        <v>1970</v>
      </c>
      <c r="D95" s="117" t="s">
        <v>337</v>
      </c>
      <c r="E95" s="119" t="s">
        <v>1426</v>
      </c>
      <c r="F95" s="117" t="s">
        <v>1427</v>
      </c>
      <c r="G95" s="117" t="s">
        <v>370</v>
      </c>
      <c r="H95" s="117" t="s">
        <v>1953</v>
      </c>
      <c r="I95" s="117" t="s">
        <v>339</v>
      </c>
      <c r="J95" s="117" t="s">
        <v>1429</v>
      </c>
      <c r="K95" s="117" t="s">
        <v>757</v>
      </c>
      <c r="L95" s="117" t="s">
        <v>1475</v>
      </c>
      <c r="M95" s="119" t="s">
        <v>346</v>
      </c>
      <c r="N95" s="117" t="s">
        <v>1972</v>
      </c>
      <c r="O95" s="117" t="s">
        <v>1973</v>
      </c>
      <c r="P95" s="117" t="s">
        <v>1974</v>
      </c>
      <c r="Q95" s="118">
        <v>44459</v>
      </c>
      <c r="R95" s="118"/>
      <c r="S95" s="117" t="s">
        <v>1975</v>
      </c>
      <c r="T95" s="118">
        <v>44459</v>
      </c>
      <c r="U95" s="120" t="s">
        <v>295</v>
      </c>
      <c r="V95" s="120" t="s">
        <v>295</v>
      </c>
      <c r="W95" s="121" t="s">
        <v>262</v>
      </c>
      <c r="X95" s="117" t="s">
        <v>1976</v>
      </c>
      <c r="Y95" s="117"/>
      <c r="Z95" s="117"/>
      <c r="AA95" s="117" t="s">
        <v>1</v>
      </c>
      <c r="AB95" s="117" t="s">
        <v>1977</v>
      </c>
      <c r="AC95" s="118">
        <v>44459</v>
      </c>
      <c r="AD95" s="117" t="s">
        <v>349</v>
      </c>
      <c r="AE95" s="117" t="s">
        <v>1721</v>
      </c>
      <c r="AF95" s="90" t="s">
        <v>1116</v>
      </c>
      <c r="AG95" s="90" t="s">
        <v>0</v>
      </c>
      <c r="AH95" s="93" t="s">
        <v>972</v>
      </c>
      <c r="AI95" s="93" t="b">
        <v>0</v>
      </c>
      <c r="AJ95" s="93"/>
      <c r="AK95" s="93" t="b">
        <v>0</v>
      </c>
      <c r="AL95" s="93"/>
      <c r="AM95" s="93" t="b">
        <v>0</v>
      </c>
      <c r="AN95" s="93" t="b">
        <v>0</v>
      </c>
      <c r="AO95" s="93" t="b">
        <v>0</v>
      </c>
      <c r="AP95" s="93" t="b">
        <v>0</v>
      </c>
      <c r="AQ95" s="93" t="b">
        <v>0</v>
      </c>
      <c r="AR95" s="93" t="b">
        <v>0</v>
      </c>
      <c r="AS95" s="93" t="b">
        <v>0</v>
      </c>
      <c r="AT95" s="107" t="s">
        <v>1979</v>
      </c>
      <c r="AU95" s="94">
        <v>9228291</v>
      </c>
      <c r="AV95" s="90" t="s">
        <v>730</v>
      </c>
      <c r="AW95" s="108" t="s">
        <v>951</v>
      </c>
      <c r="AX95" s="91">
        <v>44509</v>
      </c>
      <c r="AY95" s="108" t="s">
        <v>1101</v>
      </c>
      <c r="AZ95" s="90"/>
      <c r="BA95" s="90"/>
      <c r="BB95" s="90"/>
      <c r="BC95" s="90"/>
      <c r="BD95" s="90" t="s">
        <v>757</v>
      </c>
      <c r="BE95" s="90" t="s">
        <v>1978</v>
      </c>
      <c r="BF95" s="90"/>
      <c r="BG95" s="91"/>
      <c r="BH95" s="93" t="b">
        <v>0</v>
      </c>
      <c r="BI95" s="90"/>
      <c r="BJ95" s="90"/>
      <c r="BK95" s="90" t="s">
        <v>1382</v>
      </c>
      <c r="BL95" s="90" t="s">
        <v>1956</v>
      </c>
      <c r="BM95" s="90"/>
      <c r="BN95" s="90" t="s">
        <v>1957</v>
      </c>
      <c r="BO95" s="90" t="s">
        <v>1958</v>
      </c>
      <c r="BP95" s="90" t="s">
        <v>1439</v>
      </c>
      <c r="BQ95" s="90" t="s">
        <v>1440</v>
      </c>
      <c r="BR95" s="95"/>
      <c r="BS95" s="90" t="s">
        <v>1726</v>
      </c>
      <c r="BT95" s="90" t="s">
        <v>1727</v>
      </c>
      <c r="BU95" s="90" t="s">
        <v>1959</v>
      </c>
      <c r="BV95" s="90"/>
      <c r="BW95" s="90"/>
      <c r="BX95" s="90"/>
      <c r="BY95" s="90"/>
      <c r="BZ95" s="90"/>
      <c r="CA95" s="90"/>
      <c r="CB95" s="90"/>
      <c r="CC95" s="91"/>
      <c r="CD95" s="90"/>
      <c r="CE95" s="91"/>
      <c r="CF95" s="90"/>
      <c r="CG95" s="91"/>
      <c r="CH95" s="90"/>
      <c r="CI95" s="91"/>
      <c r="CJ95" s="90"/>
      <c r="CK95" s="91"/>
      <c r="CL95" s="90"/>
      <c r="CM95" s="91"/>
      <c r="CN95" s="96"/>
      <c r="CO95" s="91"/>
      <c r="CP95" s="90" t="s">
        <v>771</v>
      </c>
      <c r="CQ95" s="90" t="s">
        <v>568</v>
      </c>
      <c r="CR95" s="90" t="s">
        <v>1721</v>
      </c>
      <c r="CS95" s="90">
        <v>5</v>
      </c>
      <c r="CT95" s="91">
        <v>44469</v>
      </c>
      <c r="CU95" s="90" t="s">
        <v>1721</v>
      </c>
      <c r="CV95" s="97">
        <v>44469</v>
      </c>
    </row>
    <row r="96" spans="1:100" ht="15" customHeight="1" x14ac:dyDescent="0.3">
      <c r="A96" s="117" t="s">
        <v>1981</v>
      </c>
      <c r="B96" s="118">
        <v>44453</v>
      </c>
      <c r="C96" s="117" t="s">
        <v>1980</v>
      </c>
      <c r="D96" s="117" t="s">
        <v>364</v>
      </c>
      <c r="E96" s="119" t="s">
        <v>1104</v>
      </c>
      <c r="F96" s="117" t="s">
        <v>1105</v>
      </c>
      <c r="G96" s="117" t="s">
        <v>390</v>
      </c>
      <c r="H96" s="117" t="s">
        <v>1356</v>
      </c>
      <c r="I96" s="117" t="s">
        <v>584</v>
      </c>
      <c r="J96" s="117" t="s">
        <v>1107</v>
      </c>
      <c r="K96" s="117" t="s">
        <v>82</v>
      </c>
      <c r="L96" s="117" t="s">
        <v>1108</v>
      </c>
      <c r="M96" s="119" t="s">
        <v>346</v>
      </c>
      <c r="N96" s="117" t="s">
        <v>1982</v>
      </c>
      <c r="O96" s="117" t="s">
        <v>1983</v>
      </c>
      <c r="P96" s="117" t="s">
        <v>1984</v>
      </c>
      <c r="Q96" s="118">
        <v>44453</v>
      </c>
      <c r="R96" s="118">
        <v>44543</v>
      </c>
      <c r="S96" s="117" t="s">
        <v>1985</v>
      </c>
      <c r="T96" s="118">
        <v>44457</v>
      </c>
      <c r="U96" s="120" t="s">
        <v>295</v>
      </c>
      <c r="V96" s="120" t="s">
        <v>295</v>
      </c>
      <c r="W96" s="121" t="s">
        <v>262</v>
      </c>
      <c r="X96" s="117" t="s">
        <v>1986</v>
      </c>
      <c r="Y96" s="117"/>
      <c r="Z96" s="117"/>
      <c r="AA96" s="117" t="s">
        <v>4</v>
      </c>
      <c r="AB96" s="117" t="s">
        <v>1987</v>
      </c>
      <c r="AC96" s="118">
        <v>44457</v>
      </c>
      <c r="AD96" s="117" t="s">
        <v>349</v>
      </c>
      <c r="AE96" s="117" t="s">
        <v>1115</v>
      </c>
      <c r="AF96" s="90" t="s">
        <v>1116</v>
      </c>
      <c r="AG96" s="90" t="s">
        <v>0</v>
      </c>
      <c r="AH96" s="93" t="s">
        <v>972</v>
      </c>
      <c r="AI96" s="93" t="b">
        <v>0</v>
      </c>
      <c r="AJ96" s="93"/>
      <c r="AK96" s="93" t="b">
        <v>0</v>
      </c>
      <c r="AL96" s="93"/>
      <c r="AM96" s="93" t="b">
        <v>1</v>
      </c>
      <c r="AN96" s="93" t="b">
        <v>0</v>
      </c>
      <c r="AO96" s="93" t="b">
        <v>0</v>
      </c>
      <c r="AP96" s="93" t="b">
        <v>0</v>
      </c>
      <c r="AQ96" s="93" t="b">
        <v>0</v>
      </c>
      <c r="AR96" s="93" t="b">
        <v>0</v>
      </c>
      <c r="AS96" s="93" t="b">
        <v>0</v>
      </c>
      <c r="AT96" s="107" t="s">
        <v>1988</v>
      </c>
      <c r="AU96" s="94">
        <v>9228291</v>
      </c>
      <c r="AV96" s="90" t="s">
        <v>730</v>
      </c>
      <c r="AW96" s="108" t="s">
        <v>951</v>
      </c>
      <c r="AX96" s="91">
        <v>44509</v>
      </c>
      <c r="AY96" s="108" t="s">
        <v>1101</v>
      </c>
      <c r="AZ96" s="90" t="s">
        <v>584</v>
      </c>
      <c r="BA96" s="90" t="s">
        <v>82</v>
      </c>
      <c r="BB96" s="90" t="s">
        <v>38</v>
      </c>
      <c r="BC96" s="90"/>
      <c r="BD96" s="90" t="s">
        <v>28</v>
      </c>
      <c r="BE96" s="90"/>
      <c r="BF96" s="90"/>
      <c r="BG96" s="91"/>
      <c r="BH96" s="93" t="b">
        <v>0</v>
      </c>
      <c r="BI96" s="90"/>
      <c r="BJ96" s="90"/>
      <c r="BK96" s="90" t="s">
        <v>1382</v>
      </c>
      <c r="BL96" s="90"/>
      <c r="BM96" s="90"/>
      <c r="BN96" s="90"/>
      <c r="BO96" s="90"/>
      <c r="BP96" s="90"/>
      <c r="BQ96" s="90"/>
      <c r="BR96" s="95"/>
      <c r="BS96" s="90"/>
      <c r="BT96" s="90"/>
      <c r="BU96" s="90"/>
      <c r="BV96" s="90"/>
      <c r="BW96" s="90"/>
      <c r="BX96" s="90"/>
      <c r="BY96" s="90"/>
      <c r="BZ96" s="90"/>
      <c r="CA96" s="90"/>
      <c r="CB96" s="90"/>
      <c r="CC96" s="91"/>
      <c r="CD96" s="90"/>
      <c r="CE96" s="91"/>
      <c r="CF96" s="90"/>
      <c r="CG96" s="91"/>
      <c r="CH96" s="90"/>
      <c r="CI96" s="91"/>
      <c r="CJ96" s="90"/>
      <c r="CK96" s="91"/>
      <c r="CL96" s="90"/>
      <c r="CM96" s="91"/>
      <c r="CN96" s="96"/>
      <c r="CO96" s="91"/>
      <c r="CP96" s="90"/>
      <c r="CQ96" s="90"/>
      <c r="CR96" s="90"/>
      <c r="CS96" s="90"/>
      <c r="CT96" s="91"/>
      <c r="CU96" s="90"/>
      <c r="CV96" s="97"/>
    </row>
    <row r="97" spans="1:100" ht="15" customHeight="1" x14ac:dyDescent="0.3">
      <c r="A97" s="117" t="s">
        <v>1990</v>
      </c>
      <c r="B97" s="118">
        <v>44454</v>
      </c>
      <c r="C97" s="117" t="s">
        <v>1989</v>
      </c>
      <c r="D97" s="117" t="s">
        <v>364</v>
      </c>
      <c r="E97" s="119" t="s">
        <v>1104</v>
      </c>
      <c r="F97" s="117" t="s">
        <v>1105</v>
      </c>
      <c r="G97" s="117" t="s">
        <v>390</v>
      </c>
      <c r="H97" s="117" t="s">
        <v>1356</v>
      </c>
      <c r="I97" s="117" t="s">
        <v>583</v>
      </c>
      <c r="J97" s="117" t="s">
        <v>1604</v>
      </c>
      <c r="K97" s="117" t="s">
        <v>143</v>
      </c>
      <c r="L97" s="117" t="s">
        <v>1605</v>
      </c>
      <c r="M97" s="119" t="s">
        <v>346</v>
      </c>
      <c r="N97" s="117" t="s">
        <v>1991</v>
      </c>
      <c r="O97" s="117" t="s">
        <v>1992</v>
      </c>
      <c r="P97" s="117" t="s">
        <v>1993</v>
      </c>
      <c r="Q97" s="118">
        <v>44454</v>
      </c>
      <c r="R97" s="118">
        <v>44544</v>
      </c>
      <c r="S97" s="117" t="s">
        <v>1994</v>
      </c>
      <c r="T97" s="118">
        <v>44455</v>
      </c>
      <c r="U97" s="120" t="s">
        <v>295</v>
      </c>
      <c r="V97" s="120" t="s">
        <v>295</v>
      </c>
      <c r="W97" s="121" t="s">
        <v>262</v>
      </c>
      <c r="X97" s="117" t="s">
        <v>1995</v>
      </c>
      <c r="Y97" s="117"/>
      <c r="Z97" s="117"/>
      <c r="AA97" s="117" t="s">
        <v>1</v>
      </c>
      <c r="AB97" s="117" t="s">
        <v>1996</v>
      </c>
      <c r="AC97" s="118">
        <v>44455</v>
      </c>
      <c r="AD97" s="117" t="s">
        <v>349</v>
      </c>
      <c r="AE97" s="117" t="s">
        <v>1115</v>
      </c>
      <c r="AF97" s="90" t="s">
        <v>1116</v>
      </c>
      <c r="AG97" s="90" t="s">
        <v>0</v>
      </c>
      <c r="AH97" s="93" t="s">
        <v>972</v>
      </c>
      <c r="AI97" s="93" t="b">
        <v>0</v>
      </c>
      <c r="AJ97" s="93"/>
      <c r="AK97" s="93" t="b">
        <v>0</v>
      </c>
      <c r="AL97" s="93"/>
      <c r="AM97" s="93" t="b">
        <v>1</v>
      </c>
      <c r="AN97" s="93" t="b">
        <v>0</v>
      </c>
      <c r="AO97" s="93" t="b">
        <v>0</v>
      </c>
      <c r="AP97" s="93" t="b">
        <v>0</v>
      </c>
      <c r="AQ97" s="93" t="b">
        <v>0</v>
      </c>
      <c r="AR97" s="93" t="b">
        <v>0</v>
      </c>
      <c r="AS97" s="93" t="b">
        <v>0</v>
      </c>
      <c r="AT97" s="107" t="s">
        <v>1998</v>
      </c>
      <c r="AU97" s="94">
        <v>9228291</v>
      </c>
      <c r="AV97" s="90" t="s">
        <v>730</v>
      </c>
      <c r="AW97" s="108" t="s">
        <v>951</v>
      </c>
      <c r="AX97" s="91">
        <v>44509</v>
      </c>
      <c r="AY97" s="108" t="s">
        <v>1101</v>
      </c>
      <c r="AZ97" s="90" t="s">
        <v>583</v>
      </c>
      <c r="BA97" s="90" t="s">
        <v>143</v>
      </c>
      <c r="BB97" s="90" t="s">
        <v>38</v>
      </c>
      <c r="BC97" s="90"/>
      <c r="BD97" s="90" t="s">
        <v>28</v>
      </c>
      <c r="BE97" s="90"/>
      <c r="BF97" s="90"/>
      <c r="BG97" s="91"/>
      <c r="BH97" s="93" t="b">
        <v>0</v>
      </c>
      <c r="BI97" s="90" t="s">
        <v>1997</v>
      </c>
      <c r="BJ97" s="90"/>
      <c r="BK97" s="90" t="s">
        <v>1382</v>
      </c>
      <c r="BL97" s="90"/>
      <c r="BM97" s="90"/>
      <c r="BN97" s="90"/>
      <c r="BO97" s="90"/>
      <c r="BP97" s="90"/>
      <c r="BQ97" s="90"/>
      <c r="BR97" s="95"/>
      <c r="BS97" s="90"/>
      <c r="BT97" s="90"/>
      <c r="BU97" s="90"/>
      <c r="BV97" s="90"/>
      <c r="BW97" s="90"/>
      <c r="BX97" s="90"/>
      <c r="BY97" s="90"/>
      <c r="BZ97" s="90"/>
      <c r="CA97" s="90"/>
      <c r="CB97" s="90"/>
      <c r="CC97" s="91"/>
      <c r="CD97" s="90"/>
      <c r="CE97" s="91"/>
      <c r="CF97" s="90"/>
      <c r="CG97" s="91"/>
      <c r="CH97" s="90"/>
      <c r="CI97" s="91"/>
      <c r="CJ97" s="90"/>
      <c r="CK97" s="91"/>
      <c r="CL97" s="90"/>
      <c r="CM97" s="91"/>
      <c r="CN97" s="96"/>
      <c r="CO97" s="91"/>
      <c r="CP97" s="90"/>
      <c r="CQ97" s="90"/>
      <c r="CR97" s="90"/>
      <c r="CS97" s="90"/>
      <c r="CT97" s="91"/>
      <c r="CU97" s="90"/>
      <c r="CV97" s="97"/>
    </row>
    <row r="98" spans="1:100" ht="15" customHeight="1" x14ac:dyDescent="0.3">
      <c r="A98" s="117" t="s">
        <v>2000</v>
      </c>
      <c r="B98" s="118">
        <v>44460</v>
      </c>
      <c r="C98" s="117" t="s">
        <v>1999</v>
      </c>
      <c r="D98" s="117" t="s">
        <v>364</v>
      </c>
      <c r="E98" s="119" t="s">
        <v>1104</v>
      </c>
      <c r="F98" s="117" t="s">
        <v>1105</v>
      </c>
      <c r="G98" s="117" t="s">
        <v>390</v>
      </c>
      <c r="H98" s="117" t="s">
        <v>1356</v>
      </c>
      <c r="I98" s="117" t="s">
        <v>19</v>
      </c>
      <c r="J98" s="117" t="s">
        <v>1484</v>
      </c>
      <c r="K98" s="117" t="s">
        <v>150</v>
      </c>
      <c r="L98" s="117" t="s">
        <v>1584</v>
      </c>
      <c r="M98" s="119" t="s">
        <v>346</v>
      </c>
      <c r="N98" s="117" t="s">
        <v>2001</v>
      </c>
      <c r="O98" s="117" t="s">
        <v>2002</v>
      </c>
      <c r="P98" s="117" t="s">
        <v>2003</v>
      </c>
      <c r="Q98" s="118">
        <v>44460</v>
      </c>
      <c r="R98" s="118">
        <v>44550</v>
      </c>
      <c r="S98" s="117" t="s">
        <v>2004</v>
      </c>
      <c r="T98" s="118">
        <v>44482</v>
      </c>
      <c r="U98" s="120" t="s">
        <v>295</v>
      </c>
      <c r="V98" s="120" t="s">
        <v>295</v>
      </c>
      <c r="W98" s="121" t="s">
        <v>262</v>
      </c>
      <c r="X98" s="117" t="s">
        <v>2005</v>
      </c>
      <c r="Y98" s="117"/>
      <c r="Z98" s="117"/>
      <c r="AA98" s="117" t="s">
        <v>4</v>
      </c>
      <c r="AB98" s="117" t="s">
        <v>2006</v>
      </c>
      <c r="AC98" s="118">
        <v>44482</v>
      </c>
      <c r="AD98" s="117" t="s">
        <v>349</v>
      </c>
      <c r="AE98" s="117" t="s">
        <v>1115</v>
      </c>
      <c r="AF98" s="90" t="s">
        <v>1116</v>
      </c>
      <c r="AG98" s="90" t="s">
        <v>0</v>
      </c>
      <c r="AH98" s="93" t="s">
        <v>972</v>
      </c>
      <c r="AI98" s="93" t="b">
        <v>0</v>
      </c>
      <c r="AJ98" s="93"/>
      <c r="AK98" s="93" t="b">
        <v>0</v>
      </c>
      <c r="AL98" s="93"/>
      <c r="AM98" s="93" t="b">
        <v>1</v>
      </c>
      <c r="AN98" s="93" t="b">
        <v>0</v>
      </c>
      <c r="AO98" s="93" t="b">
        <v>0</v>
      </c>
      <c r="AP98" s="93" t="b">
        <v>0</v>
      </c>
      <c r="AQ98" s="93" t="b">
        <v>0</v>
      </c>
      <c r="AR98" s="93" t="b">
        <v>0</v>
      </c>
      <c r="AS98" s="93" t="b">
        <v>0</v>
      </c>
      <c r="AT98" s="107" t="s">
        <v>2007</v>
      </c>
      <c r="AU98" s="94">
        <v>9228291</v>
      </c>
      <c r="AV98" s="90" t="s">
        <v>730</v>
      </c>
      <c r="AW98" s="108" t="s">
        <v>951</v>
      </c>
      <c r="AX98" s="91">
        <v>44509</v>
      </c>
      <c r="AY98" s="108" t="s">
        <v>1101</v>
      </c>
      <c r="AZ98" s="90" t="s">
        <v>19</v>
      </c>
      <c r="BA98" s="90" t="s">
        <v>150</v>
      </c>
      <c r="BB98" s="90" t="s">
        <v>38</v>
      </c>
      <c r="BC98" s="90"/>
      <c r="BD98" s="90" t="s">
        <v>28</v>
      </c>
      <c r="BE98" s="90"/>
      <c r="BF98" s="90"/>
      <c r="BG98" s="91"/>
      <c r="BH98" s="93" t="b">
        <v>0</v>
      </c>
      <c r="BI98" s="90" t="s">
        <v>1997</v>
      </c>
      <c r="BJ98" s="90"/>
      <c r="BK98" s="90" t="s">
        <v>1382</v>
      </c>
      <c r="BL98" s="90"/>
      <c r="BM98" s="90"/>
      <c r="BN98" s="90"/>
      <c r="BO98" s="90"/>
      <c r="BP98" s="90"/>
      <c r="BQ98" s="90"/>
      <c r="BR98" s="95"/>
      <c r="BS98" s="90"/>
      <c r="BT98" s="90"/>
      <c r="BU98" s="90"/>
      <c r="BV98" s="90"/>
      <c r="BW98" s="90"/>
      <c r="BX98" s="90"/>
      <c r="BY98" s="90"/>
      <c r="BZ98" s="90"/>
      <c r="CA98" s="90"/>
      <c r="CB98" s="90"/>
      <c r="CC98" s="91"/>
      <c r="CD98" s="90"/>
      <c r="CE98" s="91"/>
      <c r="CF98" s="90"/>
      <c r="CG98" s="91"/>
      <c r="CH98" s="90"/>
      <c r="CI98" s="91"/>
      <c r="CJ98" s="90"/>
      <c r="CK98" s="91"/>
      <c r="CL98" s="90"/>
      <c r="CM98" s="91"/>
      <c r="CN98" s="96"/>
      <c r="CO98" s="91"/>
      <c r="CP98" s="90"/>
      <c r="CQ98" s="90"/>
      <c r="CR98" s="90"/>
      <c r="CS98" s="90"/>
      <c r="CT98" s="91"/>
      <c r="CU98" s="90"/>
      <c r="CV98" s="97"/>
    </row>
    <row r="99" spans="1:100" ht="15" customHeight="1" x14ac:dyDescent="0.3">
      <c r="A99" s="117" t="s">
        <v>2009</v>
      </c>
      <c r="B99" s="118">
        <v>44471</v>
      </c>
      <c r="C99" s="117" t="s">
        <v>2008</v>
      </c>
      <c r="D99" s="117" t="s">
        <v>364</v>
      </c>
      <c r="E99" s="119" t="s">
        <v>1104</v>
      </c>
      <c r="F99" s="117" t="s">
        <v>1105</v>
      </c>
      <c r="G99" s="117" t="s">
        <v>389</v>
      </c>
      <c r="H99" s="117" t="s">
        <v>1101</v>
      </c>
      <c r="I99" s="117" t="s">
        <v>581</v>
      </c>
      <c r="J99" s="117" t="s">
        <v>1123</v>
      </c>
      <c r="K99" s="117" t="s">
        <v>62</v>
      </c>
      <c r="L99" s="117" t="s">
        <v>2010</v>
      </c>
      <c r="M99" s="119" t="s">
        <v>346</v>
      </c>
      <c r="N99" s="117" t="s">
        <v>2011</v>
      </c>
      <c r="O99" s="117" t="s">
        <v>2012</v>
      </c>
      <c r="P99" s="117" t="s">
        <v>2013</v>
      </c>
      <c r="Q99" s="118">
        <v>44471</v>
      </c>
      <c r="R99" s="118">
        <v>44562</v>
      </c>
      <c r="S99" s="117" t="s">
        <v>2083</v>
      </c>
      <c r="T99" s="118">
        <v>44521</v>
      </c>
      <c r="U99" s="120" t="s">
        <v>295</v>
      </c>
      <c r="V99" s="120" t="s">
        <v>295</v>
      </c>
      <c r="W99" s="121" t="s">
        <v>262</v>
      </c>
      <c r="X99" s="117" t="s">
        <v>2143</v>
      </c>
      <c r="Y99" s="117"/>
      <c r="Z99" s="117"/>
      <c r="AA99" s="117" t="s">
        <v>1</v>
      </c>
      <c r="AB99" s="117" t="s">
        <v>2144</v>
      </c>
      <c r="AC99" s="118">
        <v>44521</v>
      </c>
      <c r="AD99" s="117" t="s">
        <v>349</v>
      </c>
      <c r="AE99" s="117" t="s">
        <v>1115</v>
      </c>
      <c r="AF99" s="90" t="s">
        <v>1116</v>
      </c>
      <c r="AG99" s="90" t="s">
        <v>0</v>
      </c>
      <c r="AH99" s="93" t="s">
        <v>972</v>
      </c>
      <c r="AI99" s="93" t="b">
        <v>0</v>
      </c>
      <c r="AJ99" s="93"/>
      <c r="AK99" s="93" t="b">
        <v>0</v>
      </c>
      <c r="AL99" s="93"/>
      <c r="AM99" s="93" t="b">
        <v>1</v>
      </c>
      <c r="AN99" s="93" t="b">
        <v>0</v>
      </c>
      <c r="AO99" s="93" t="b">
        <v>0</v>
      </c>
      <c r="AP99" s="93" t="b">
        <v>0</v>
      </c>
      <c r="AQ99" s="93" t="b">
        <v>0</v>
      </c>
      <c r="AR99" s="93" t="b">
        <v>0</v>
      </c>
      <c r="AS99" s="93" t="b">
        <v>0</v>
      </c>
      <c r="AT99" s="107" t="s">
        <v>2145</v>
      </c>
      <c r="AU99" s="94">
        <v>9228291</v>
      </c>
      <c r="AV99" s="90" t="s">
        <v>730</v>
      </c>
      <c r="AW99" s="108" t="s">
        <v>951</v>
      </c>
      <c r="AX99" s="91">
        <v>44538</v>
      </c>
      <c r="AY99" s="108" t="s">
        <v>1101</v>
      </c>
      <c r="AZ99" s="90" t="s">
        <v>581</v>
      </c>
      <c r="BA99" s="90" t="s">
        <v>62</v>
      </c>
      <c r="BB99" s="90" t="s">
        <v>40</v>
      </c>
      <c r="BC99" s="90"/>
      <c r="BD99" s="90" t="s">
        <v>30</v>
      </c>
      <c r="BE99" s="90"/>
      <c r="BF99" s="90"/>
      <c r="BG99" s="91"/>
      <c r="BH99" s="93" t="b">
        <v>0</v>
      </c>
      <c r="BI99" s="90" t="s">
        <v>2014</v>
      </c>
      <c r="BJ99" s="90"/>
      <c r="BK99" s="90" t="s">
        <v>1382</v>
      </c>
      <c r="BL99" s="90"/>
      <c r="BM99" s="90"/>
      <c r="BN99" s="90"/>
      <c r="BO99" s="90"/>
      <c r="BP99" s="90"/>
      <c r="BQ99" s="90"/>
      <c r="BR99" s="95"/>
      <c r="BS99" s="90"/>
      <c r="BT99" s="90"/>
      <c r="BU99" s="90"/>
      <c r="BV99" s="90"/>
      <c r="BW99" s="90"/>
      <c r="BX99" s="90"/>
      <c r="BY99" s="90"/>
      <c r="BZ99" s="90"/>
      <c r="CA99" s="90"/>
      <c r="CB99" s="90"/>
      <c r="CC99" s="91"/>
      <c r="CD99" s="90"/>
      <c r="CE99" s="91"/>
      <c r="CF99" s="90"/>
      <c r="CG99" s="91"/>
      <c r="CH99" s="90"/>
      <c r="CI99" s="91"/>
      <c r="CJ99" s="90"/>
      <c r="CK99" s="91"/>
      <c r="CL99" s="90"/>
      <c r="CM99" s="91"/>
      <c r="CN99" s="96"/>
      <c r="CO99" s="91"/>
      <c r="CP99" s="90"/>
      <c r="CQ99" s="90"/>
      <c r="CR99" s="90"/>
      <c r="CS99" s="90"/>
      <c r="CT99" s="91"/>
      <c r="CU99" s="90"/>
      <c r="CV99" s="97"/>
    </row>
    <row r="100" spans="1:100" ht="15" customHeight="1" x14ac:dyDescent="0.3">
      <c r="A100" s="117" t="s">
        <v>2015</v>
      </c>
      <c r="B100" s="118">
        <v>44451</v>
      </c>
      <c r="C100" s="117" t="s">
        <v>2016</v>
      </c>
      <c r="D100" s="117" t="s">
        <v>352</v>
      </c>
      <c r="E100" s="119" t="str">
        <f t="shared" ref="E100:E111" si="0">LEFT(D100,1)&amp;"moge"</f>
        <v>Cmoge</v>
      </c>
      <c r="F100" s="117" t="str">
        <f t="shared" ref="F100:F111" si="1">LEFT(D100,1)&amp;"hoge"</f>
        <v>Choge</v>
      </c>
      <c r="G100" s="117" t="s">
        <v>374</v>
      </c>
      <c r="H100" s="117" t="s">
        <v>2018</v>
      </c>
      <c r="I100" s="117" t="s">
        <v>354</v>
      </c>
      <c r="J100" s="117" t="str">
        <f t="shared" ref="J100:J111" si="2">LEFT(I100,3)</f>
        <v>MMS</v>
      </c>
      <c r="K100" s="117" t="s">
        <v>335</v>
      </c>
      <c r="L100" s="117" t="str">
        <f t="shared" ref="L100:L111" si="3">LEFT(K100,5)</f>
        <v>MMS01</v>
      </c>
      <c r="M100" s="119" t="s">
        <v>346</v>
      </c>
      <c r="N100" s="117" t="s">
        <v>2019</v>
      </c>
      <c r="O100" s="117" t="s">
        <v>2084</v>
      </c>
      <c r="P100" s="117" t="s">
        <v>2085</v>
      </c>
      <c r="Q100" s="118">
        <v>44451</v>
      </c>
      <c r="R100" s="118">
        <v>44542</v>
      </c>
      <c r="S100" s="117" t="s">
        <v>2085</v>
      </c>
      <c r="T100" s="118">
        <v>44451</v>
      </c>
      <c r="U100" s="120" t="s">
        <v>295</v>
      </c>
      <c r="V100" s="120" t="s">
        <v>295</v>
      </c>
      <c r="W100" s="121" t="s">
        <v>262</v>
      </c>
      <c r="X100" s="117" t="s">
        <v>2146</v>
      </c>
      <c r="Y100" s="117"/>
      <c r="Z100" s="117"/>
      <c r="AA100" s="117" t="s">
        <v>804</v>
      </c>
      <c r="AB100" s="117" t="s">
        <v>2147</v>
      </c>
      <c r="AC100" s="118">
        <v>44451</v>
      </c>
      <c r="AD100" s="117" t="s">
        <v>349</v>
      </c>
      <c r="AE100" s="117" t="s">
        <v>1115</v>
      </c>
      <c r="AF100" s="90" t="s">
        <v>1116</v>
      </c>
      <c r="AG100" s="90" t="s">
        <v>0</v>
      </c>
      <c r="AH100" s="93" t="s">
        <v>972</v>
      </c>
      <c r="AI100" s="93" t="b">
        <v>0</v>
      </c>
      <c r="AJ100" s="93"/>
      <c r="AK100" s="93" t="b">
        <v>0</v>
      </c>
      <c r="AL100" s="93"/>
      <c r="AM100" s="93" t="b">
        <v>0</v>
      </c>
      <c r="AN100" s="93" t="b">
        <v>0</v>
      </c>
      <c r="AO100" s="93" t="b">
        <v>0</v>
      </c>
      <c r="AP100" s="93" t="b">
        <v>0</v>
      </c>
      <c r="AQ100" s="93" t="b">
        <v>0</v>
      </c>
      <c r="AR100" s="93" t="b">
        <v>0</v>
      </c>
      <c r="AS100" s="93" t="b">
        <v>0</v>
      </c>
      <c r="AT100" s="107" t="s">
        <v>2148</v>
      </c>
      <c r="AU100" s="94">
        <v>9228291</v>
      </c>
      <c r="AV100" s="90" t="s">
        <v>730</v>
      </c>
      <c r="AW100" s="108" t="s">
        <v>951</v>
      </c>
      <c r="AX100" s="91">
        <v>44538</v>
      </c>
      <c r="AY100" s="108" t="s">
        <v>1101</v>
      </c>
      <c r="AZ100" s="90" t="s">
        <v>23</v>
      </c>
      <c r="BA100" s="90" t="s">
        <v>164</v>
      </c>
      <c r="BB100" s="90" t="s">
        <v>336</v>
      </c>
      <c r="BC100" s="90"/>
      <c r="BD100" s="90" t="s">
        <v>26</v>
      </c>
      <c r="BE100" s="90"/>
      <c r="BF100" s="90"/>
      <c r="BG100" s="91"/>
      <c r="BH100" s="93" t="b">
        <v>1</v>
      </c>
      <c r="BI100" s="90"/>
      <c r="BJ100" s="90"/>
      <c r="BK100" s="90" t="s">
        <v>1382</v>
      </c>
      <c r="BL100" s="90" t="s">
        <v>2017</v>
      </c>
      <c r="BM100" s="90"/>
      <c r="BN100" s="90"/>
      <c r="BO100" s="90"/>
      <c r="BP100" s="90"/>
      <c r="BQ100" s="90"/>
      <c r="BR100" s="95"/>
      <c r="BS100" s="90"/>
      <c r="BT100" s="90"/>
      <c r="BU100" s="90"/>
      <c r="BV100" s="90"/>
      <c r="BW100" s="90"/>
      <c r="BX100" s="90"/>
      <c r="BY100" s="90"/>
      <c r="BZ100" s="90"/>
      <c r="CA100" s="90"/>
      <c r="CB100" s="90"/>
      <c r="CC100" s="91"/>
      <c r="CD100" s="90"/>
      <c r="CE100" s="91"/>
      <c r="CF100" s="90"/>
      <c r="CG100" s="91"/>
      <c r="CH100" s="90"/>
      <c r="CI100" s="91"/>
      <c r="CJ100" s="90"/>
      <c r="CK100" s="91"/>
      <c r="CL100" s="90"/>
      <c r="CM100" s="91"/>
      <c r="CN100" s="96"/>
      <c r="CO100" s="91"/>
      <c r="CP100" s="90"/>
      <c r="CQ100" s="90"/>
      <c r="CR100" s="90"/>
      <c r="CS100" s="90"/>
      <c r="CT100" s="91"/>
      <c r="CU100" s="90"/>
      <c r="CV100" s="97"/>
    </row>
    <row r="101" spans="1:100" ht="15" customHeight="1" x14ac:dyDescent="0.3">
      <c r="A101" s="122" t="s">
        <v>2020</v>
      </c>
      <c r="B101" s="123">
        <v>44451</v>
      </c>
      <c r="C101" s="122" t="s">
        <v>2021</v>
      </c>
      <c r="D101" s="122" t="s">
        <v>352</v>
      </c>
      <c r="E101" s="124" t="str">
        <f t="shared" si="0"/>
        <v>Cmoge</v>
      </c>
      <c r="F101" s="122" t="str">
        <f t="shared" si="1"/>
        <v>Choge</v>
      </c>
      <c r="G101" s="122" t="s">
        <v>374</v>
      </c>
      <c r="H101" s="122" t="s">
        <v>2018</v>
      </c>
      <c r="I101" s="122" t="s">
        <v>354</v>
      </c>
      <c r="J101" s="122" t="str">
        <f t="shared" si="2"/>
        <v>MMS</v>
      </c>
      <c r="K101" s="122" t="s">
        <v>426</v>
      </c>
      <c r="L101" s="122" t="str">
        <f t="shared" si="3"/>
        <v>MMS23</v>
      </c>
      <c r="M101" s="124" t="s">
        <v>346</v>
      </c>
      <c r="N101" s="122" t="s">
        <v>2204</v>
      </c>
      <c r="O101" s="122" t="s">
        <v>2086</v>
      </c>
      <c r="P101" s="122" t="s">
        <v>2087</v>
      </c>
      <c r="Q101" s="123">
        <v>44451</v>
      </c>
      <c r="R101" s="123">
        <v>44542</v>
      </c>
      <c r="S101" s="122"/>
      <c r="T101" s="123"/>
      <c r="U101" s="125" t="s">
        <v>295</v>
      </c>
      <c r="V101" s="125" t="s">
        <v>295</v>
      </c>
      <c r="W101" s="126" t="s">
        <v>262</v>
      </c>
      <c r="X101" s="122" t="s">
        <v>2208</v>
      </c>
      <c r="Y101" s="122"/>
      <c r="Z101" s="122"/>
      <c r="AA101" s="122"/>
      <c r="AB101" s="122"/>
      <c r="AC101" s="123"/>
      <c r="AD101" s="122" t="s">
        <v>261</v>
      </c>
      <c r="AE101" s="122" t="s">
        <v>1115</v>
      </c>
      <c r="AF101" s="90" t="s">
        <v>1116</v>
      </c>
      <c r="AG101" s="90" t="s">
        <v>0</v>
      </c>
      <c r="AH101" s="93" t="s">
        <v>972</v>
      </c>
      <c r="AI101" s="93" t="b">
        <v>0</v>
      </c>
      <c r="AJ101" s="93"/>
      <c r="AK101" s="93" t="b">
        <v>0</v>
      </c>
      <c r="AL101" s="93"/>
      <c r="AM101" s="93" t="b">
        <v>0</v>
      </c>
      <c r="AN101" s="93" t="b">
        <v>0</v>
      </c>
      <c r="AO101" s="93" t="b">
        <v>0</v>
      </c>
      <c r="AP101" s="93" t="b">
        <v>0</v>
      </c>
      <c r="AQ101" s="93" t="b">
        <v>0</v>
      </c>
      <c r="AR101" s="93" t="b">
        <v>0</v>
      </c>
      <c r="AS101" s="93" t="b">
        <v>0</v>
      </c>
      <c r="AT101" s="107" t="s">
        <v>2209</v>
      </c>
      <c r="AU101" s="94">
        <v>9228291</v>
      </c>
      <c r="AV101" s="90" t="s">
        <v>730</v>
      </c>
      <c r="AW101" s="108" t="s">
        <v>951</v>
      </c>
      <c r="AX101" s="91">
        <v>44567</v>
      </c>
      <c r="AY101" s="108" t="s">
        <v>1101</v>
      </c>
      <c r="AZ101" s="90" t="s">
        <v>13</v>
      </c>
      <c r="BA101" s="90" t="s">
        <v>83</v>
      </c>
      <c r="BB101" s="90" t="s">
        <v>52</v>
      </c>
      <c r="BC101" s="90"/>
      <c r="BD101" s="90" t="s">
        <v>757</v>
      </c>
      <c r="BE101" s="90"/>
      <c r="BF101" s="90" t="s">
        <v>575</v>
      </c>
      <c r="BG101" s="91">
        <v>44632</v>
      </c>
      <c r="BH101" s="93" t="b">
        <v>0</v>
      </c>
      <c r="BI101" s="90"/>
      <c r="BJ101" s="90" t="s">
        <v>2206</v>
      </c>
      <c r="BK101" s="90" t="s">
        <v>1118</v>
      </c>
      <c r="BL101" s="90" t="s">
        <v>2017</v>
      </c>
      <c r="BM101" s="90"/>
      <c r="BN101" s="90"/>
      <c r="BO101" s="90"/>
      <c r="BP101" s="90"/>
      <c r="BQ101" s="90"/>
      <c r="BR101" s="95"/>
      <c r="BS101" s="90"/>
      <c r="BT101" s="90"/>
      <c r="BU101" s="90"/>
      <c r="BV101" s="90"/>
      <c r="BW101" s="90"/>
      <c r="BX101" s="90"/>
      <c r="BY101" s="90"/>
      <c r="BZ101" s="90"/>
      <c r="CA101" s="90"/>
      <c r="CB101" s="90"/>
      <c r="CC101" s="91"/>
      <c r="CD101" s="90"/>
      <c r="CE101" s="91"/>
      <c r="CF101" s="90"/>
      <c r="CG101" s="91"/>
      <c r="CH101" s="90"/>
      <c r="CI101" s="91"/>
      <c r="CJ101" s="90"/>
      <c r="CK101" s="91"/>
      <c r="CL101" s="90"/>
      <c r="CM101" s="91"/>
      <c r="CN101" s="96"/>
      <c r="CO101" s="91"/>
      <c r="CP101" s="90"/>
      <c r="CQ101" s="90"/>
      <c r="CR101" s="90"/>
      <c r="CS101" s="90"/>
      <c r="CT101" s="91"/>
      <c r="CU101" s="90"/>
      <c r="CV101" s="97"/>
    </row>
    <row r="102" spans="1:100" ht="15" customHeight="1" x14ac:dyDescent="0.3">
      <c r="A102" s="117" t="s">
        <v>2022</v>
      </c>
      <c r="B102" s="118">
        <v>44451</v>
      </c>
      <c r="C102" s="117" t="s">
        <v>1591</v>
      </c>
      <c r="D102" s="117" t="s">
        <v>352</v>
      </c>
      <c r="E102" s="119" t="str">
        <f t="shared" si="0"/>
        <v>Cmoge</v>
      </c>
      <c r="F102" s="117" t="str">
        <f t="shared" si="1"/>
        <v>Choge</v>
      </c>
      <c r="G102" s="117" t="s">
        <v>374</v>
      </c>
      <c r="H102" s="117" t="s">
        <v>2018</v>
      </c>
      <c r="I102" s="117" t="s">
        <v>354</v>
      </c>
      <c r="J102" s="117" t="str">
        <f t="shared" si="2"/>
        <v>MMS</v>
      </c>
      <c r="K102" s="117" t="s">
        <v>415</v>
      </c>
      <c r="L102" s="117" t="str">
        <f t="shared" si="3"/>
        <v>MMS12</v>
      </c>
      <c r="M102" s="119" t="s">
        <v>346</v>
      </c>
      <c r="N102" s="117" t="s">
        <v>2023</v>
      </c>
      <c r="O102" s="117" t="s">
        <v>2088</v>
      </c>
      <c r="P102" s="117" t="s">
        <v>2089</v>
      </c>
      <c r="Q102" s="118">
        <v>44451</v>
      </c>
      <c r="R102" s="118">
        <v>44542</v>
      </c>
      <c r="S102" s="117" t="s">
        <v>2090</v>
      </c>
      <c r="T102" s="118">
        <v>44494</v>
      </c>
      <c r="U102" s="120" t="s">
        <v>295</v>
      </c>
      <c r="V102" s="120" t="s">
        <v>295</v>
      </c>
      <c r="W102" s="121" t="s">
        <v>262</v>
      </c>
      <c r="X102" s="117" t="s">
        <v>2149</v>
      </c>
      <c r="Y102" s="117"/>
      <c r="Z102" s="117"/>
      <c r="AA102" s="117" t="s">
        <v>1</v>
      </c>
      <c r="AB102" s="117" t="s">
        <v>2150</v>
      </c>
      <c r="AC102" s="118">
        <v>44494</v>
      </c>
      <c r="AD102" s="117" t="s">
        <v>349</v>
      </c>
      <c r="AE102" s="117" t="s">
        <v>1115</v>
      </c>
      <c r="AF102" s="90" t="s">
        <v>1116</v>
      </c>
      <c r="AG102" s="90" t="s">
        <v>0</v>
      </c>
      <c r="AH102" s="93" t="s">
        <v>972</v>
      </c>
      <c r="AI102" s="93" t="b">
        <v>0</v>
      </c>
      <c r="AJ102" s="93"/>
      <c r="AK102" s="93" t="b">
        <v>0</v>
      </c>
      <c r="AL102" s="93"/>
      <c r="AM102" s="93" t="b">
        <v>0</v>
      </c>
      <c r="AN102" s="93" t="b">
        <v>0</v>
      </c>
      <c r="AO102" s="93" t="b">
        <v>0</v>
      </c>
      <c r="AP102" s="93" t="b">
        <v>0</v>
      </c>
      <c r="AQ102" s="93" t="b">
        <v>0</v>
      </c>
      <c r="AR102" s="93" t="b">
        <v>0</v>
      </c>
      <c r="AS102" s="93" t="b">
        <v>0</v>
      </c>
      <c r="AT102" s="107" t="s">
        <v>2151</v>
      </c>
      <c r="AU102" s="94">
        <v>9228291</v>
      </c>
      <c r="AV102" s="90" t="s">
        <v>730</v>
      </c>
      <c r="AW102" s="108" t="s">
        <v>951</v>
      </c>
      <c r="AX102" s="91">
        <v>44538</v>
      </c>
      <c r="AY102" s="108" t="s">
        <v>1101</v>
      </c>
      <c r="AZ102" s="90" t="s">
        <v>10</v>
      </c>
      <c r="BA102" s="90" t="s">
        <v>80</v>
      </c>
      <c r="BB102" s="90" t="s">
        <v>41</v>
      </c>
      <c r="BC102" s="90"/>
      <c r="BD102" s="90" t="s">
        <v>28</v>
      </c>
      <c r="BE102" s="90"/>
      <c r="BF102" s="90"/>
      <c r="BG102" s="91"/>
      <c r="BH102" s="93" t="b">
        <v>0</v>
      </c>
      <c r="BI102" s="90"/>
      <c r="BJ102" s="90"/>
      <c r="BK102" s="90" t="s">
        <v>1382</v>
      </c>
      <c r="BL102" s="90" t="s">
        <v>2017</v>
      </c>
      <c r="BM102" s="90"/>
      <c r="BN102" s="90"/>
      <c r="BO102" s="90"/>
      <c r="BP102" s="90"/>
      <c r="BQ102" s="90"/>
      <c r="BR102" s="95"/>
      <c r="BS102" s="90"/>
      <c r="BT102" s="90"/>
      <c r="BU102" s="90"/>
      <c r="BV102" s="90"/>
      <c r="BW102" s="90"/>
      <c r="BX102" s="90"/>
      <c r="BY102" s="90"/>
      <c r="BZ102" s="90"/>
      <c r="CA102" s="90"/>
      <c r="CB102" s="90"/>
      <c r="CC102" s="91"/>
      <c r="CD102" s="90"/>
      <c r="CE102" s="91"/>
      <c r="CF102" s="90"/>
      <c r="CG102" s="91"/>
      <c r="CH102" s="90"/>
      <c r="CI102" s="91"/>
      <c r="CJ102" s="90"/>
      <c r="CK102" s="91"/>
      <c r="CL102" s="90"/>
      <c r="CM102" s="91"/>
      <c r="CN102" s="96"/>
      <c r="CO102" s="91"/>
      <c r="CP102" s="90"/>
      <c r="CQ102" s="90"/>
      <c r="CR102" s="90"/>
      <c r="CS102" s="90"/>
      <c r="CT102" s="91"/>
      <c r="CU102" s="90"/>
      <c r="CV102" s="97"/>
    </row>
    <row r="103" spans="1:100" ht="15" customHeight="1" x14ac:dyDescent="0.3">
      <c r="A103" s="117" t="s">
        <v>2024</v>
      </c>
      <c r="B103" s="118">
        <v>44451</v>
      </c>
      <c r="C103" s="117" t="s">
        <v>2025</v>
      </c>
      <c r="D103" s="117" t="s">
        <v>352</v>
      </c>
      <c r="E103" s="119" t="str">
        <f t="shared" si="0"/>
        <v>Cmoge</v>
      </c>
      <c r="F103" s="117" t="str">
        <f t="shared" si="1"/>
        <v>Choge</v>
      </c>
      <c r="G103" s="117" t="s">
        <v>374</v>
      </c>
      <c r="H103" s="117" t="s">
        <v>2018</v>
      </c>
      <c r="I103" s="117" t="s">
        <v>354</v>
      </c>
      <c r="J103" s="117" t="str">
        <f t="shared" si="2"/>
        <v>MMS</v>
      </c>
      <c r="K103" s="117" t="s">
        <v>412</v>
      </c>
      <c r="L103" s="117" t="str">
        <f t="shared" si="3"/>
        <v>MMS09</v>
      </c>
      <c r="M103" s="119" t="s">
        <v>346</v>
      </c>
      <c r="N103" s="117" t="s">
        <v>2026</v>
      </c>
      <c r="O103" s="117" t="s">
        <v>2152</v>
      </c>
      <c r="P103" s="117" t="s">
        <v>2091</v>
      </c>
      <c r="Q103" s="118">
        <v>44452</v>
      </c>
      <c r="R103" s="118">
        <v>44542</v>
      </c>
      <c r="S103" s="117" t="s">
        <v>2091</v>
      </c>
      <c r="T103" s="118">
        <v>44452</v>
      </c>
      <c r="U103" s="120" t="s">
        <v>295</v>
      </c>
      <c r="V103" s="120" t="s">
        <v>295</v>
      </c>
      <c r="W103" s="121" t="s">
        <v>262</v>
      </c>
      <c r="X103" s="117" t="s">
        <v>2153</v>
      </c>
      <c r="Y103" s="117"/>
      <c r="Z103" s="117"/>
      <c r="AA103" s="117" t="s">
        <v>1</v>
      </c>
      <c r="AB103" s="117" t="s">
        <v>2153</v>
      </c>
      <c r="AC103" s="118">
        <v>44452</v>
      </c>
      <c r="AD103" s="117" t="s">
        <v>349</v>
      </c>
      <c r="AE103" s="117" t="s">
        <v>1115</v>
      </c>
      <c r="AF103" s="90" t="s">
        <v>1116</v>
      </c>
      <c r="AG103" s="90" t="s">
        <v>0</v>
      </c>
      <c r="AH103" s="93" t="s">
        <v>972</v>
      </c>
      <c r="AI103" s="93" t="b">
        <v>0</v>
      </c>
      <c r="AJ103" s="93"/>
      <c r="AK103" s="93" t="b">
        <v>0</v>
      </c>
      <c r="AL103" s="93"/>
      <c r="AM103" s="93" t="b">
        <v>0</v>
      </c>
      <c r="AN103" s="93" t="b">
        <v>0</v>
      </c>
      <c r="AO103" s="93" t="b">
        <v>0</v>
      </c>
      <c r="AP103" s="93" t="b">
        <v>0</v>
      </c>
      <c r="AQ103" s="93" t="b">
        <v>0</v>
      </c>
      <c r="AR103" s="93" t="b">
        <v>0</v>
      </c>
      <c r="AS103" s="93" t="b">
        <v>0</v>
      </c>
      <c r="AT103" s="107" t="s">
        <v>2154</v>
      </c>
      <c r="AU103" s="94">
        <v>9228291</v>
      </c>
      <c r="AV103" s="90" t="s">
        <v>730</v>
      </c>
      <c r="AW103" s="108" t="s">
        <v>951</v>
      </c>
      <c r="AX103" s="91">
        <v>44538</v>
      </c>
      <c r="AY103" s="108" t="s">
        <v>1101</v>
      </c>
      <c r="AZ103" s="90" t="s">
        <v>581</v>
      </c>
      <c r="BA103" s="90" t="s">
        <v>62</v>
      </c>
      <c r="BB103" s="90" t="s">
        <v>38</v>
      </c>
      <c r="BC103" s="90"/>
      <c r="BD103" s="90" t="s">
        <v>757</v>
      </c>
      <c r="BE103" s="90"/>
      <c r="BF103" s="90"/>
      <c r="BG103" s="91"/>
      <c r="BH103" s="93" t="b">
        <v>0</v>
      </c>
      <c r="BI103" s="90"/>
      <c r="BJ103" s="90"/>
      <c r="BK103" s="90" t="s">
        <v>1382</v>
      </c>
      <c r="BL103" s="90" t="s">
        <v>2017</v>
      </c>
      <c r="BM103" s="90"/>
      <c r="BN103" s="90"/>
      <c r="BO103" s="90"/>
      <c r="BP103" s="90"/>
      <c r="BQ103" s="90"/>
      <c r="BR103" s="95"/>
      <c r="BS103" s="90"/>
      <c r="BT103" s="90"/>
      <c r="BU103" s="90"/>
      <c r="BV103" s="90"/>
      <c r="BW103" s="90"/>
      <c r="BX103" s="90"/>
      <c r="BY103" s="90"/>
      <c r="BZ103" s="90"/>
      <c r="CA103" s="90"/>
      <c r="CB103" s="90"/>
      <c r="CC103" s="91"/>
      <c r="CD103" s="90"/>
      <c r="CE103" s="91"/>
      <c r="CF103" s="90"/>
      <c r="CG103" s="91"/>
      <c r="CH103" s="90"/>
      <c r="CI103" s="91"/>
      <c r="CJ103" s="90"/>
      <c r="CK103" s="91"/>
      <c r="CL103" s="90"/>
      <c r="CM103" s="91"/>
      <c r="CN103" s="96"/>
      <c r="CO103" s="91"/>
      <c r="CP103" s="90"/>
      <c r="CQ103" s="90"/>
      <c r="CR103" s="90"/>
      <c r="CS103" s="90"/>
      <c r="CT103" s="91"/>
      <c r="CU103" s="90"/>
      <c r="CV103" s="97"/>
    </row>
    <row r="104" spans="1:100" ht="15" customHeight="1" x14ac:dyDescent="0.3">
      <c r="A104" s="117" t="s">
        <v>2027</v>
      </c>
      <c r="B104" s="118">
        <v>44451</v>
      </c>
      <c r="C104" s="117" t="s">
        <v>2028</v>
      </c>
      <c r="D104" s="117" t="s">
        <v>352</v>
      </c>
      <c r="E104" s="119" t="str">
        <f t="shared" si="0"/>
        <v>Cmoge</v>
      </c>
      <c r="F104" s="117" t="str">
        <f t="shared" si="1"/>
        <v>Choge</v>
      </c>
      <c r="G104" s="117" t="s">
        <v>374</v>
      </c>
      <c r="H104" s="117" t="s">
        <v>2018</v>
      </c>
      <c r="I104" s="117" t="s">
        <v>354</v>
      </c>
      <c r="J104" s="117" t="str">
        <f t="shared" si="2"/>
        <v>MMS</v>
      </c>
      <c r="K104" s="117" t="s">
        <v>412</v>
      </c>
      <c r="L104" s="117" t="str">
        <f t="shared" si="3"/>
        <v>MMS09</v>
      </c>
      <c r="M104" s="119" t="s">
        <v>346</v>
      </c>
      <c r="N104" s="117" t="s">
        <v>2029</v>
      </c>
      <c r="O104" s="117" t="s">
        <v>2092</v>
      </c>
      <c r="P104" s="117" t="s">
        <v>2093</v>
      </c>
      <c r="Q104" s="118">
        <v>44452</v>
      </c>
      <c r="R104" s="118">
        <v>44542</v>
      </c>
      <c r="S104" s="117" t="s">
        <v>2093</v>
      </c>
      <c r="T104" s="118">
        <v>44452</v>
      </c>
      <c r="U104" s="120" t="s">
        <v>295</v>
      </c>
      <c r="V104" s="120" t="s">
        <v>295</v>
      </c>
      <c r="W104" s="121" t="s">
        <v>262</v>
      </c>
      <c r="X104" s="117" t="s">
        <v>2155</v>
      </c>
      <c r="Y104" s="117"/>
      <c r="Z104" s="117"/>
      <c r="AA104" s="117" t="s">
        <v>1</v>
      </c>
      <c r="AB104" s="117" t="s">
        <v>2155</v>
      </c>
      <c r="AC104" s="118">
        <v>44452</v>
      </c>
      <c r="AD104" s="117" t="s">
        <v>349</v>
      </c>
      <c r="AE104" s="117" t="s">
        <v>1115</v>
      </c>
      <c r="AF104" s="90" t="s">
        <v>1116</v>
      </c>
      <c r="AG104" s="90" t="s">
        <v>0</v>
      </c>
      <c r="AH104" s="93" t="s">
        <v>972</v>
      </c>
      <c r="AI104" s="93" t="b">
        <v>0</v>
      </c>
      <c r="AJ104" s="93"/>
      <c r="AK104" s="93" t="b">
        <v>0</v>
      </c>
      <c r="AL104" s="93"/>
      <c r="AM104" s="93" t="b">
        <v>0</v>
      </c>
      <c r="AN104" s="93" t="b">
        <v>0</v>
      </c>
      <c r="AO104" s="93" t="b">
        <v>0</v>
      </c>
      <c r="AP104" s="93" t="b">
        <v>0</v>
      </c>
      <c r="AQ104" s="93" t="b">
        <v>0</v>
      </c>
      <c r="AR104" s="93" t="b">
        <v>0</v>
      </c>
      <c r="AS104" s="93" t="b">
        <v>0</v>
      </c>
      <c r="AT104" s="107" t="s">
        <v>2156</v>
      </c>
      <c r="AU104" s="94">
        <v>9228291</v>
      </c>
      <c r="AV104" s="90" t="s">
        <v>730</v>
      </c>
      <c r="AW104" s="108" t="s">
        <v>951</v>
      </c>
      <c r="AX104" s="91">
        <v>44538</v>
      </c>
      <c r="AY104" s="108" t="s">
        <v>1101</v>
      </c>
      <c r="AZ104" s="90" t="s">
        <v>11</v>
      </c>
      <c r="BA104" s="90" t="s">
        <v>81</v>
      </c>
      <c r="BB104" s="90" t="s">
        <v>38</v>
      </c>
      <c r="BC104" s="90"/>
      <c r="BD104" s="90" t="s">
        <v>757</v>
      </c>
      <c r="BE104" s="90"/>
      <c r="BF104" s="90"/>
      <c r="BG104" s="91"/>
      <c r="BH104" s="93" t="b">
        <v>0</v>
      </c>
      <c r="BI104" s="90"/>
      <c r="BJ104" s="90"/>
      <c r="BK104" s="90" t="s">
        <v>1382</v>
      </c>
      <c r="BL104" s="90" t="s">
        <v>2017</v>
      </c>
      <c r="BM104" s="90"/>
      <c r="BN104" s="90"/>
      <c r="BO104" s="90"/>
      <c r="BP104" s="90"/>
      <c r="BQ104" s="90"/>
      <c r="BR104" s="95"/>
      <c r="BS104" s="90"/>
      <c r="BT104" s="90"/>
      <c r="BU104" s="90"/>
      <c r="BV104" s="90"/>
      <c r="BW104" s="90"/>
      <c r="BX104" s="90"/>
      <c r="BY104" s="90"/>
      <c r="BZ104" s="90"/>
      <c r="CA104" s="90"/>
      <c r="CB104" s="90"/>
      <c r="CC104" s="91"/>
      <c r="CD104" s="90"/>
      <c r="CE104" s="91"/>
      <c r="CF104" s="90"/>
      <c r="CG104" s="91"/>
      <c r="CH104" s="90"/>
      <c r="CI104" s="91"/>
      <c r="CJ104" s="90"/>
      <c r="CK104" s="91"/>
      <c r="CL104" s="90"/>
      <c r="CM104" s="91"/>
      <c r="CN104" s="96"/>
      <c r="CO104" s="91"/>
      <c r="CP104" s="90"/>
      <c r="CQ104" s="90"/>
      <c r="CR104" s="90"/>
      <c r="CS104" s="90"/>
      <c r="CT104" s="91"/>
      <c r="CU104" s="90"/>
      <c r="CV104" s="97"/>
    </row>
    <row r="105" spans="1:100" ht="15" customHeight="1" x14ac:dyDescent="0.3">
      <c r="A105" s="117" t="s">
        <v>2030</v>
      </c>
      <c r="B105" s="118">
        <v>44451</v>
      </c>
      <c r="C105" s="117" t="s">
        <v>2031</v>
      </c>
      <c r="D105" s="117" t="s">
        <v>352</v>
      </c>
      <c r="E105" s="119" t="str">
        <f t="shared" si="0"/>
        <v>Cmoge</v>
      </c>
      <c r="F105" s="117" t="str">
        <f t="shared" si="1"/>
        <v>Choge</v>
      </c>
      <c r="G105" s="117" t="s">
        <v>374</v>
      </c>
      <c r="H105" s="117" t="s">
        <v>2018</v>
      </c>
      <c r="I105" s="117" t="s">
        <v>354</v>
      </c>
      <c r="J105" s="117" t="str">
        <f t="shared" si="2"/>
        <v>MMS</v>
      </c>
      <c r="K105" s="117" t="s">
        <v>424</v>
      </c>
      <c r="L105" s="117" t="str">
        <f t="shared" si="3"/>
        <v>MMS21</v>
      </c>
      <c r="M105" s="119" t="s">
        <v>346</v>
      </c>
      <c r="N105" s="117" t="s">
        <v>2032</v>
      </c>
      <c r="O105" s="117" t="s">
        <v>2094</v>
      </c>
      <c r="P105" s="117" t="s">
        <v>2095</v>
      </c>
      <c r="Q105" s="118">
        <v>44451</v>
      </c>
      <c r="R105" s="118">
        <v>44542</v>
      </c>
      <c r="S105" s="117" t="s">
        <v>2191</v>
      </c>
      <c r="T105" s="118">
        <v>44530</v>
      </c>
      <c r="U105" s="120" t="s">
        <v>295</v>
      </c>
      <c r="V105" s="120" t="s">
        <v>295</v>
      </c>
      <c r="W105" s="121" t="s">
        <v>262</v>
      </c>
      <c r="X105" s="117" t="s">
        <v>2157</v>
      </c>
      <c r="Y105" s="117"/>
      <c r="Z105" s="117"/>
      <c r="AA105" s="117" t="s">
        <v>1</v>
      </c>
      <c r="AB105" s="117" t="s">
        <v>2191</v>
      </c>
      <c r="AC105" s="118">
        <v>44530</v>
      </c>
      <c r="AD105" s="117" t="s">
        <v>349</v>
      </c>
      <c r="AE105" s="117" t="s">
        <v>1115</v>
      </c>
      <c r="AF105" s="90" t="s">
        <v>1116</v>
      </c>
      <c r="AG105" s="90" t="s">
        <v>0</v>
      </c>
      <c r="AH105" s="93" t="s">
        <v>972</v>
      </c>
      <c r="AI105" s="93" t="b">
        <v>0</v>
      </c>
      <c r="AJ105" s="93"/>
      <c r="AK105" s="93" t="b">
        <v>0</v>
      </c>
      <c r="AL105" s="93"/>
      <c r="AM105" s="93" t="b">
        <v>0</v>
      </c>
      <c r="AN105" s="93" t="b">
        <v>0</v>
      </c>
      <c r="AO105" s="93" t="b">
        <v>0</v>
      </c>
      <c r="AP105" s="93" t="b">
        <v>0</v>
      </c>
      <c r="AQ105" s="93" t="b">
        <v>0</v>
      </c>
      <c r="AR105" s="93" t="b">
        <v>0</v>
      </c>
      <c r="AS105" s="93" t="b">
        <v>0</v>
      </c>
      <c r="AT105" s="107" t="s">
        <v>2205</v>
      </c>
      <c r="AU105" s="94">
        <v>9228291</v>
      </c>
      <c r="AV105" s="90" t="s">
        <v>730</v>
      </c>
      <c r="AW105" s="108" t="s">
        <v>951</v>
      </c>
      <c r="AX105" s="91">
        <v>44567</v>
      </c>
      <c r="AY105" s="108" t="s">
        <v>1101</v>
      </c>
      <c r="AZ105" s="90" t="s">
        <v>13</v>
      </c>
      <c r="BA105" s="90" t="s">
        <v>83</v>
      </c>
      <c r="BB105" s="90" t="s">
        <v>50</v>
      </c>
      <c r="BC105" s="90"/>
      <c r="BD105" s="90" t="s">
        <v>29</v>
      </c>
      <c r="BE105" s="90"/>
      <c r="BF105" s="90"/>
      <c r="BG105" s="91"/>
      <c r="BH105" s="93" t="b">
        <v>0</v>
      </c>
      <c r="BI105" s="90"/>
      <c r="BJ105" s="90"/>
      <c r="BK105" s="90" t="s">
        <v>1382</v>
      </c>
      <c r="BL105" s="90" t="s">
        <v>2017</v>
      </c>
      <c r="BM105" s="90"/>
      <c r="BN105" s="90"/>
      <c r="BO105" s="90"/>
      <c r="BP105" s="90"/>
      <c r="BQ105" s="90"/>
      <c r="BR105" s="95"/>
      <c r="BS105" s="90"/>
      <c r="BT105" s="90"/>
      <c r="BU105" s="90"/>
      <c r="BV105" s="90"/>
      <c r="BW105" s="90"/>
      <c r="BX105" s="90"/>
      <c r="BY105" s="90"/>
      <c r="BZ105" s="90"/>
      <c r="CA105" s="90"/>
      <c r="CB105" s="90"/>
      <c r="CC105" s="91"/>
      <c r="CD105" s="90"/>
      <c r="CE105" s="91"/>
      <c r="CF105" s="90"/>
      <c r="CG105" s="91"/>
      <c r="CH105" s="90"/>
      <c r="CI105" s="91"/>
      <c r="CJ105" s="90"/>
      <c r="CK105" s="91"/>
      <c r="CL105" s="90"/>
      <c r="CM105" s="91"/>
      <c r="CN105" s="96"/>
      <c r="CO105" s="91"/>
      <c r="CP105" s="90"/>
      <c r="CQ105" s="90"/>
      <c r="CR105" s="90"/>
      <c r="CS105" s="90"/>
      <c r="CT105" s="91"/>
      <c r="CU105" s="90"/>
      <c r="CV105" s="97"/>
    </row>
    <row r="106" spans="1:100" ht="15" customHeight="1" x14ac:dyDescent="0.3">
      <c r="A106" s="117" t="s">
        <v>2033</v>
      </c>
      <c r="B106" s="118">
        <v>44451</v>
      </c>
      <c r="C106" s="117" t="s">
        <v>2034</v>
      </c>
      <c r="D106" s="117" t="s">
        <v>352</v>
      </c>
      <c r="E106" s="119" t="str">
        <f t="shared" si="0"/>
        <v>Cmoge</v>
      </c>
      <c r="F106" s="117" t="str">
        <f t="shared" si="1"/>
        <v>Choge</v>
      </c>
      <c r="G106" s="117" t="s">
        <v>374</v>
      </c>
      <c r="H106" s="117" t="s">
        <v>2018</v>
      </c>
      <c r="I106" s="117" t="s">
        <v>354</v>
      </c>
      <c r="J106" s="117" t="str">
        <f t="shared" si="2"/>
        <v>MMS</v>
      </c>
      <c r="K106" s="117" t="s">
        <v>416</v>
      </c>
      <c r="L106" s="117" t="str">
        <f t="shared" si="3"/>
        <v>MMS13</v>
      </c>
      <c r="M106" s="119" t="s">
        <v>346</v>
      </c>
      <c r="N106" s="117" t="s">
        <v>2035</v>
      </c>
      <c r="O106" s="117" t="s">
        <v>1389</v>
      </c>
      <c r="P106" s="117" t="s">
        <v>2096</v>
      </c>
      <c r="Q106" s="118">
        <v>44451</v>
      </c>
      <c r="R106" s="118">
        <v>44542</v>
      </c>
      <c r="S106" s="117" t="s">
        <v>2097</v>
      </c>
      <c r="T106" s="118">
        <v>44482</v>
      </c>
      <c r="U106" s="120" t="s">
        <v>295</v>
      </c>
      <c r="V106" s="120" t="s">
        <v>295</v>
      </c>
      <c r="W106" s="121" t="s">
        <v>262</v>
      </c>
      <c r="X106" s="117" t="s">
        <v>2158</v>
      </c>
      <c r="Y106" s="117"/>
      <c r="Z106" s="117"/>
      <c r="AA106" s="117" t="s">
        <v>1</v>
      </c>
      <c r="AB106" s="117" t="s">
        <v>2158</v>
      </c>
      <c r="AC106" s="118">
        <v>44482</v>
      </c>
      <c r="AD106" s="117" t="s">
        <v>349</v>
      </c>
      <c r="AE106" s="117" t="s">
        <v>1115</v>
      </c>
      <c r="AF106" s="90" t="s">
        <v>1116</v>
      </c>
      <c r="AG106" s="90" t="s">
        <v>0</v>
      </c>
      <c r="AH106" s="93" t="s">
        <v>972</v>
      </c>
      <c r="AI106" s="93" t="b">
        <v>0</v>
      </c>
      <c r="AJ106" s="93"/>
      <c r="AK106" s="93" t="b">
        <v>0</v>
      </c>
      <c r="AL106" s="93"/>
      <c r="AM106" s="93" t="b">
        <v>1</v>
      </c>
      <c r="AN106" s="93" t="b">
        <v>0</v>
      </c>
      <c r="AO106" s="93" t="b">
        <v>0</v>
      </c>
      <c r="AP106" s="93" t="b">
        <v>0</v>
      </c>
      <c r="AQ106" s="93" t="b">
        <v>0</v>
      </c>
      <c r="AR106" s="93" t="b">
        <v>0</v>
      </c>
      <c r="AS106" s="93" t="b">
        <v>0</v>
      </c>
      <c r="AT106" s="107" t="s">
        <v>2159</v>
      </c>
      <c r="AU106" s="94">
        <v>9228291</v>
      </c>
      <c r="AV106" s="90" t="s">
        <v>730</v>
      </c>
      <c r="AW106" s="108" t="s">
        <v>951</v>
      </c>
      <c r="AX106" s="91">
        <v>44538</v>
      </c>
      <c r="AY106" s="108" t="s">
        <v>1101</v>
      </c>
      <c r="AZ106" s="90" t="s">
        <v>581</v>
      </c>
      <c r="BA106" s="90" t="s">
        <v>173</v>
      </c>
      <c r="BB106" s="90" t="s">
        <v>42</v>
      </c>
      <c r="BC106" s="90"/>
      <c r="BD106" s="90" t="s">
        <v>31</v>
      </c>
      <c r="BE106" s="90"/>
      <c r="BF106" s="90"/>
      <c r="BG106" s="91"/>
      <c r="BH106" s="93" t="b">
        <v>0</v>
      </c>
      <c r="BI106" s="90"/>
      <c r="BJ106" s="90"/>
      <c r="BK106" s="90" t="s">
        <v>1382</v>
      </c>
      <c r="BL106" s="90" t="s">
        <v>2017</v>
      </c>
      <c r="BM106" s="90"/>
      <c r="BN106" s="90"/>
      <c r="BO106" s="90"/>
      <c r="BP106" s="90"/>
      <c r="BQ106" s="90"/>
      <c r="BR106" s="95"/>
      <c r="BS106" s="90"/>
      <c r="BT106" s="90"/>
      <c r="BU106" s="90"/>
      <c r="BV106" s="90"/>
      <c r="BW106" s="90"/>
      <c r="BX106" s="90"/>
      <c r="BY106" s="90"/>
      <c r="BZ106" s="90"/>
      <c r="CA106" s="90"/>
      <c r="CB106" s="90"/>
      <c r="CC106" s="91"/>
      <c r="CD106" s="90"/>
      <c r="CE106" s="91"/>
      <c r="CF106" s="90"/>
      <c r="CG106" s="91"/>
      <c r="CH106" s="90"/>
      <c r="CI106" s="91"/>
      <c r="CJ106" s="90"/>
      <c r="CK106" s="91"/>
      <c r="CL106" s="90"/>
      <c r="CM106" s="91"/>
      <c r="CN106" s="96"/>
      <c r="CO106" s="91"/>
      <c r="CP106" s="90"/>
      <c r="CQ106" s="90"/>
      <c r="CR106" s="90"/>
      <c r="CS106" s="90"/>
      <c r="CT106" s="91"/>
      <c r="CU106" s="90"/>
      <c r="CV106" s="97"/>
    </row>
    <row r="107" spans="1:100" ht="15" customHeight="1" x14ac:dyDescent="0.3">
      <c r="A107" s="122" t="s">
        <v>2036</v>
      </c>
      <c r="B107" s="123">
        <v>44451</v>
      </c>
      <c r="C107" s="122" t="s">
        <v>2037</v>
      </c>
      <c r="D107" s="122" t="s">
        <v>352</v>
      </c>
      <c r="E107" s="124" t="str">
        <f t="shared" si="0"/>
        <v>Cmoge</v>
      </c>
      <c r="F107" s="122" t="str">
        <f t="shared" si="1"/>
        <v>Choge</v>
      </c>
      <c r="G107" s="122" t="s">
        <v>374</v>
      </c>
      <c r="H107" s="122" t="s">
        <v>2018</v>
      </c>
      <c r="I107" s="122" t="s">
        <v>354</v>
      </c>
      <c r="J107" s="122" t="str">
        <f t="shared" si="2"/>
        <v>MMS</v>
      </c>
      <c r="K107" s="122" t="s">
        <v>426</v>
      </c>
      <c r="L107" s="122" t="str">
        <f t="shared" si="3"/>
        <v>MMS23</v>
      </c>
      <c r="M107" s="124" t="s">
        <v>346</v>
      </c>
      <c r="N107" s="122" t="s">
        <v>2038</v>
      </c>
      <c r="O107" s="122" t="s">
        <v>2098</v>
      </c>
      <c r="P107" s="122" t="s">
        <v>2099</v>
      </c>
      <c r="Q107" s="123">
        <v>44451</v>
      </c>
      <c r="R107" s="123">
        <v>44542</v>
      </c>
      <c r="S107" s="122"/>
      <c r="T107" s="123"/>
      <c r="U107" s="125" t="s">
        <v>295</v>
      </c>
      <c r="V107" s="125" t="s">
        <v>295</v>
      </c>
      <c r="W107" s="126" t="s">
        <v>262</v>
      </c>
      <c r="X107" s="122" t="s">
        <v>2210</v>
      </c>
      <c r="Y107" s="122"/>
      <c r="Z107" s="122"/>
      <c r="AA107" s="122"/>
      <c r="AB107" s="122"/>
      <c r="AC107" s="123"/>
      <c r="AD107" s="122" t="s">
        <v>261</v>
      </c>
      <c r="AE107" s="122" t="s">
        <v>1115</v>
      </c>
      <c r="AF107" s="90" t="s">
        <v>1116</v>
      </c>
      <c r="AG107" s="90" t="s">
        <v>0</v>
      </c>
      <c r="AH107" s="93" t="s">
        <v>972</v>
      </c>
      <c r="AI107" s="93" t="b">
        <v>0</v>
      </c>
      <c r="AJ107" s="93"/>
      <c r="AK107" s="93" t="b">
        <v>0</v>
      </c>
      <c r="AL107" s="93"/>
      <c r="AM107" s="93" t="b">
        <v>0</v>
      </c>
      <c r="AN107" s="93" t="b">
        <v>0</v>
      </c>
      <c r="AO107" s="93" t="b">
        <v>0</v>
      </c>
      <c r="AP107" s="93" t="b">
        <v>0</v>
      </c>
      <c r="AQ107" s="93" t="b">
        <v>0</v>
      </c>
      <c r="AR107" s="93" t="b">
        <v>0</v>
      </c>
      <c r="AS107" s="93" t="b">
        <v>0</v>
      </c>
      <c r="AT107" s="107" t="s">
        <v>2212</v>
      </c>
      <c r="AU107" s="94">
        <v>9228291</v>
      </c>
      <c r="AV107" s="90" t="s">
        <v>730</v>
      </c>
      <c r="AW107" s="108" t="s">
        <v>951</v>
      </c>
      <c r="AX107" s="91">
        <v>44567</v>
      </c>
      <c r="AY107" s="108" t="s">
        <v>1101</v>
      </c>
      <c r="AZ107" s="90" t="s">
        <v>13</v>
      </c>
      <c r="BA107" s="90" t="s">
        <v>83</v>
      </c>
      <c r="BB107" s="90" t="s">
        <v>52</v>
      </c>
      <c r="BC107" s="90"/>
      <c r="BD107" s="90" t="s">
        <v>757</v>
      </c>
      <c r="BE107" s="90"/>
      <c r="BF107" s="90" t="s">
        <v>575</v>
      </c>
      <c r="BG107" s="91">
        <v>44632</v>
      </c>
      <c r="BH107" s="93" t="b">
        <v>0</v>
      </c>
      <c r="BI107" s="90"/>
      <c r="BJ107" s="90" t="s">
        <v>2211</v>
      </c>
      <c r="BK107" s="90" t="s">
        <v>1118</v>
      </c>
      <c r="BL107" s="90" t="s">
        <v>2017</v>
      </c>
      <c r="BM107" s="90"/>
      <c r="BN107" s="90"/>
      <c r="BO107" s="90"/>
      <c r="BP107" s="90"/>
      <c r="BQ107" s="90"/>
      <c r="BR107" s="95"/>
      <c r="BS107" s="90"/>
      <c r="BT107" s="90"/>
      <c r="BU107" s="90"/>
      <c r="BV107" s="90"/>
      <c r="BW107" s="90"/>
      <c r="BX107" s="90"/>
      <c r="BY107" s="90"/>
      <c r="BZ107" s="90"/>
      <c r="CA107" s="90"/>
      <c r="CB107" s="90"/>
      <c r="CC107" s="91"/>
      <c r="CD107" s="90"/>
      <c r="CE107" s="91"/>
      <c r="CF107" s="90"/>
      <c r="CG107" s="91"/>
      <c r="CH107" s="90"/>
      <c r="CI107" s="91"/>
      <c r="CJ107" s="90"/>
      <c r="CK107" s="91"/>
      <c r="CL107" s="90"/>
      <c r="CM107" s="91"/>
      <c r="CN107" s="96"/>
      <c r="CO107" s="91"/>
      <c r="CP107" s="90"/>
      <c r="CQ107" s="90"/>
      <c r="CR107" s="90"/>
      <c r="CS107" s="90"/>
      <c r="CT107" s="91"/>
      <c r="CU107" s="90"/>
      <c r="CV107" s="97"/>
    </row>
    <row r="108" spans="1:100" ht="15" customHeight="1" x14ac:dyDescent="0.3">
      <c r="A108" s="122" t="s">
        <v>2039</v>
      </c>
      <c r="B108" s="123">
        <v>44451</v>
      </c>
      <c r="C108" s="122" t="s">
        <v>2040</v>
      </c>
      <c r="D108" s="122" t="s">
        <v>352</v>
      </c>
      <c r="E108" s="124" t="str">
        <f t="shared" si="0"/>
        <v>Cmoge</v>
      </c>
      <c r="F108" s="122" t="str">
        <f t="shared" si="1"/>
        <v>Choge</v>
      </c>
      <c r="G108" s="122" t="s">
        <v>374</v>
      </c>
      <c r="H108" s="122" t="s">
        <v>2018</v>
      </c>
      <c r="I108" s="122" t="s">
        <v>354</v>
      </c>
      <c r="J108" s="122" t="str">
        <f t="shared" si="2"/>
        <v>MMS</v>
      </c>
      <c r="K108" s="122" t="s">
        <v>414</v>
      </c>
      <c r="L108" s="122" t="str">
        <f t="shared" si="3"/>
        <v>MMS11</v>
      </c>
      <c r="M108" s="124" t="s">
        <v>346</v>
      </c>
      <c r="N108" s="122" t="s">
        <v>2041</v>
      </c>
      <c r="O108" s="122" t="s">
        <v>2100</v>
      </c>
      <c r="P108" s="122" t="s">
        <v>2099</v>
      </c>
      <c r="Q108" s="123">
        <v>44451</v>
      </c>
      <c r="R108" s="123">
        <v>44542</v>
      </c>
      <c r="S108" s="122"/>
      <c r="T108" s="123"/>
      <c r="U108" s="125" t="s">
        <v>295</v>
      </c>
      <c r="V108" s="125" t="s">
        <v>295</v>
      </c>
      <c r="W108" s="126" t="s">
        <v>262</v>
      </c>
      <c r="X108" s="122" t="s">
        <v>2213</v>
      </c>
      <c r="Y108" s="122"/>
      <c r="Z108" s="122"/>
      <c r="AA108" s="122"/>
      <c r="AB108" s="122"/>
      <c r="AC108" s="123"/>
      <c r="AD108" s="122" t="s">
        <v>261</v>
      </c>
      <c r="AE108" s="122" t="s">
        <v>1115</v>
      </c>
      <c r="AF108" s="90" t="s">
        <v>1116</v>
      </c>
      <c r="AG108" s="90" t="s">
        <v>0</v>
      </c>
      <c r="AH108" s="93" t="s">
        <v>972</v>
      </c>
      <c r="AI108" s="93" t="b">
        <v>0</v>
      </c>
      <c r="AJ108" s="93"/>
      <c r="AK108" s="93" t="b">
        <v>0</v>
      </c>
      <c r="AL108" s="93"/>
      <c r="AM108" s="93" t="b">
        <v>0</v>
      </c>
      <c r="AN108" s="93" t="b">
        <v>0</v>
      </c>
      <c r="AO108" s="93" t="b">
        <v>0</v>
      </c>
      <c r="AP108" s="93" t="b">
        <v>0</v>
      </c>
      <c r="AQ108" s="93" t="b">
        <v>0</v>
      </c>
      <c r="AR108" s="93" t="b">
        <v>0</v>
      </c>
      <c r="AS108" s="93" t="b">
        <v>0</v>
      </c>
      <c r="AT108" s="107" t="s">
        <v>2214</v>
      </c>
      <c r="AU108" s="94">
        <v>9228291</v>
      </c>
      <c r="AV108" s="90" t="s">
        <v>730</v>
      </c>
      <c r="AW108" s="108" t="s">
        <v>951</v>
      </c>
      <c r="AX108" s="91">
        <v>44567</v>
      </c>
      <c r="AY108" s="108" t="s">
        <v>1101</v>
      </c>
      <c r="AZ108" s="90" t="s">
        <v>582</v>
      </c>
      <c r="BA108" s="90" t="s">
        <v>69</v>
      </c>
      <c r="BB108" s="90" t="s">
        <v>40</v>
      </c>
      <c r="BC108" s="90"/>
      <c r="BD108" s="90" t="s">
        <v>30</v>
      </c>
      <c r="BE108" s="90"/>
      <c r="BF108" s="90" t="s">
        <v>575</v>
      </c>
      <c r="BG108" s="91">
        <v>44632</v>
      </c>
      <c r="BH108" s="93" t="b">
        <v>0</v>
      </c>
      <c r="BI108" s="90"/>
      <c r="BJ108" s="90"/>
      <c r="BK108" s="90" t="s">
        <v>1118</v>
      </c>
      <c r="BL108" s="90" t="s">
        <v>2017</v>
      </c>
      <c r="BM108" s="90"/>
      <c r="BN108" s="90"/>
      <c r="BO108" s="90"/>
      <c r="BP108" s="90"/>
      <c r="BQ108" s="90"/>
      <c r="BR108" s="95"/>
      <c r="BS108" s="90"/>
      <c r="BT108" s="90"/>
      <c r="BU108" s="90"/>
      <c r="BV108" s="90"/>
      <c r="BW108" s="90"/>
      <c r="BX108" s="90"/>
      <c r="BY108" s="90"/>
      <c r="BZ108" s="90"/>
      <c r="CA108" s="90"/>
      <c r="CB108" s="90"/>
      <c r="CC108" s="91"/>
      <c r="CD108" s="90"/>
      <c r="CE108" s="91"/>
      <c r="CF108" s="90"/>
      <c r="CG108" s="91"/>
      <c r="CH108" s="90"/>
      <c r="CI108" s="91"/>
      <c r="CJ108" s="90"/>
      <c r="CK108" s="91"/>
      <c r="CL108" s="90"/>
      <c r="CM108" s="91"/>
      <c r="CN108" s="96"/>
      <c r="CO108" s="91"/>
      <c r="CP108" s="90"/>
      <c r="CQ108" s="90"/>
      <c r="CR108" s="90"/>
      <c r="CS108" s="90"/>
      <c r="CT108" s="91"/>
      <c r="CU108" s="90"/>
      <c r="CV108" s="97"/>
    </row>
    <row r="109" spans="1:100" ht="15" customHeight="1" x14ac:dyDescent="0.3">
      <c r="A109" s="117" t="s">
        <v>2042</v>
      </c>
      <c r="B109" s="118">
        <v>44451</v>
      </c>
      <c r="C109" s="117" t="s">
        <v>2043</v>
      </c>
      <c r="D109" s="117" t="s">
        <v>352</v>
      </c>
      <c r="E109" s="119" t="str">
        <f t="shared" si="0"/>
        <v>Cmoge</v>
      </c>
      <c r="F109" s="117" t="str">
        <f t="shared" si="1"/>
        <v>Choge</v>
      </c>
      <c r="G109" s="117" t="s">
        <v>374</v>
      </c>
      <c r="H109" s="117" t="s">
        <v>2018</v>
      </c>
      <c r="I109" s="117" t="s">
        <v>354</v>
      </c>
      <c r="J109" s="117" t="str">
        <f t="shared" si="2"/>
        <v>MMS</v>
      </c>
      <c r="K109" s="117" t="s">
        <v>417</v>
      </c>
      <c r="L109" s="117" t="str">
        <f t="shared" si="3"/>
        <v>MMS14</v>
      </c>
      <c r="M109" s="119" t="s">
        <v>346</v>
      </c>
      <c r="N109" s="117" t="s">
        <v>2044</v>
      </c>
      <c r="O109" s="117" t="s">
        <v>2101</v>
      </c>
      <c r="P109" s="117" t="s">
        <v>2103</v>
      </c>
      <c r="Q109" s="118">
        <v>44481</v>
      </c>
      <c r="R109" s="118">
        <v>44542</v>
      </c>
      <c r="S109" s="117" t="s">
        <v>2102</v>
      </c>
      <c r="T109" s="118">
        <v>44455</v>
      </c>
      <c r="U109" s="120" t="s">
        <v>295</v>
      </c>
      <c r="V109" s="120" t="s">
        <v>295</v>
      </c>
      <c r="W109" s="121" t="s">
        <v>262</v>
      </c>
      <c r="X109" s="117" t="s">
        <v>2160</v>
      </c>
      <c r="Y109" s="117"/>
      <c r="Z109" s="117"/>
      <c r="AA109" s="117" t="s">
        <v>1</v>
      </c>
      <c r="AB109" s="117" t="s">
        <v>2161</v>
      </c>
      <c r="AC109" s="118">
        <v>44455</v>
      </c>
      <c r="AD109" s="117" t="s">
        <v>349</v>
      </c>
      <c r="AE109" s="117" t="s">
        <v>1115</v>
      </c>
      <c r="AF109" s="90" t="s">
        <v>1116</v>
      </c>
      <c r="AG109" s="90" t="s">
        <v>0</v>
      </c>
      <c r="AH109" s="93" t="s">
        <v>972</v>
      </c>
      <c r="AI109" s="93" t="b">
        <v>0</v>
      </c>
      <c r="AJ109" s="93"/>
      <c r="AK109" s="93" t="b">
        <v>0</v>
      </c>
      <c r="AL109" s="93"/>
      <c r="AM109" s="93" t="b">
        <v>1</v>
      </c>
      <c r="AN109" s="93" t="b">
        <v>0</v>
      </c>
      <c r="AO109" s="93" t="b">
        <v>0</v>
      </c>
      <c r="AP109" s="93" t="b">
        <v>0</v>
      </c>
      <c r="AQ109" s="93" t="b">
        <v>0</v>
      </c>
      <c r="AR109" s="93" t="b">
        <v>0</v>
      </c>
      <c r="AS109" s="93" t="b">
        <v>0</v>
      </c>
      <c r="AT109" s="107" t="s">
        <v>2162</v>
      </c>
      <c r="AU109" s="94">
        <v>9228291</v>
      </c>
      <c r="AV109" s="90" t="s">
        <v>730</v>
      </c>
      <c r="AW109" s="108" t="s">
        <v>951</v>
      </c>
      <c r="AX109" s="91">
        <v>44538</v>
      </c>
      <c r="AY109" s="108" t="s">
        <v>1101</v>
      </c>
      <c r="AZ109" s="90" t="s">
        <v>11</v>
      </c>
      <c r="BA109" s="90" t="s">
        <v>81</v>
      </c>
      <c r="BB109" s="90" t="s">
        <v>43</v>
      </c>
      <c r="BC109" s="90"/>
      <c r="BD109" s="90" t="s">
        <v>28</v>
      </c>
      <c r="BE109" s="90"/>
      <c r="BF109" s="90"/>
      <c r="BG109" s="91"/>
      <c r="BH109" s="93" t="b">
        <v>0</v>
      </c>
      <c r="BI109" s="90"/>
      <c r="BJ109" s="90"/>
      <c r="BK109" s="90" t="s">
        <v>1382</v>
      </c>
      <c r="BL109" s="90" t="s">
        <v>2017</v>
      </c>
      <c r="BM109" s="90"/>
      <c r="BN109" s="90"/>
      <c r="BO109" s="90"/>
      <c r="BP109" s="90"/>
      <c r="BQ109" s="90"/>
      <c r="BR109" s="95"/>
      <c r="BS109" s="90"/>
      <c r="BT109" s="90"/>
      <c r="BU109" s="90"/>
      <c r="BV109" s="90"/>
      <c r="BW109" s="90"/>
      <c r="BX109" s="90"/>
      <c r="BY109" s="90"/>
      <c r="BZ109" s="90"/>
      <c r="CA109" s="90"/>
      <c r="CB109" s="90"/>
      <c r="CC109" s="91"/>
      <c r="CD109" s="90"/>
      <c r="CE109" s="91"/>
      <c r="CF109" s="90"/>
      <c r="CG109" s="91"/>
      <c r="CH109" s="90"/>
      <c r="CI109" s="91"/>
      <c r="CJ109" s="90"/>
      <c r="CK109" s="91"/>
      <c r="CL109" s="90"/>
      <c r="CM109" s="91"/>
      <c r="CN109" s="96"/>
      <c r="CO109" s="91"/>
      <c r="CP109" s="90"/>
      <c r="CQ109" s="90"/>
      <c r="CR109" s="90"/>
      <c r="CS109" s="90"/>
      <c r="CT109" s="91"/>
      <c r="CU109" s="90"/>
      <c r="CV109" s="97"/>
    </row>
    <row r="110" spans="1:100" ht="15" customHeight="1" x14ac:dyDescent="0.3">
      <c r="A110" s="117" t="s">
        <v>2045</v>
      </c>
      <c r="B110" s="118">
        <v>44451</v>
      </c>
      <c r="C110" s="117" t="s">
        <v>2046</v>
      </c>
      <c r="D110" s="117" t="s">
        <v>352</v>
      </c>
      <c r="E110" s="119" t="str">
        <f t="shared" si="0"/>
        <v>Cmoge</v>
      </c>
      <c r="F110" s="117" t="str">
        <f t="shared" si="1"/>
        <v>Choge</v>
      </c>
      <c r="G110" s="117" t="s">
        <v>374</v>
      </c>
      <c r="H110" s="117" t="s">
        <v>2018</v>
      </c>
      <c r="I110" s="117" t="s">
        <v>354</v>
      </c>
      <c r="J110" s="117" t="str">
        <f t="shared" si="2"/>
        <v>MMS</v>
      </c>
      <c r="K110" s="117" t="s">
        <v>417</v>
      </c>
      <c r="L110" s="117" t="str">
        <f t="shared" si="3"/>
        <v>MMS14</v>
      </c>
      <c r="M110" s="119" t="s">
        <v>346</v>
      </c>
      <c r="N110" s="117" t="s">
        <v>2047</v>
      </c>
      <c r="O110" s="117" t="s">
        <v>2104</v>
      </c>
      <c r="P110" s="117" t="s">
        <v>2105</v>
      </c>
      <c r="Q110" s="118">
        <v>44451</v>
      </c>
      <c r="R110" s="118">
        <v>44542</v>
      </c>
      <c r="S110" s="117" t="s">
        <v>2106</v>
      </c>
      <c r="T110" s="118">
        <v>44488</v>
      </c>
      <c r="U110" s="120" t="s">
        <v>295</v>
      </c>
      <c r="V110" s="120" t="s">
        <v>295</v>
      </c>
      <c r="W110" s="121" t="s">
        <v>262</v>
      </c>
      <c r="X110" s="117" t="s">
        <v>2163</v>
      </c>
      <c r="Y110" s="117"/>
      <c r="Z110" s="117"/>
      <c r="AA110" s="117" t="s">
        <v>1</v>
      </c>
      <c r="AB110" s="117" t="s">
        <v>2164</v>
      </c>
      <c r="AC110" s="118">
        <v>44488</v>
      </c>
      <c r="AD110" s="117" t="s">
        <v>349</v>
      </c>
      <c r="AE110" s="117" t="s">
        <v>1115</v>
      </c>
      <c r="AF110" s="90" t="s">
        <v>1116</v>
      </c>
      <c r="AG110" s="90" t="s">
        <v>0</v>
      </c>
      <c r="AH110" s="93" t="s">
        <v>972</v>
      </c>
      <c r="AI110" s="93" t="b">
        <v>0</v>
      </c>
      <c r="AJ110" s="93"/>
      <c r="AK110" s="93" t="b">
        <v>0</v>
      </c>
      <c r="AL110" s="93"/>
      <c r="AM110" s="93" t="b">
        <v>1</v>
      </c>
      <c r="AN110" s="93" t="b">
        <v>0</v>
      </c>
      <c r="AO110" s="93" t="b">
        <v>0</v>
      </c>
      <c r="AP110" s="93" t="b">
        <v>0</v>
      </c>
      <c r="AQ110" s="93" t="b">
        <v>0</v>
      </c>
      <c r="AR110" s="93" t="b">
        <v>0</v>
      </c>
      <c r="AS110" s="93" t="b">
        <v>0</v>
      </c>
      <c r="AT110" s="107" t="s">
        <v>2165</v>
      </c>
      <c r="AU110" s="94">
        <v>9228291</v>
      </c>
      <c r="AV110" s="90" t="s">
        <v>730</v>
      </c>
      <c r="AW110" s="108" t="s">
        <v>951</v>
      </c>
      <c r="AX110" s="91">
        <v>44538</v>
      </c>
      <c r="AY110" s="108" t="s">
        <v>1101</v>
      </c>
      <c r="AZ110" s="90" t="s">
        <v>583</v>
      </c>
      <c r="BA110" s="90" t="s">
        <v>143</v>
      </c>
      <c r="BB110" s="90" t="s">
        <v>43</v>
      </c>
      <c r="BC110" s="90"/>
      <c r="BD110" s="90" t="s">
        <v>756</v>
      </c>
      <c r="BE110" s="90"/>
      <c r="BF110" s="90"/>
      <c r="BG110" s="91"/>
      <c r="BH110" s="93" t="b">
        <v>0</v>
      </c>
      <c r="BI110" s="90"/>
      <c r="BJ110" s="90"/>
      <c r="BK110" s="90" t="s">
        <v>1382</v>
      </c>
      <c r="BL110" s="90" t="s">
        <v>2017</v>
      </c>
      <c r="BM110" s="90"/>
      <c r="BN110" s="90"/>
      <c r="BO110" s="90"/>
      <c r="BP110" s="90"/>
      <c r="BQ110" s="90"/>
      <c r="BR110" s="95"/>
      <c r="BS110" s="90"/>
      <c r="BT110" s="90"/>
      <c r="BU110" s="90"/>
      <c r="BV110" s="90"/>
      <c r="BW110" s="90"/>
      <c r="BX110" s="90"/>
      <c r="BY110" s="90"/>
      <c r="BZ110" s="90"/>
      <c r="CA110" s="90"/>
      <c r="CB110" s="90"/>
      <c r="CC110" s="91"/>
      <c r="CD110" s="90"/>
      <c r="CE110" s="91"/>
      <c r="CF110" s="90"/>
      <c r="CG110" s="91"/>
      <c r="CH110" s="90"/>
      <c r="CI110" s="91"/>
      <c r="CJ110" s="90"/>
      <c r="CK110" s="91"/>
      <c r="CL110" s="90"/>
      <c r="CM110" s="91"/>
      <c r="CN110" s="96"/>
      <c r="CO110" s="91"/>
      <c r="CP110" s="90"/>
      <c r="CQ110" s="90"/>
      <c r="CR110" s="90"/>
      <c r="CS110" s="90"/>
      <c r="CT110" s="91"/>
      <c r="CU110" s="90"/>
      <c r="CV110" s="97"/>
    </row>
    <row r="111" spans="1:100" ht="15" customHeight="1" x14ac:dyDescent="0.3">
      <c r="A111" s="122" t="s">
        <v>2048</v>
      </c>
      <c r="B111" s="123">
        <v>44451</v>
      </c>
      <c r="C111" s="122" t="s">
        <v>2049</v>
      </c>
      <c r="D111" s="122" t="s">
        <v>352</v>
      </c>
      <c r="E111" s="124" t="str">
        <f t="shared" si="0"/>
        <v>Cmoge</v>
      </c>
      <c r="F111" s="122" t="str">
        <f t="shared" si="1"/>
        <v>Choge</v>
      </c>
      <c r="G111" s="122" t="s">
        <v>374</v>
      </c>
      <c r="H111" s="122" t="s">
        <v>2018</v>
      </c>
      <c r="I111" s="122" t="s">
        <v>354</v>
      </c>
      <c r="J111" s="122" t="str">
        <f t="shared" si="2"/>
        <v>MMS</v>
      </c>
      <c r="K111" s="122" t="s">
        <v>417</v>
      </c>
      <c r="L111" s="122" t="str">
        <f t="shared" si="3"/>
        <v>MMS14</v>
      </c>
      <c r="M111" s="124" t="s">
        <v>346</v>
      </c>
      <c r="N111" s="122" t="s">
        <v>2050</v>
      </c>
      <c r="O111" s="122" t="s">
        <v>2107</v>
      </c>
      <c r="P111" s="122" t="s">
        <v>2108</v>
      </c>
      <c r="Q111" s="123">
        <v>44451</v>
      </c>
      <c r="R111" s="123">
        <v>44542</v>
      </c>
      <c r="S111" s="122"/>
      <c r="T111" s="123"/>
      <c r="U111" s="125" t="s">
        <v>295</v>
      </c>
      <c r="V111" s="125" t="s">
        <v>295</v>
      </c>
      <c r="W111" s="126" t="s">
        <v>262</v>
      </c>
      <c r="X111" s="122" t="s">
        <v>2215</v>
      </c>
      <c r="Y111" s="122"/>
      <c r="Z111" s="122"/>
      <c r="AA111" s="122" t="s">
        <v>5</v>
      </c>
      <c r="AB111" s="122"/>
      <c r="AC111" s="123"/>
      <c r="AD111" s="122" t="s">
        <v>261</v>
      </c>
      <c r="AE111" s="122" t="s">
        <v>1115</v>
      </c>
      <c r="AF111" s="90" t="s">
        <v>1116</v>
      </c>
      <c r="AG111" s="90" t="s">
        <v>0</v>
      </c>
      <c r="AH111" s="93" t="s">
        <v>972</v>
      </c>
      <c r="AI111" s="93" t="b">
        <v>0</v>
      </c>
      <c r="AJ111" s="93"/>
      <c r="AK111" s="93" t="b">
        <v>0</v>
      </c>
      <c r="AL111" s="93"/>
      <c r="AM111" s="93" t="b">
        <v>1</v>
      </c>
      <c r="AN111" s="93" t="b">
        <v>0</v>
      </c>
      <c r="AO111" s="93" t="b">
        <v>0</v>
      </c>
      <c r="AP111" s="93" t="b">
        <v>0</v>
      </c>
      <c r="AQ111" s="93" t="b">
        <v>0</v>
      </c>
      <c r="AR111" s="93" t="b">
        <v>0</v>
      </c>
      <c r="AS111" s="93" t="b">
        <v>0</v>
      </c>
      <c r="AT111" s="107" t="s">
        <v>2225</v>
      </c>
      <c r="AU111" s="94">
        <v>9228291</v>
      </c>
      <c r="AV111" s="90" t="s">
        <v>730</v>
      </c>
      <c r="AW111" s="108" t="s">
        <v>951</v>
      </c>
      <c r="AX111" s="91">
        <v>44571</v>
      </c>
      <c r="AY111" s="108" t="s">
        <v>1101</v>
      </c>
      <c r="AZ111" s="90" t="s">
        <v>14</v>
      </c>
      <c r="BA111" s="90" t="s">
        <v>88</v>
      </c>
      <c r="BB111" s="90" t="s">
        <v>43</v>
      </c>
      <c r="BC111" s="90"/>
      <c r="BD111" s="90" t="s">
        <v>756</v>
      </c>
      <c r="BE111" s="90"/>
      <c r="BF111" s="90" t="s">
        <v>574</v>
      </c>
      <c r="BG111" s="91">
        <v>44632</v>
      </c>
      <c r="BH111" s="93" t="b">
        <v>0</v>
      </c>
      <c r="BI111" s="90" t="s">
        <v>2109</v>
      </c>
      <c r="BJ111" s="90" t="s">
        <v>2224</v>
      </c>
      <c r="BK111" s="90" t="s">
        <v>1118</v>
      </c>
      <c r="BL111" s="90" t="s">
        <v>2017</v>
      </c>
      <c r="BM111" s="90"/>
      <c r="BN111" s="90"/>
      <c r="BO111" s="90"/>
      <c r="BP111" s="90"/>
      <c r="BQ111" s="90"/>
      <c r="BR111" s="95"/>
      <c r="BS111" s="90"/>
      <c r="BT111" s="90"/>
      <c r="BU111" s="90"/>
      <c r="BV111" s="90"/>
      <c r="BW111" s="90"/>
      <c r="BX111" s="90"/>
      <c r="BY111" s="90"/>
      <c r="BZ111" s="90"/>
      <c r="CA111" s="90"/>
      <c r="CB111" s="90"/>
      <c r="CC111" s="91"/>
      <c r="CD111" s="90"/>
      <c r="CE111" s="91"/>
      <c r="CF111" s="90"/>
      <c r="CG111" s="91"/>
      <c r="CH111" s="90"/>
      <c r="CI111" s="91"/>
      <c r="CJ111" s="90"/>
      <c r="CK111" s="91"/>
      <c r="CL111" s="90"/>
      <c r="CM111" s="91"/>
      <c r="CN111" s="96"/>
      <c r="CO111" s="91"/>
      <c r="CP111" s="90"/>
      <c r="CQ111" s="90"/>
      <c r="CR111" s="90"/>
      <c r="CS111" s="90"/>
      <c r="CT111" s="91"/>
      <c r="CU111" s="90"/>
      <c r="CV111" s="97"/>
    </row>
    <row r="112" spans="1:100" ht="15" customHeight="1" x14ac:dyDescent="0.3">
      <c r="A112" s="117" t="s">
        <v>2051</v>
      </c>
      <c r="B112" s="118">
        <v>44471</v>
      </c>
      <c r="C112" s="117" t="s">
        <v>2052</v>
      </c>
      <c r="D112" s="117" t="s">
        <v>364</v>
      </c>
      <c r="E112" s="119" t="str">
        <f t="shared" ref="E112:E117" si="4">LEFT(D112,1)&amp;"moge"</f>
        <v>Fmoge</v>
      </c>
      <c r="F112" s="117" t="str">
        <f t="shared" ref="F112:F117" si="5">LEFT(D112,1)&amp;"hoge"</f>
        <v>Fhoge</v>
      </c>
      <c r="G112" s="117" t="s">
        <v>389</v>
      </c>
      <c r="H112" s="117" t="s">
        <v>1101</v>
      </c>
      <c r="I112" s="117" t="s">
        <v>581</v>
      </c>
      <c r="J112" s="117" t="str">
        <f t="shared" ref="J112:J117" si="6">LEFT(I112,3)</f>
        <v>DCK</v>
      </c>
      <c r="K112" s="117" t="s">
        <v>62</v>
      </c>
      <c r="L112" s="117" t="str">
        <f t="shared" ref="L112:L117" si="7">LEFT(K112,5)</f>
        <v>DCK05</v>
      </c>
      <c r="M112" s="119" t="s">
        <v>346</v>
      </c>
      <c r="N112" s="117" t="s">
        <v>2110</v>
      </c>
      <c r="O112" s="117" t="s">
        <v>2053</v>
      </c>
      <c r="P112" s="117" t="s">
        <v>2111</v>
      </c>
      <c r="Q112" s="118">
        <v>44471</v>
      </c>
      <c r="R112" s="118">
        <v>44561</v>
      </c>
      <c r="S112" s="117" t="s">
        <v>2112</v>
      </c>
      <c r="T112" s="118">
        <v>44521</v>
      </c>
      <c r="U112" s="120" t="s">
        <v>295</v>
      </c>
      <c r="V112" s="120" t="s">
        <v>295</v>
      </c>
      <c r="W112" s="121" t="s">
        <v>262</v>
      </c>
      <c r="X112" s="117" t="s">
        <v>2166</v>
      </c>
      <c r="Y112" s="117"/>
      <c r="Z112" s="117"/>
      <c r="AA112" s="117" t="s">
        <v>2</v>
      </c>
      <c r="AB112" s="117" t="s">
        <v>2167</v>
      </c>
      <c r="AC112" s="118">
        <v>44521</v>
      </c>
      <c r="AD112" s="117" t="s">
        <v>349</v>
      </c>
      <c r="AE112" s="117" t="s">
        <v>1115</v>
      </c>
      <c r="AF112" s="90" t="s">
        <v>1116</v>
      </c>
      <c r="AG112" s="90" t="s">
        <v>0</v>
      </c>
      <c r="AH112" s="93" t="s">
        <v>972</v>
      </c>
      <c r="AI112" s="93" t="b">
        <v>0</v>
      </c>
      <c r="AJ112" s="93"/>
      <c r="AK112" s="93" t="b">
        <v>0</v>
      </c>
      <c r="AL112" s="93"/>
      <c r="AM112" s="93" t="b">
        <v>1</v>
      </c>
      <c r="AN112" s="93" t="b">
        <v>0</v>
      </c>
      <c r="AO112" s="93" t="b">
        <v>0</v>
      </c>
      <c r="AP112" s="93" t="b">
        <v>0</v>
      </c>
      <c r="AQ112" s="93" t="b">
        <v>0</v>
      </c>
      <c r="AR112" s="93" t="b">
        <v>0</v>
      </c>
      <c r="AS112" s="93" t="b">
        <v>0</v>
      </c>
      <c r="AT112" s="107" t="s">
        <v>2168</v>
      </c>
      <c r="AU112" s="94">
        <v>9228291</v>
      </c>
      <c r="AV112" s="90" t="s">
        <v>730</v>
      </c>
      <c r="AW112" s="108" t="s">
        <v>951</v>
      </c>
      <c r="AX112" s="91">
        <v>44538</v>
      </c>
      <c r="AY112" s="108" t="s">
        <v>1101</v>
      </c>
      <c r="AZ112" s="90" t="s">
        <v>581</v>
      </c>
      <c r="BA112" s="90" t="s">
        <v>62</v>
      </c>
      <c r="BB112" s="90" t="s">
        <v>40</v>
      </c>
      <c r="BC112" s="90"/>
      <c r="BD112" s="90" t="s">
        <v>30</v>
      </c>
      <c r="BE112" s="90"/>
      <c r="BF112" s="90"/>
      <c r="BG112" s="91"/>
      <c r="BH112" s="93" t="b">
        <v>0</v>
      </c>
      <c r="BI112" s="90" t="s">
        <v>2113</v>
      </c>
      <c r="BJ112" s="90"/>
      <c r="BK112" s="90" t="s">
        <v>1382</v>
      </c>
      <c r="BL112" s="90"/>
      <c r="BM112" s="90"/>
      <c r="BN112" s="90"/>
      <c r="BO112" s="90"/>
      <c r="BP112" s="90"/>
      <c r="BQ112" s="90"/>
      <c r="BR112" s="95"/>
      <c r="BS112" s="90"/>
      <c r="BT112" s="90"/>
      <c r="BU112" s="90"/>
      <c r="BV112" s="90"/>
      <c r="BW112" s="90"/>
      <c r="BX112" s="90"/>
      <c r="BY112" s="90"/>
      <c r="BZ112" s="90"/>
      <c r="CA112" s="90"/>
      <c r="CB112" s="90"/>
      <c r="CC112" s="91"/>
      <c r="CD112" s="90"/>
      <c r="CE112" s="91"/>
      <c r="CF112" s="90"/>
      <c r="CG112" s="91"/>
      <c r="CH112" s="90"/>
      <c r="CI112" s="91"/>
      <c r="CJ112" s="90"/>
      <c r="CK112" s="91"/>
      <c r="CL112" s="90"/>
      <c r="CM112" s="91"/>
      <c r="CN112" s="96"/>
      <c r="CO112" s="91"/>
      <c r="CP112" s="90"/>
      <c r="CQ112" s="90"/>
      <c r="CR112" s="90"/>
      <c r="CS112" s="90"/>
      <c r="CT112" s="91"/>
      <c r="CU112" s="90"/>
      <c r="CV112" s="97"/>
    </row>
    <row r="113" spans="1:100" ht="15" customHeight="1" x14ac:dyDescent="0.3">
      <c r="A113" s="122" t="s">
        <v>2054</v>
      </c>
      <c r="B113" s="123">
        <v>44483</v>
      </c>
      <c r="C113" s="122" t="s">
        <v>2055</v>
      </c>
      <c r="D113" s="122" t="s">
        <v>364</v>
      </c>
      <c r="E113" s="124" t="str">
        <f t="shared" si="4"/>
        <v>Fmoge</v>
      </c>
      <c r="F113" s="122" t="str">
        <f t="shared" si="5"/>
        <v>Fhoge</v>
      </c>
      <c r="G113" s="122" t="s">
        <v>390</v>
      </c>
      <c r="H113" s="122" t="s">
        <v>1356</v>
      </c>
      <c r="I113" s="122" t="s">
        <v>17</v>
      </c>
      <c r="J113" s="122" t="str">
        <f t="shared" si="6"/>
        <v>AEQ</v>
      </c>
      <c r="K113" s="122" t="s">
        <v>126</v>
      </c>
      <c r="L113" s="122" t="str">
        <f t="shared" si="7"/>
        <v>AEQ06</v>
      </c>
      <c r="M113" s="124" t="s">
        <v>346</v>
      </c>
      <c r="N113" s="122" t="s">
        <v>2056</v>
      </c>
      <c r="O113" s="122" t="s">
        <v>2057</v>
      </c>
      <c r="P113" s="122" t="s">
        <v>2058</v>
      </c>
      <c r="Q113" s="123">
        <v>44483</v>
      </c>
      <c r="R113" s="123">
        <v>44573</v>
      </c>
      <c r="S113" s="122"/>
      <c r="T113" s="123"/>
      <c r="U113" s="125" t="s">
        <v>295</v>
      </c>
      <c r="V113" s="125" t="s">
        <v>295</v>
      </c>
      <c r="W113" s="126" t="s">
        <v>262</v>
      </c>
      <c r="X113" s="122" t="s">
        <v>2169</v>
      </c>
      <c r="Y113" s="122"/>
      <c r="Z113" s="122"/>
      <c r="AA113" s="122" t="s">
        <v>4</v>
      </c>
      <c r="AB113" s="122"/>
      <c r="AC113" s="123"/>
      <c r="AD113" s="122" t="s">
        <v>261</v>
      </c>
      <c r="AE113" s="122" t="s">
        <v>1115</v>
      </c>
      <c r="AF113" s="90" t="s">
        <v>1116</v>
      </c>
      <c r="AG113" s="90" t="s">
        <v>0</v>
      </c>
      <c r="AH113" s="93" t="s">
        <v>972</v>
      </c>
      <c r="AI113" s="93" t="b">
        <v>0</v>
      </c>
      <c r="AJ113" s="93"/>
      <c r="AK113" s="93" t="b">
        <v>0</v>
      </c>
      <c r="AL113" s="93"/>
      <c r="AM113" s="93" t="b">
        <v>0</v>
      </c>
      <c r="AN113" s="93" t="b">
        <v>0</v>
      </c>
      <c r="AO113" s="93" t="b">
        <v>0</v>
      </c>
      <c r="AP113" s="93" t="b">
        <v>0</v>
      </c>
      <c r="AQ113" s="93" t="b">
        <v>0</v>
      </c>
      <c r="AR113" s="93" t="b">
        <v>0</v>
      </c>
      <c r="AS113" s="93" t="b">
        <v>0</v>
      </c>
      <c r="AT113" s="107" t="s">
        <v>2218</v>
      </c>
      <c r="AU113" s="94">
        <v>9228291</v>
      </c>
      <c r="AV113" s="90" t="s">
        <v>730</v>
      </c>
      <c r="AW113" s="108" t="s">
        <v>951</v>
      </c>
      <c r="AX113" s="91">
        <v>44567</v>
      </c>
      <c r="AY113" s="108" t="s">
        <v>1101</v>
      </c>
      <c r="AZ113" s="90" t="s">
        <v>17</v>
      </c>
      <c r="BA113" s="90" t="s">
        <v>126</v>
      </c>
      <c r="BB113" s="90" t="s">
        <v>43</v>
      </c>
      <c r="BC113" s="90"/>
      <c r="BD113" s="90" t="s">
        <v>756</v>
      </c>
      <c r="BE113" s="90"/>
      <c r="BF113" s="90" t="s">
        <v>574</v>
      </c>
      <c r="BG113" s="91">
        <v>44632</v>
      </c>
      <c r="BH113" s="93" t="b">
        <v>0</v>
      </c>
      <c r="BI113" s="90" t="s">
        <v>2059</v>
      </c>
      <c r="BJ113" s="90" t="s">
        <v>2216</v>
      </c>
      <c r="BK113" s="90" t="s">
        <v>1118</v>
      </c>
      <c r="BL113" s="90"/>
      <c r="BM113" s="90"/>
      <c r="BN113" s="90"/>
      <c r="BO113" s="90"/>
      <c r="BP113" s="90"/>
      <c r="BQ113" s="90"/>
      <c r="BR113" s="95"/>
      <c r="BS113" s="90"/>
      <c r="BT113" s="90"/>
      <c r="BU113" s="90"/>
      <c r="BV113" s="90"/>
      <c r="BW113" s="90"/>
      <c r="BX113" s="90"/>
      <c r="BY113" s="90"/>
      <c r="BZ113" s="90"/>
      <c r="CA113" s="90"/>
      <c r="CB113" s="90"/>
      <c r="CC113" s="91"/>
      <c r="CD113" s="90"/>
      <c r="CE113" s="91"/>
      <c r="CF113" s="90"/>
      <c r="CG113" s="91"/>
      <c r="CH113" s="90"/>
      <c r="CI113" s="91"/>
      <c r="CJ113" s="90"/>
      <c r="CK113" s="91"/>
      <c r="CL113" s="90"/>
      <c r="CM113" s="91"/>
      <c r="CN113" s="96"/>
      <c r="CO113" s="91"/>
      <c r="CP113" s="90"/>
      <c r="CQ113" s="90"/>
      <c r="CR113" s="90"/>
      <c r="CS113" s="90"/>
      <c r="CT113" s="91"/>
      <c r="CU113" s="90"/>
      <c r="CV113" s="97"/>
    </row>
    <row r="114" spans="1:100" ht="15" customHeight="1" x14ac:dyDescent="0.3">
      <c r="A114" s="117" t="s">
        <v>2060</v>
      </c>
      <c r="B114" s="118">
        <v>44483</v>
      </c>
      <c r="C114" s="117" t="s">
        <v>2061</v>
      </c>
      <c r="D114" s="117" t="s">
        <v>364</v>
      </c>
      <c r="E114" s="119" t="str">
        <f t="shared" si="4"/>
        <v>Fmoge</v>
      </c>
      <c r="F114" s="117" t="str">
        <f t="shared" si="5"/>
        <v>Fhoge</v>
      </c>
      <c r="G114" s="117" t="s">
        <v>390</v>
      </c>
      <c r="H114" s="117" t="s">
        <v>1356</v>
      </c>
      <c r="I114" s="117" t="s">
        <v>17</v>
      </c>
      <c r="J114" s="117" t="str">
        <f t="shared" si="6"/>
        <v>AEQ</v>
      </c>
      <c r="K114" s="117" t="s">
        <v>131</v>
      </c>
      <c r="L114" s="117" t="str">
        <f t="shared" si="7"/>
        <v>AEQ16</v>
      </c>
      <c r="M114" s="119" t="s">
        <v>346</v>
      </c>
      <c r="N114" s="117" t="s">
        <v>2062</v>
      </c>
      <c r="O114" s="117" t="s">
        <v>2063</v>
      </c>
      <c r="P114" s="117" t="s">
        <v>2064</v>
      </c>
      <c r="Q114" s="118">
        <v>44483</v>
      </c>
      <c r="R114" s="118">
        <v>44573</v>
      </c>
      <c r="S114" s="117" t="s">
        <v>2196</v>
      </c>
      <c r="T114" s="118">
        <v>44549</v>
      </c>
      <c r="U114" s="120" t="s">
        <v>295</v>
      </c>
      <c r="V114" s="120" t="s">
        <v>295</v>
      </c>
      <c r="W114" s="121" t="s">
        <v>262</v>
      </c>
      <c r="X114" s="117" t="s">
        <v>2170</v>
      </c>
      <c r="Y114" s="117"/>
      <c r="Z114" s="117"/>
      <c r="AA114" s="117" t="s">
        <v>4</v>
      </c>
      <c r="AB114" s="117" t="s">
        <v>2217</v>
      </c>
      <c r="AC114" s="118">
        <v>44549</v>
      </c>
      <c r="AD114" s="117" t="s">
        <v>349</v>
      </c>
      <c r="AE114" s="117" t="s">
        <v>1115</v>
      </c>
      <c r="AF114" s="90" t="s">
        <v>1116</v>
      </c>
      <c r="AG114" s="90" t="s">
        <v>0</v>
      </c>
      <c r="AH114" s="93" t="s">
        <v>972</v>
      </c>
      <c r="AI114" s="93" t="b">
        <v>0</v>
      </c>
      <c r="AJ114" s="93"/>
      <c r="AK114" s="93" t="b">
        <v>0</v>
      </c>
      <c r="AL114" s="93"/>
      <c r="AM114" s="93" t="b">
        <v>1</v>
      </c>
      <c r="AN114" s="93" t="b">
        <v>0</v>
      </c>
      <c r="AO114" s="93" t="b">
        <v>0</v>
      </c>
      <c r="AP114" s="93" t="b">
        <v>0</v>
      </c>
      <c r="AQ114" s="93" t="b">
        <v>0</v>
      </c>
      <c r="AR114" s="93" t="b">
        <v>0</v>
      </c>
      <c r="AS114" s="93" t="b">
        <v>0</v>
      </c>
      <c r="AT114" s="107" t="s">
        <v>2219</v>
      </c>
      <c r="AU114" s="94">
        <v>9228291</v>
      </c>
      <c r="AV114" s="90" t="s">
        <v>730</v>
      </c>
      <c r="AW114" s="108" t="s">
        <v>951</v>
      </c>
      <c r="AX114" s="91">
        <v>44567</v>
      </c>
      <c r="AY114" s="108" t="s">
        <v>1101</v>
      </c>
      <c r="AZ114" s="90" t="s">
        <v>17</v>
      </c>
      <c r="BA114" s="90" t="s">
        <v>131</v>
      </c>
      <c r="BB114" s="90" t="s">
        <v>43</v>
      </c>
      <c r="BC114" s="90"/>
      <c r="BD114" s="90" t="s">
        <v>756</v>
      </c>
      <c r="BE114" s="90"/>
      <c r="BF114" s="90"/>
      <c r="BG114" s="91"/>
      <c r="BH114" s="93" t="b">
        <v>0</v>
      </c>
      <c r="BI114" s="90" t="s">
        <v>2065</v>
      </c>
      <c r="BJ114" s="90"/>
      <c r="BK114" s="90" t="s">
        <v>1382</v>
      </c>
      <c r="BL114" s="90"/>
      <c r="BM114" s="90"/>
      <c r="BN114" s="90"/>
      <c r="BO114" s="90"/>
      <c r="BP114" s="90"/>
      <c r="BQ114" s="90"/>
      <c r="BR114" s="95"/>
      <c r="BS114" s="90"/>
      <c r="BT114" s="90"/>
      <c r="BU114" s="90"/>
      <c r="BV114" s="90"/>
      <c r="BW114" s="90"/>
      <c r="BX114" s="90"/>
      <c r="BY114" s="90"/>
      <c r="BZ114" s="90"/>
      <c r="CA114" s="90"/>
      <c r="CB114" s="90"/>
      <c r="CC114" s="91"/>
      <c r="CD114" s="90"/>
      <c r="CE114" s="91"/>
      <c r="CF114" s="90"/>
      <c r="CG114" s="91"/>
      <c r="CH114" s="90"/>
      <c r="CI114" s="91"/>
      <c r="CJ114" s="90"/>
      <c r="CK114" s="91"/>
      <c r="CL114" s="90"/>
      <c r="CM114" s="91"/>
      <c r="CN114" s="96"/>
      <c r="CO114" s="91"/>
      <c r="CP114" s="90"/>
      <c r="CQ114" s="90"/>
      <c r="CR114" s="90"/>
      <c r="CS114" s="90"/>
      <c r="CT114" s="91"/>
      <c r="CU114" s="90"/>
      <c r="CV114" s="97"/>
    </row>
    <row r="115" spans="1:100" ht="15" customHeight="1" x14ac:dyDescent="0.3">
      <c r="A115" s="117" t="s">
        <v>2066</v>
      </c>
      <c r="B115" s="118">
        <v>44486</v>
      </c>
      <c r="C115" s="117" t="s">
        <v>2067</v>
      </c>
      <c r="D115" s="117" t="s">
        <v>364</v>
      </c>
      <c r="E115" s="119" t="str">
        <f t="shared" si="4"/>
        <v>Fmoge</v>
      </c>
      <c r="F115" s="117" t="str">
        <f t="shared" si="5"/>
        <v>Fhoge</v>
      </c>
      <c r="G115" s="117" t="s">
        <v>390</v>
      </c>
      <c r="H115" s="117" t="s">
        <v>1356</v>
      </c>
      <c r="I115" s="117" t="s">
        <v>19</v>
      </c>
      <c r="J115" s="117" t="str">
        <f t="shared" si="6"/>
        <v>ELC</v>
      </c>
      <c r="K115" s="117" t="s">
        <v>146</v>
      </c>
      <c r="L115" s="117" t="str">
        <f t="shared" si="7"/>
        <v>ELC03</v>
      </c>
      <c r="M115" s="119" t="s">
        <v>346</v>
      </c>
      <c r="N115" s="117" t="s">
        <v>2068</v>
      </c>
      <c r="O115" s="117" t="s">
        <v>2069</v>
      </c>
      <c r="P115" s="117" t="s">
        <v>2070</v>
      </c>
      <c r="Q115" s="118">
        <v>44489</v>
      </c>
      <c r="R115" s="118">
        <v>44576</v>
      </c>
      <c r="S115" s="117" t="s">
        <v>2197</v>
      </c>
      <c r="T115" s="118">
        <v>44550</v>
      </c>
      <c r="U115" s="120" t="s">
        <v>295</v>
      </c>
      <c r="V115" s="120" t="s">
        <v>295</v>
      </c>
      <c r="W115" s="121" t="s">
        <v>262</v>
      </c>
      <c r="X115" s="117" t="s">
        <v>2220</v>
      </c>
      <c r="Y115" s="117"/>
      <c r="Z115" s="117"/>
      <c r="AA115" s="117" t="s">
        <v>1</v>
      </c>
      <c r="AB115" s="117" t="s">
        <v>2220</v>
      </c>
      <c r="AC115" s="118">
        <v>44550</v>
      </c>
      <c r="AD115" s="117" t="s">
        <v>349</v>
      </c>
      <c r="AE115" s="117" t="s">
        <v>1115</v>
      </c>
      <c r="AF115" s="90" t="s">
        <v>1116</v>
      </c>
      <c r="AG115" s="90" t="s">
        <v>0</v>
      </c>
      <c r="AH115" s="93" t="s">
        <v>972</v>
      </c>
      <c r="AI115" s="93" t="b">
        <v>0</v>
      </c>
      <c r="AJ115" s="93"/>
      <c r="AK115" s="93" t="b">
        <v>0</v>
      </c>
      <c r="AL115" s="93"/>
      <c r="AM115" s="93" t="b">
        <v>0</v>
      </c>
      <c r="AN115" s="93" t="b">
        <v>0</v>
      </c>
      <c r="AO115" s="93" t="b">
        <v>0</v>
      </c>
      <c r="AP115" s="93" t="b">
        <v>0</v>
      </c>
      <c r="AQ115" s="93" t="b">
        <v>0</v>
      </c>
      <c r="AR115" s="93" t="b">
        <v>0</v>
      </c>
      <c r="AS115" s="93" t="b">
        <v>0</v>
      </c>
      <c r="AT115" s="107" t="s">
        <v>2221</v>
      </c>
      <c r="AU115" s="94">
        <v>9228291</v>
      </c>
      <c r="AV115" s="90" t="s">
        <v>730</v>
      </c>
      <c r="AW115" s="108" t="s">
        <v>951</v>
      </c>
      <c r="AX115" s="91">
        <v>44567</v>
      </c>
      <c r="AY115" s="108" t="s">
        <v>1101</v>
      </c>
      <c r="AZ115" s="90" t="s">
        <v>19</v>
      </c>
      <c r="BA115" s="90" t="s">
        <v>146</v>
      </c>
      <c r="BB115" s="90" t="s">
        <v>52</v>
      </c>
      <c r="BC115" s="90"/>
      <c r="BD115" s="90" t="s">
        <v>757</v>
      </c>
      <c r="BE115" s="90"/>
      <c r="BF115" s="90"/>
      <c r="BG115" s="91"/>
      <c r="BH115" s="93" t="b">
        <v>0</v>
      </c>
      <c r="BI115" s="90" t="s">
        <v>2071</v>
      </c>
      <c r="BJ115" s="90"/>
      <c r="BK115" s="90" t="s">
        <v>1382</v>
      </c>
      <c r="BL115" s="90"/>
      <c r="BM115" s="90"/>
      <c r="BN115" s="90"/>
      <c r="BO115" s="90"/>
      <c r="BP115" s="90"/>
      <c r="BQ115" s="90"/>
      <c r="BR115" s="95"/>
      <c r="BS115" s="90"/>
      <c r="BT115" s="90"/>
      <c r="BU115" s="90"/>
      <c r="BV115" s="90"/>
      <c r="BW115" s="90"/>
      <c r="BX115" s="90"/>
      <c r="BY115" s="90"/>
      <c r="BZ115" s="90"/>
      <c r="CA115" s="90"/>
      <c r="CB115" s="90"/>
      <c r="CC115" s="91"/>
      <c r="CD115" s="90"/>
      <c r="CE115" s="91"/>
      <c r="CF115" s="90"/>
      <c r="CG115" s="91"/>
      <c r="CH115" s="90"/>
      <c r="CI115" s="91"/>
      <c r="CJ115" s="90"/>
      <c r="CK115" s="91"/>
      <c r="CL115" s="90"/>
      <c r="CM115" s="91"/>
      <c r="CN115" s="96"/>
      <c r="CO115" s="91"/>
      <c r="CP115" s="90"/>
      <c r="CQ115" s="90"/>
      <c r="CR115" s="90"/>
      <c r="CS115" s="90"/>
      <c r="CT115" s="91"/>
      <c r="CU115" s="90"/>
      <c r="CV115" s="97"/>
    </row>
    <row r="116" spans="1:100" ht="15" customHeight="1" x14ac:dyDescent="0.3">
      <c r="A116" s="117" t="s">
        <v>2072</v>
      </c>
      <c r="B116" s="118">
        <v>44505</v>
      </c>
      <c r="C116" s="117" t="s">
        <v>2073</v>
      </c>
      <c r="D116" s="117" t="s">
        <v>364</v>
      </c>
      <c r="E116" s="119" t="str">
        <f t="shared" si="4"/>
        <v>Fmoge</v>
      </c>
      <c r="F116" s="117" t="str">
        <f t="shared" si="5"/>
        <v>Fhoge</v>
      </c>
      <c r="G116" s="117" t="s">
        <v>390</v>
      </c>
      <c r="H116" s="117" t="s">
        <v>1356</v>
      </c>
      <c r="I116" s="117" t="s">
        <v>19</v>
      </c>
      <c r="J116" s="117" t="str">
        <f t="shared" si="6"/>
        <v>ELC</v>
      </c>
      <c r="K116" s="117" t="s">
        <v>149</v>
      </c>
      <c r="L116" s="117" t="str">
        <f t="shared" si="7"/>
        <v>ELC07</v>
      </c>
      <c r="M116" s="119" t="s">
        <v>346</v>
      </c>
      <c r="N116" s="117" t="s">
        <v>2074</v>
      </c>
      <c r="O116" s="117" t="s">
        <v>2057</v>
      </c>
      <c r="P116" s="117" t="s">
        <v>2075</v>
      </c>
      <c r="Q116" s="118">
        <v>44505</v>
      </c>
      <c r="R116" s="118">
        <v>44595</v>
      </c>
      <c r="S116" s="117" t="s">
        <v>2114</v>
      </c>
      <c r="T116" s="118">
        <v>44524</v>
      </c>
      <c r="U116" s="120" t="s">
        <v>295</v>
      </c>
      <c r="V116" s="120" t="s">
        <v>295</v>
      </c>
      <c r="W116" s="121" t="s">
        <v>262</v>
      </c>
      <c r="X116" s="117" t="s">
        <v>2192</v>
      </c>
      <c r="Y116" s="117"/>
      <c r="Z116" s="117"/>
      <c r="AA116" s="117" t="s">
        <v>1</v>
      </c>
      <c r="AB116" s="117" t="s">
        <v>2193</v>
      </c>
      <c r="AC116" s="118">
        <v>44524</v>
      </c>
      <c r="AD116" s="117" t="s">
        <v>349</v>
      </c>
      <c r="AE116" s="117" t="s">
        <v>1115</v>
      </c>
      <c r="AF116" s="90" t="s">
        <v>1116</v>
      </c>
      <c r="AG116" s="90" t="s">
        <v>0</v>
      </c>
      <c r="AH116" s="93" t="s">
        <v>972</v>
      </c>
      <c r="AI116" s="93" t="b">
        <v>0</v>
      </c>
      <c r="AJ116" s="93"/>
      <c r="AK116" s="93" t="b">
        <v>0</v>
      </c>
      <c r="AL116" s="93"/>
      <c r="AM116" s="93" t="b">
        <v>1</v>
      </c>
      <c r="AN116" s="93" t="b">
        <v>0</v>
      </c>
      <c r="AO116" s="93" t="b">
        <v>0</v>
      </c>
      <c r="AP116" s="93" t="b">
        <v>0</v>
      </c>
      <c r="AQ116" s="93" t="b">
        <v>0</v>
      </c>
      <c r="AR116" s="93" t="b">
        <v>0</v>
      </c>
      <c r="AS116" s="93" t="b">
        <v>0</v>
      </c>
      <c r="AT116" s="107" t="s">
        <v>2226</v>
      </c>
      <c r="AU116" s="94">
        <v>9228291</v>
      </c>
      <c r="AV116" s="90" t="s">
        <v>730</v>
      </c>
      <c r="AW116" s="108" t="s">
        <v>951</v>
      </c>
      <c r="AX116" s="91">
        <v>44614</v>
      </c>
      <c r="AY116" s="108" t="s">
        <v>1101</v>
      </c>
      <c r="AZ116" s="90" t="s">
        <v>19</v>
      </c>
      <c r="BA116" s="90" t="s">
        <v>149</v>
      </c>
      <c r="BB116" s="90" t="s">
        <v>43</v>
      </c>
      <c r="BC116" s="90"/>
      <c r="BD116" s="90" t="s">
        <v>756</v>
      </c>
      <c r="BE116" s="90"/>
      <c r="BF116" s="90"/>
      <c r="BG116" s="91"/>
      <c r="BH116" s="93" t="b">
        <v>0</v>
      </c>
      <c r="BI116" s="90" t="s">
        <v>2076</v>
      </c>
      <c r="BJ116" s="90"/>
      <c r="BK116" s="90" t="s">
        <v>1382</v>
      </c>
      <c r="BL116" s="90"/>
      <c r="BM116" s="90"/>
      <c r="BN116" s="90"/>
      <c r="BO116" s="90"/>
      <c r="BP116" s="90"/>
      <c r="BQ116" s="90"/>
      <c r="BR116" s="95"/>
      <c r="BS116" s="90"/>
      <c r="BT116" s="90"/>
      <c r="BU116" s="90"/>
      <c r="BV116" s="90"/>
      <c r="BW116" s="90"/>
      <c r="BX116" s="90"/>
      <c r="BY116" s="90"/>
      <c r="BZ116" s="90"/>
      <c r="CA116" s="90"/>
      <c r="CB116" s="90"/>
      <c r="CC116" s="91"/>
      <c r="CD116" s="90"/>
      <c r="CE116" s="91"/>
      <c r="CF116" s="90"/>
      <c r="CG116" s="91"/>
      <c r="CH116" s="90"/>
      <c r="CI116" s="91"/>
      <c r="CJ116" s="90"/>
      <c r="CK116" s="91"/>
      <c r="CL116" s="90"/>
      <c r="CM116" s="91"/>
      <c r="CN116" s="96"/>
      <c r="CO116" s="91"/>
      <c r="CP116" s="90"/>
      <c r="CQ116" s="90"/>
      <c r="CR116" s="90"/>
      <c r="CS116" s="90"/>
      <c r="CT116" s="91"/>
      <c r="CU116" s="90"/>
      <c r="CV116" s="97"/>
    </row>
    <row r="117" spans="1:100" ht="15" customHeight="1" x14ac:dyDescent="0.3">
      <c r="A117" s="117" t="s">
        <v>2077</v>
      </c>
      <c r="B117" s="118">
        <v>44512</v>
      </c>
      <c r="C117" s="117" t="s">
        <v>2078</v>
      </c>
      <c r="D117" s="117" t="s">
        <v>364</v>
      </c>
      <c r="E117" s="119" t="str">
        <f t="shared" si="4"/>
        <v>Fmoge</v>
      </c>
      <c r="F117" s="117" t="str">
        <f t="shared" si="5"/>
        <v>Fhoge</v>
      </c>
      <c r="G117" s="117" t="s">
        <v>390</v>
      </c>
      <c r="H117" s="117" t="s">
        <v>1356</v>
      </c>
      <c r="I117" s="117" t="s">
        <v>17</v>
      </c>
      <c r="J117" s="117" t="str">
        <f t="shared" si="6"/>
        <v>AEQ</v>
      </c>
      <c r="K117" s="117" t="s">
        <v>188</v>
      </c>
      <c r="L117" s="117" t="str">
        <f t="shared" si="7"/>
        <v>AEQ21</v>
      </c>
      <c r="M117" s="119" t="s">
        <v>346</v>
      </c>
      <c r="N117" s="117" t="s">
        <v>2079</v>
      </c>
      <c r="O117" s="117" t="s">
        <v>2115</v>
      </c>
      <c r="P117" s="117" t="s">
        <v>2080</v>
      </c>
      <c r="Q117" s="118">
        <v>44512</v>
      </c>
      <c r="R117" s="118">
        <v>44602</v>
      </c>
      <c r="S117" s="117" t="s">
        <v>2081</v>
      </c>
      <c r="T117" s="118">
        <v>44515</v>
      </c>
      <c r="U117" s="120" t="s">
        <v>295</v>
      </c>
      <c r="V117" s="120" t="s">
        <v>295</v>
      </c>
      <c r="W117" s="121" t="s">
        <v>262</v>
      </c>
      <c r="X117" s="117" t="s">
        <v>2194</v>
      </c>
      <c r="Y117" s="117"/>
      <c r="Z117" s="117"/>
      <c r="AA117" s="117" t="s">
        <v>1</v>
      </c>
      <c r="AB117" s="117" t="s">
        <v>2194</v>
      </c>
      <c r="AC117" s="118">
        <v>44515</v>
      </c>
      <c r="AD117" s="117" t="s">
        <v>349</v>
      </c>
      <c r="AE117" s="117" t="s">
        <v>1115</v>
      </c>
      <c r="AF117" s="90" t="s">
        <v>1116</v>
      </c>
      <c r="AG117" s="90" t="s">
        <v>0</v>
      </c>
      <c r="AH117" s="93" t="s">
        <v>972</v>
      </c>
      <c r="AI117" s="93" t="b">
        <v>0</v>
      </c>
      <c r="AJ117" s="93"/>
      <c r="AK117" s="93" t="b">
        <v>0</v>
      </c>
      <c r="AL117" s="93"/>
      <c r="AM117" s="93" t="b">
        <v>1</v>
      </c>
      <c r="AN117" s="93" t="b">
        <v>0</v>
      </c>
      <c r="AO117" s="93" t="b">
        <v>0</v>
      </c>
      <c r="AP117" s="93" t="b">
        <v>0</v>
      </c>
      <c r="AQ117" s="93" t="b">
        <v>0</v>
      </c>
      <c r="AR117" s="93" t="b">
        <v>0</v>
      </c>
      <c r="AS117" s="93" t="b">
        <v>0</v>
      </c>
      <c r="AT117" s="107" t="s">
        <v>2195</v>
      </c>
      <c r="AU117" s="94">
        <v>9228291</v>
      </c>
      <c r="AV117" s="90" t="s">
        <v>730</v>
      </c>
      <c r="AW117" s="108" t="s">
        <v>951</v>
      </c>
      <c r="AX117" s="91">
        <v>44541</v>
      </c>
      <c r="AY117" s="108" t="s">
        <v>1101</v>
      </c>
      <c r="AZ117" s="90" t="s">
        <v>17</v>
      </c>
      <c r="BA117" s="90" t="s">
        <v>188</v>
      </c>
      <c r="BB117" s="90" t="s">
        <v>43</v>
      </c>
      <c r="BC117" s="90"/>
      <c r="BD117" s="90" t="s">
        <v>756</v>
      </c>
      <c r="BE117" s="90"/>
      <c r="BF117" s="90"/>
      <c r="BG117" s="91"/>
      <c r="BH117" s="93" t="b">
        <v>0</v>
      </c>
      <c r="BI117" s="90" t="s">
        <v>2082</v>
      </c>
      <c r="BJ117" s="90"/>
      <c r="BK117" s="90" t="s">
        <v>1382</v>
      </c>
      <c r="BL117" s="90"/>
      <c r="BM117" s="90"/>
      <c r="BN117" s="90"/>
      <c r="BO117" s="90"/>
      <c r="BP117" s="90"/>
      <c r="BQ117" s="90"/>
      <c r="BR117" s="95"/>
      <c r="BS117" s="90"/>
      <c r="BT117" s="90"/>
      <c r="BU117" s="90"/>
      <c r="BV117" s="90"/>
      <c r="BW117" s="90"/>
      <c r="BX117" s="90"/>
      <c r="BY117" s="90"/>
      <c r="BZ117" s="90"/>
      <c r="CA117" s="90"/>
      <c r="CB117" s="90"/>
      <c r="CC117" s="91"/>
      <c r="CD117" s="90"/>
      <c r="CE117" s="91"/>
      <c r="CF117" s="90"/>
      <c r="CG117" s="91"/>
      <c r="CH117" s="90"/>
      <c r="CI117" s="91"/>
      <c r="CJ117" s="90"/>
      <c r="CK117" s="91"/>
      <c r="CL117" s="90"/>
      <c r="CM117" s="91"/>
      <c r="CN117" s="96"/>
      <c r="CO117" s="91"/>
      <c r="CP117" s="90"/>
      <c r="CQ117" s="90"/>
      <c r="CR117" s="90"/>
      <c r="CS117" s="90"/>
      <c r="CT117" s="91"/>
      <c r="CU117" s="90"/>
      <c r="CV117" s="97"/>
    </row>
    <row r="118" spans="1:100" ht="15" customHeight="1" x14ac:dyDescent="0.3">
      <c r="A118" s="117" t="s">
        <v>2116</v>
      </c>
      <c r="B118" s="118">
        <v>44518</v>
      </c>
      <c r="C118" s="117" t="s">
        <v>2117</v>
      </c>
      <c r="D118" s="117" t="s">
        <v>364</v>
      </c>
      <c r="E118" s="119" t="str">
        <f>LEFT(D118,1)&amp;"moge"</f>
        <v>Fmoge</v>
      </c>
      <c r="F118" s="117" t="str">
        <f>LEFT(D118,1)&amp;"hoge"</f>
        <v>Fhoge</v>
      </c>
      <c r="G118" s="117" t="s">
        <v>390</v>
      </c>
      <c r="H118" s="117" t="s">
        <v>2118</v>
      </c>
      <c r="I118" s="117" t="s">
        <v>24</v>
      </c>
      <c r="J118" s="117" t="str">
        <f>LEFT(I118,3)</f>
        <v>DCR</v>
      </c>
      <c r="K118" s="117" t="s">
        <v>191</v>
      </c>
      <c r="L118" s="117" t="str">
        <f>LEFT(K118,5)</f>
        <v>DCR01</v>
      </c>
      <c r="M118" s="119" t="s">
        <v>346</v>
      </c>
      <c r="N118" s="117" t="s">
        <v>2119</v>
      </c>
      <c r="O118" s="117" t="s">
        <v>2120</v>
      </c>
      <c r="P118" s="117" t="s">
        <v>2121</v>
      </c>
      <c r="Q118" s="118">
        <v>44518</v>
      </c>
      <c r="R118" s="118">
        <v>44608</v>
      </c>
      <c r="S118" s="117" t="s">
        <v>2122</v>
      </c>
      <c r="T118" s="118">
        <v>44530</v>
      </c>
      <c r="U118" s="120" t="s">
        <v>295</v>
      </c>
      <c r="V118" s="120" t="s">
        <v>295</v>
      </c>
      <c r="W118" s="121" t="s">
        <v>262</v>
      </c>
      <c r="X118" s="117" t="s">
        <v>2171</v>
      </c>
      <c r="Y118" s="117"/>
      <c r="Z118" s="117"/>
      <c r="AA118" s="117" t="s">
        <v>5</v>
      </c>
      <c r="AB118" s="117" t="s">
        <v>2171</v>
      </c>
      <c r="AC118" s="118">
        <v>44530</v>
      </c>
      <c r="AD118" s="117" t="s">
        <v>349</v>
      </c>
      <c r="AE118" s="117" t="s">
        <v>2172</v>
      </c>
      <c r="AF118" s="90" t="s">
        <v>1116</v>
      </c>
      <c r="AG118" s="90" t="s">
        <v>0</v>
      </c>
      <c r="AH118" s="93" t="s">
        <v>972</v>
      </c>
      <c r="AI118" s="93" t="b">
        <v>0</v>
      </c>
      <c r="AJ118" s="93"/>
      <c r="AK118" s="93" t="b">
        <v>0</v>
      </c>
      <c r="AL118" s="93"/>
      <c r="AM118" s="93" t="b">
        <v>0</v>
      </c>
      <c r="AN118" s="93" t="b">
        <v>0</v>
      </c>
      <c r="AO118" s="93" t="b">
        <v>0</v>
      </c>
      <c r="AP118" s="93" t="b">
        <v>0</v>
      </c>
      <c r="AQ118" s="93" t="b">
        <v>0</v>
      </c>
      <c r="AR118" s="93" t="b">
        <v>0</v>
      </c>
      <c r="AS118" s="93" t="b">
        <v>0</v>
      </c>
      <c r="AT118" s="107" t="s">
        <v>2173</v>
      </c>
      <c r="AU118" s="94">
        <v>9228291</v>
      </c>
      <c r="AV118" s="90" t="s">
        <v>730</v>
      </c>
      <c r="AW118" s="108" t="s">
        <v>951</v>
      </c>
      <c r="AX118" s="91">
        <v>44538</v>
      </c>
      <c r="AY118" s="108" t="s">
        <v>1101</v>
      </c>
      <c r="AZ118" s="90" t="s">
        <v>24</v>
      </c>
      <c r="BA118" s="90" t="s">
        <v>191</v>
      </c>
      <c r="BB118" s="90" t="s">
        <v>32</v>
      </c>
      <c r="BC118" s="90"/>
      <c r="BD118" s="90" t="s">
        <v>27</v>
      </c>
      <c r="BE118" s="90"/>
      <c r="BF118" s="90"/>
      <c r="BG118" s="91"/>
      <c r="BH118" s="93" t="b">
        <v>1</v>
      </c>
      <c r="BI118" s="90"/>
      <c r="BJ118" s="90"/>
      <c r="BK118" s="90" t="s">
        <v>1382</v>
      </c>
      <c r="BL118" s="90"/>
      <c r="BM118" s="90"/>
      <c r="BN118" s="90"/>
      <c r="BO118" s="90"/>
      <c r="BP118" s="90"/>
      <c r="BQ118" s="90"/>
      <c r="BR118" s="95"/>
      <c r="BS118" s="90"/>
      <c r="BT118" s="90"/>
      <c r="BU118" s="90"/>
      <c r="BV118" s="90"/>
      <c r="BW118" s="90"/>
      <c r="BX118" s="90"/>
      <c r="BY118" s="90"/>
      <c r="BZ118" s="90"/>
      <c r="CA118" s="90"/>
      <c r="CB118" s="90"/>
      <c r="CC118" s="91"/>
      <c r="CD118" s="90"/>
      <c r="CE118" s="91"/>
      <c r="CF118" s="90"/>
      <c r="CG118" s="91"/>
      <c r="CH118" s="90"/>
      <c r="CI118" s="91"/>
      <c r="CJ118" s="90"/>
      <c r="CK118" s="91"/>
      <c r="CL118" s="90"/>
      <c r="CM118" s="91"/>
      <c r="CN118" s="96"/>
      <c r="CO118" s="91"/>
      <c r="CP118" s="90"/>
      <c r="CQ118" s="90"/>
      <c r="CR118" s="90"/>
      <c r="CS118" s="90"/>
      <c r="CT118" s="91"/>
      <c r="CU118" s="90"/>
      <c r="CV118" s="97"/>
    </row>
    <row r="119" spans="1:100" ht="15" customHeight="1" x14ac:dyDescent="0.3">
      <c r="A119" s="117" t="s">
        <v>2123</v>
      </c>
      <c r="B119" s="118">
        <v>44518</v>
      </c>
      <c r="C119" s="117" t="s">
        <v>2124</v>
      </c>
      <c r="D119" s="117" t="s">
        <v>364</v>
      </c>
      <c r="E119" s="119" t="str">
        <f>LEFT(D119,1)&amp;"moge"</f>
        <v>Fmoge</v>
      </c>
      <c r="F119" s="117" t="str">
        <f>LEFT(D119,1)&amp;"hoge"</f>
        <v>Fhoge</v>
      </c>
      <c r="G119" s="117" t="s">
        <v>390</v>
      </c>
      <c r="H119" s="117" t="s">
        <v>2118</v>
      </c>
      <c r="I119" s="117" t="s">
        <v>8</v>
      </c>
      <c r="J119" s="117" t="str">
        <f>LEFT(I119,3)</f>
        <v>NEQ</v>
      </c>
      <c r="K119" s="117" t="s">
        <v>75</v>
      </c>
      <c r="L119" s="117" t="str">
        <f>LEFT(K119,5)</f>
        <v>NEQ04</v>
      </c>
      <c r="M119" s="119" t="s">
        <v>346</v>
      </c>
      <c r="N119" s="117" t="s">
        <v>2125</v>
      </c>
      <c r="O119" s="117" t="s">
        <v>2126</v>
      </c>
      <c r="P119" s="117" t="s">
        <v>2132</v>
      </c>
      <c r="Q119" s="118">
        <v>44518</v>
      </c>
      <c r="R119" s="118">
        <v>44608</v>
      </c>
      <c r="S119" s="117" t="s">
        <v>2174</v>
      </c>
      <c r="T119" s="118">
        <v>44518</v>
      </c>
      <c r="U119" s="120" t="s">
        <v>295</v>
      </c>
      <c r="V119" s="120" t="s">
        <v>295</v>
      </c>
      <c r="W119" s="121" t="s">
        <v>262</v>
      </c>
      <c r="X119" s="117" t="s">
        <v>2175</v>
      </c>
      <c r="Y119" s="117"/>
      <c r="Z119" s="117"/>
      <c r="AA119" s="117" t="s">
        <v>5</v>
      </c>
      <c r="AB119" s="117" t="s">
        <v>2175</v>
      </c>
      <c r="AC119" s="118">
        <v>44518</v>
      </c>
      <c r="AD119" s="117" t="s">
        <v>349</v>
      </c>
      <c r="AE119" s="117" t="s">
        <v>2172</v>
      </c>
      <c r="AF119" s="90" t="s">
        <v>1116</v>
      </c>
      <c r="AG119" s="90" t="s">
        <v>0</v>
      </c>
      <c r="AH119" s="93" t="s">
        <v>972</v>
      </c>
      <c r="AI119" s="93" t="b">
        <v>0</v>
      </c>
      <c r="AJ119" s="93"/>
      <c r="AK119" s="93" t="b">
        <v>0</v>
      </c>
      <c r="AL119" s="93"/>
      <c r="AM119" s="93" t="b">
        <v>0</v>
      </c>
      <c r="AN119" s="93" t="b">
        <v>0</v>
      </c>
      <c r="AO119" s="93" t="b">
        <v>0</v>
      </c>
      <c r="AP119" s="93" t="b">
        <v>0</v>
      </c>
      <c r="AQ119" s="93" t="b">
        <v>0</v>
      </c>
      <c r="AR119" s="93" t="b">
        <v>0</v>
      </c>
      <c r="AS119" s="93" t="b">
        <v>0</v>
      </c>
      <c r="AT119" s="107" t="s">
        <v>2176</v>
      </c>
      <c r="AU119" s="94">
        <v>9228291</v>
      </c>
      <c r="AV119" s="90" t="s">
        <v>730</v>
      </c>
      <c r="AW119" s="108" t="s">
        <v>951</v>
      </c>
      <c r="AX119" s="91">
        <v>44538</v>
      </c>
      <c r="AY119" s="108" t="s">
        <v>1101</v>
      </c>
      <c r="AZ119" s="90" t="s">
        <v>8</v>
      </c>
      <c r="BA119" s="90" t="s">
        <v>75</v>
      </c>
      <c r="BB119" s="90" t="s">
        <v>44</v>
      </c>
      <c r="BC119" s="90"/>
      <c r="BD119" s="90" t="s">
        <v>755</v>
      </c>
      <c r="BE119" s="90"/>
      <c r="BF119" s="90"/>
      <c r="BG119" s="91"/>
      <c r="BH119" s="93" t="b">
        <v>1</v>
      </c>
      <c r="BI119" s="90"/>
      <c r="BJ119" s="90"/>
      <c r="BK119" s="90" t="s">
        <v>1382</v>
      </c>
      <c r="BL119" s="90"/>
      <c r="BM119" s="90"/>
      <c r="BN119" s="90"/>
      <c r="BO119" s="90"/>
      <c r="BP119" s="90"/>
      <c r="BQ119" s="90"/>
      <c r="BR119" s="95"/>
      <c r="BS119" s="90"/>
      <c r="BT119" s="90"/>
      <c r="BU119" s="90"/>
      <c r="BV119" s="90"/>
      <c r="BW119" s="90"/>
      <c r="BX119" s="90"/>
      <c r="BY119" s="90"/>
      <c r="BZ119" s="90"/>
      <c r="CA119" s="90"/>
      <c r="CB119" s="90"/>
      <c r="CC119" s="91"/>
      <c r="CD119" s="90"/>
      <c r="CE119" s="91"/>
      <c r="CF119" s="90"/>
      <c r="CG119" s="91"/>
      <c r="CH119" s="90"/>
      <c r="CI119" s="91"/>
      <c r="CJ119" s="90"/>
      <c r="CK119" s="91"/>
      <c r="CL119" s="90"/>
      <c r="CM119" s="91"/>
      <c r="CN119" s="96"/>
      <c r="CO119" s="91"/>
      <c r="CP119" s="90"/>
      <c r="CQ119" s="90"/>
      <c r="CR119" s="90"/>
      <c r="CS119" s="90"/>
      <c r="CT119" s="91"/>
      <c r="CU119" s="90"/>
      <c r="CV119" s="97"/>
    </row>
    <row r="120" spans="1:100" ht="15" customHeight="1" x14ac:dyDescent="0.3">
      <c r="A120" s="117" t="s">
        <v>2127</v>
      </c>
      <c r="B120" s="118">
        <v>44518</v>
      </c>
      <c r="C120" s="117" t="s">
        <v>2128</v>
      </c>
      <c r="D120" s="117" t="s">
        <v>364</v>
      </c>
      <c r="E120" s="119" t="str">
        <f>LEFT(D120,1)&amp;"moge"</f>
        <v>Fmoge</v>
      </c>
      <c r="F120" s="117" t="str">
        <f>LEFT(D120,1)&amp;"hoge"</f>
        <v>Fhoge</v>
      </c>
      <c r="G120" s="117" t="s">
        <v>390</v>
      </c>
      <c r="H120" s="117" t="s">
        <v>2118</v>
      </c>
      <c r="I120" s="117" t="s">
        <v>23</v>
      </c>
      <c r="J120" s="117" t="str">
        <f>LEFT(I120,3)</f>
        <v>DSH</v>
      </c>
      <c r="K120" s="117" t="s">
        <v>165</v>
      </c>
      <c r="L120" s="117" t="str">
        <f>LEFT(K120,5)</f>
        <v>DSH04</v>
      </c>
      <c r="M120" s="119" t="s">
        <v>346</v>
      </c>
      <c r="N120" s="117" t="s">
        <v>2129</v>
      </c>
      <c r="O120" s="117" t="s">
        <v>2130</v>
      </c>
      <c r="P120" s="117" t="s">
        <v>2131</v>
      </c>
      <c r="Q120" s="118">
        <v>44518</v>
      </c>
      <c r="R120" s="118">
        <v>44608</v>
      </c>
      <c r="S120" s="117" t="s">
        <v>2131</v>
      </c>
      <c r="T120" s="118">
        <v>44518</v>
      </c>
      <c r="U120" s="120" t="s">
        <v>295</v>
      </c>
      <c r="V120" s="120" t="s">
        <v>295</v>
      </c>
      <c r="W120" s="121" t="s">
        <v>262</v>
      </c>
      <c r="X120" s="117" t="s">
        <v>2177</v>
      </c>
      <c r="Y120" s="117"/>
      <c r="Z120" s="117"/>
      <c r="AA120" s="117" t="s">
        <v>804</v>
      </c>
      <c r="AB120" s="117" t="s">
        <v>2177</v>
      </c>
      <c r="AC120" s="118">
        <v>44518</v>
      </c>
      <c r="AD120" s="117" t="s">
        <v>349</v>
      </c>
      <c r="AE120" s="117" t="s">
        <v>2172</v>
      </c>
      <c r="AF120" s="90" t="s">
        <v>1116</v>
      </c>
      <c r="AG120" s="90" t="s">
        <v>0</v>
      </c>
      <c r="AH120" s="93" t="s">
        <v>972</v>
      </c>
      <c r="AI120" s="93" t="b">
        <v>0</v>
      </c>
      <c r="AJ120" s="93"/>
      <c r="AK120" s="93" t="b">
        <v>0</v>
      </c>
      <c r="AL120" s="93"/>
      <c r="AM120" s="93" t="b">
        <v>1</v>
      </c>
      <c r="AN120" s="93" t="b">
        <v>0</v>
      </c>
      <c r="AO120" s="93" t="b">
        <v>0</v>
      </c>
      <c r="AP120" s="93" t="b">
        <v>0</v>
      </c>
      <c r="AQ120" s="93" t="b">
        <v>0</v>
      </c>
      <c r="AR120" s="93" t="b">
        <v>0</v>
      </c>
      <c r="AS120" s="93" t="b">
        <v>0</v>
      </c>
      <c r="AT120" s="107" t="s">
        <v>2178</v>
      </c>
      <c r="AU120" s="94">
        <v>9228291</v>
      </c>
      <c r="AV120" s="90" t="s">
        <v>730</v>
      </c>
      <c r="AW120" s="108" t="s">
        <v>951</v>
      </c>
      <c r="AX120" s="91">
        <v>44538</v>
      </c>
      <c r="AY120" s="108" t="s">
        <v>1101</v>
      </c>
      <c r="AZ120" s="90" t="s">
        <v>23</v>
      </c>
      <c r="BA120" s="90" t="s">
        <v>165</v>
      </c>
      <c r="BB120" s="90" t="s">
        <v>43</v>
      </c>
      <c r="BC120" s="90"/>
      <c r="BD120" s="90" t="s">
        <v>756</v>
      </c>
      <c r="BE120" s="90"/>
      <c r="BF120" s="90"/>
      <c r="BG120" s="91"/>
      <c r="BH120" s="93" t="b">
        <v>1</v>
      </c>
      <c r="BI120" s="90"/>
      <c r="BJ120" s="90"/>
      <c r="BK120" s="90" t="s">
        <v>1382</v>
      </c>
      <c r="BL120" s="90"/>
      <c r="BM120" s="90"/>
      <c r="BN120" s="90"/>
      <c r="BO120" s="90"/>
      <c r="BP120" s="90"/>
      <c r="BQ120" s="90"/>
      <c r="BR120" s="95"/>
      <c r="BS120" s="90"/>
      <c r="BT120" s="90"/>
      <c r="BU120" s="90"/>
      <c r="BV120" s="90"/>
      <c r="BW120" s="90"/>
      <c r="BX120" s="90"/>
      <c r="BY120" s="90"/>
      <c r="BZ120" s="90"/>
      <c r="CA120" s="90"/>
      <c r="CB120" s="90"/>
      <c r="CC120" s="91"/>
      <c r="CD120" s="90"/>
      <c r="CE120" s="91"/>
      <c r="CF120" s="90"/>
      <c r="CG120" s="91"/>
      <c r="CH120" s="90"/>
      <c r="CI120" s="91"/>
      <c r="CJ120" s="90"/>
      <c r="CK120" s="91"/>
      <c r="CL120" s="90"/>
      <c r="CM120" s="91"/>
      <c r="CN120" s="96"/>
      <c r="CO120" s="91"/>
      <c r="CP120" s="90"/>
      <c r="CQ120" s="90"/>
      <c r="CR120" s="90"/>
      <c r="CS120" s="90"/>
      <c r="CT120" s="91"/>
      <c r="CU120" s="90"/>
      <c r="CV120" s="97"/>
    </row>
    <row r="121" spans="1:100" ht="15" customHeight="1" x14ac:dyDescent="0.3">
      <c r="A121" s="117" t="s">
        <v>2133</v>
      </c>
      <c r="B121" s="118">
        <v>44518</v>
      </c>
      <c r="C121" s="117" t="s">
        <v>2134</v>
      </c>
      <c r="D121" s="117" t="s">
        <v>364</v>
      </c>
      <c r="E121" s="119" t="str">
        <f>LEFT(D121,1)&amp;"moge"</f>
        <v>Fmoge</v>
      </c>
      <c r="F121" s="117" t="str">
        <f>LEFT(D121,1)&amp;"hoge"</f>
        <v>Fhoge</v>
      </c>
      <c r="G121" s="117" t="s">
        <v>390</v>
      </c>
      <c r="H121" s="117" t="s">
        <v>2118</v>
      </c>
      <c r="I121" s="117" t="s">
        <v>13</v>
      </c>
      <c r="J121" s="117" t="str">
        <f>LEFT(I121,3)</f>
        <v>ODD</v>
      </c>
      <c r="K121" s="117" t="s">
        <v>83</v>
      </c>
      <c r="L121" s="117" t="str">
        <f>LEFT(K121,5)</f>
        <v>ODD01</v>
      </c>
      <c r="M121" s="119" t="s">
        <v>346</v>
      </c>
      <c r="N121" s="117" t="s">
        <v>2135</v>
      </c>
      <c r="O121" s="117" t="s">
        <v>2136</v>
      </c>
      <c r="P121" s="117" t="s">
        <v>2137</v>
      </c>
      <c r="Q121" s="118">
        <v>44518</v>
      </c>
      <c r="R121" s="118">
        <v>44608</v>
      </c>
      <c r="S121" s="117" t="s">
        <v>2138</v>
      </c>
      <c r="T121" s="118">
        <v>44537</v>
      </c>
      <c r="U121" s="120" t="s">
        <v>295</v>
      </c>
      <c r="V121" s="120" t="s">
        <v>295</v>
      </c>
      <c r="W121" s="121" t="s">
        <v>262</v>
      </c>
      <c r="X121" s="117" t="s">
        <v>2179</v>
      </c>
      <c r="Y121" s="117"/>
      <c r="Z121" s="117"/>
      <c r="AA121" s="117" t="s">
        <v>1</v>
      </c>
      <c r="AB121" s="117" t="s">
        <v>2179</v>
      </c>
      <c r="AC121" s="118">
        <v>44537</v>
      </c>
      <c r="AD121" s="117" t="s">
        <v>349</v>
      </c>
      <c r="AE121" s="117" t="s">
        <v>2172</v>
      </c>
      <c r="AF121" s="90" t="s">
        <v>1116</v>
      </c>
      <c r="AG121" s="90" t="s">
        <v>0</v>
      </c>
      <c r="AH121" s="93" t="s">
        <v>972</v>
      </c>
      <c r="AI121" s="93" t="b">
        <v>0</v>
      </c>
      <c r="AJ121" s="93"/>
      <c r="AK121" s="93" t="b">
        <v>0</v>
      </c>
      <c r="AL121" s="93"/>
      <c r="AM121" s="93" t="b">
        <v>0</v>
      </c>
      <c r="AN121" s="93" t="b">
        <v>0</v>
      </c>
      <c r="AO121" s="93" t="b">
        <v>0</v>
      </c>
      <c r="AP121" s="93" t="b">
        <v>0</v>
      </c>
      <c r="AQ121" s="93" t="b">
        <v>0</v>
      </c>
      <c r="AR121" s="93" t="b">
        <v>0</v>
      </c>
      <c r="AS121" s="93" t="b">
        <v>0</v>
      </c>
      <c r="AT121" s="107" t="s">
        <v>2180</v>
      </c>
      <c r="AU121" s="94">
        <v>9228291</v>
      </c>
      <c r="AV121" s="90" t="s">
        <v>730</v>
      </c>
      <c r="AW121" s="108" t="s">
        <v>951</v>
      </c>
      <c r="AX121" s="91">
        <v>44538</v>
      </c>
      <c r="AY121" s="108" t="s">
        <v>1101</v>
      </c>
      <c r="AZ121" s="90" t="s">
        <v>13</v>
      </c>
      <c r="BA121" s="90" t="s">
        <v>83</v>
      </c>
      <c r="BB121" s="90" t="s">
        <v>168</v>
      </c>
      <c r="BC121" s="90"/>
      <c r="BD121" s="90" t="s">
        <v>757</v>
      </c>
      <c r="BE121" s="90"/>
      <c r="BF121" s="90"/>
      <c r="BG121" s="91"/>
      <c r="BH121" s="93" t="b">
        <v>1</v>
      </c>
      <c r="BI121" s="90"/>
      <c r="BJ121" s="90"/>
      <c r="BK121" s="90" t="s">
        <v>1382</v>
      </c>
      <c r="BL121" s="90"/>
      <c r="BM121" s="90"/>
      <c r="BN121" s="90"/>
      <c r="BO121" s="90"/>
      <c r="BP121" s="90"/>
      <c r="BQ121" s="90"/>
      <c r="BR121" s="95"/>
      <c r="BS121" s="90"/>
      <c r="BT121" s="90"/>
      <c r="BU121" s="90"/>
      <c r="BV121" s="90"/>
      <c r="BW121" s="90"/>
      <c r="BX121" s="90"/>
      <c r="BY121" s="90"/>
      <c r="BZ121" s="90"/>
      <c r="CA121" s="90"/>
      <c r="CB121" s="90"/>
      <c r="CC121" s="91"/>
      <c r="CD121" s="90"/>
      <c r="CE121" s="91"/>
      <c r="CF121" s="90"/>
      <c r="CG121" s="91"/>
      <c r="CH121" s="90"/>
      <c r="CI121" s="91"/>
      <c r="CJ121" s="90"/>
      <c r="CK121" s="91"/>
      <c r="CL121" s="90"/>
      <c r="CM121" s="91"/>
      <c r="CN121" s="96"/>
      <c r="CO121" s="91"/>
      <c r="CP121" s="90"/>
      <c r="CQ121" s="90"/>
      <c r="CR121" s="90"/>
      <c r="CS121" s="90"/>
      <c r="CT121" s="91"/>
      <c r="CU121" s="90"/>
      <c r="CV121" s="97"/>
    </row>
    <row r="122" spans="1:100" ht="15" customHeight="1" x14ac:dyDescent="0.3">
      <c r="A122" s="117" t="s">
        <v>2198</v>
      </c>
      <c r="B122" s="118">
        <v>44544</v>
      </c>
      <c r="C122" s="117" t="s">
        <v>2199</v>
      </c>
      <c r="D122" s="117" t="s">
        <v>364</v>
      </c>
      <c r="E122" s="119" t="str">
        <f>LEFT(D122,1)&amp;"moge"</f>
        <v>Fmoge</v>
      </c>
      <c r="F122" s="117" t="str">
        <f>LEFT(D122,1)&amp;"hoge"</f>
        <v>Fhoge</v>
      </c>
      <c r="G122" s="117" t="s">
        <v>390</v>
      </c>
      <c r="H122" s="117" t="s">
        <v>1356</v>
      </c>
      <c r="I122" s="117" t="s">
        <v>17</v>
      </c>
      <c r="J122" s="117" t="str">
        <f>LEFT(I122,3)</f>
        <v>AEQ</v>
      </c>
      <c r="K122" s="117" t="s">
        <v>188</v>
      </c>
      <c r="L122" s="117" t="str">
        <f>LEFT(K122,5)</f>
        <v>AEQ21</v>
      </c>
      <c r="M122" s="119" t="s">
        <v>346</v>
      </c>
      <c r="N122" s="117" t="s">
        <v>2200</v>
      </c>
      <c r="O122" s="117" t="s">
        <v>2201</v>
      </c>
      <c r="P122" s="117" t="s">
        <v>2202</v>
      </c>
      <c r="Q122" s="118">
        <v>44544</v>
      </c>
      <c r="R122" s="118">
        <v>44634</v>
      </c>
      <c r="S122" s="117" t="s">
        <v>2203</v>
      </c>
      <c r="T122" s="118">
        <v>44553</v>
      </c>
      <c r="U122" s="120" t="s">
        <v>295</v>
      </c>
      <c r="V122" s="120" t="s">
        <v>295</v>
      </c>
      <c r="W122" s="121" t="s">
        <v>262</v>
      </c>
      <c r="X122" s="117" t="s">
        <v>2222</v>
      </c>
      <c r="Y122" s="117"/>
      <c r="Z122" s="117"/>
      <c r="AA122" s="117" t="s">
        <v>1</v>
      </c>
      <c r="AB122" s="117" t="s">
        <v>2222</v>
      </c>
      <c r="AC122" s="118">
        <v>44553</v>
      </c>
      <c r="AD122" s="117" t="s">
        <v>349</v>
      </c>
      <c r="AE122" s="117" t="s">
        <v>1115</v>
      </c>
      <c r="AF122" s="90" t="s">
        <v>1116</v>
      </c>
      <c r="AG122" s="90" t="s">
        <v>0</v>
      </c>
      <c r="AH122" s="93" t="s">
        <v>972</v>
      </c>
      <c r="AI122" s="93" t="b">
        <v>0</v>
      </c>
      <c r="AJ122" s="93"/>
      <c r="AK122" s="93" t="b">
        <v>0</v>
      </c>
      <c r="AL122" s="93"/>
      <c r="AM122" s="93" t="b">
        <v>1</v>
      </c>
      <c r="AN122" s="93" t="b">
        <v>0</v>
      </c>
      <c r="AO122" s="93" t="b">
        <v>0</v>
      </c>
      <c r="AP122" s="93" t="b">
        <v>0</v>
      </c>
      <c r="AQ122" s="93" t="b">
        <v>0</v>
      </c>
      <c r="AR122" s="93" t="b">
        <v>0</v>
      </c>
      <c r="AS122" s="93" t="b">
        <v>0</v>
      </c>
      <c r="AT122" s="107" t="s">
        <v>2223</v>
      </c>
      <c r="AU122" s="94">
        <v>9228291</v>
      </c>
      <c r="AV122" s="90" t="s">
        <v>730</v>
      </c>
      <c r="AW122" s="108" t="s">
        <v>951</v>
      </c>
      <c r="AX122" s="91">
        <v>44567</v>
      </c>
      <c r="AY122" s="108" t="s">
        <v>1101</v>
      </c>
      <c r="AZ122" s="90" t="s">
        <v>17</v>
      </c>
      <c r="BA122" s="90" t="s">
        <v>188</v>
      </c>
      <c r="BB122" s="90" t="s">
        <v>43</v>
      </c>
      <c r="BC122" s="90"/>
      <c r="BD122" s="90" t="s">
        <v>801</v>
      </c>
      <c r="BE122" s="90"/>
      <c r="BF122" s="90"/>
      <c r="BG122" s="91"/>
      <c r="BH122" s="93" t="b">
        <v>0</v>
      </c>
      <c r="BI122" s="90"/>
      <c r="BJ122" s="90"/>
      <c r="BK122" s="90" t="s">
        <v>1382</v>
      </c>
      <c r="BL122" s="90"/>
      <c r="BM122" s="90"/>
      <c r="BN122" s="90"/>
      <c r="BO122" s="90"/>
      <c r="BP122" s="90"/>
      <c r="BQ122" s="90"/>
      <c r="BR122" s="95"/>
      <c r="BS122" s="90"/>
      <c r="BT122" s="90"/>
      <c r="BU122" s="90"/>
      <c r="BV122" s="90"/>
      <c r="BW122" s="90"/>
      <c r="BX122" s="90"/>
      <c r="BY122" s="90"/>
      <c r="BZ122" s="90"/>
      <c r="CA122" s="90"/>
      <c r="CB122" s="90"/>
      <c r="CC122" s="91"/>
      <c r="CD122" s="90"/>
      <c r="CE122" s="91"/>
      <c r="CF122" s="90"/>
      <c r="CG122" s="91"/>
      <c r="CH122" s="90"/>
      <c r="CI122" s="91"/>
      <c r="CJ122" s="90"/>
      <c r="CK122" s="91"/>
      <c r="CL122" s="90"/>
      <c r="CM122" s="91"/>
      <c r="CN122" s="96"/>
      <c r="CO122" s="91"/>
      <c r="CP122" s="90"/>
      <c r="CQ122" s="90"/>
      <c r="CR122" s="90"/>
      <c r="CS122" s="90"/>
      <c r="CT122" s="91"/>
      <c r="CU122" s="90"/>
      <c r="CV122" s="97"/>
    </row>
    <row r="123" spans="1:100" ht="15" customHeight="1" x14ac:dyDescent="0.3">
      <c r="A123" s="109" t="s">
        <v>1060</v>
      </c>
      <c r="AG123" s="14"/>
      <c r="AH123" s="12"/>
      <c r="AI123" s="12"/>
      <c r="AJ123" s="12"/>
      <c r="AK123" s="12"/>
      <c r="AL123" s="12"/>
      <c r="AM123" s="12"/>
      <c r="AN123" s="12"/>
      <c r="AO123" s="12"/>
      <c r="AP123" s="12"/>
      <c r="AQ123" s="12"/>
      <c r="AR123" s="12"/>
      <c r="AS123" s="12"/>
      <c r="AT123" s="12"/>
      <c r="AU123" s="14"/>
      <c r="AV123" s="14"/>
      <c r="AW123" s="14"/>
      <c r="AX123" s="14"/>
      <c r="AY123" s="14"/>
      <c r="AZ123" s="14"/>
      <c r="BA123" s="14"/>
      <c r="BB123" s="14"/>
      <c r="BC123" s="14"/>
      <c r="BD123" s="14"/>
      <c r="BE123" s="14"/>
      <c r="BF123" s="14"/>
      <c r="BG123" s="14"/>
      <c r="BH123" s="14"/>
      <c r="BI123" s="14"/>
      <c r="BJ123" s="14"/>
      <c r="BK123" s="14"/>
      <c r="BL123" s="14"/>
      <c r="BM123" s="14"/>
      <c r="BN123" s="14"/>
      <c r="BO123" s="14"/>
      <c r="BP123" s="14"/>
      <c r="BQ123" s="14"/>
      <c r="BR123" s="14"/>
      <c r="BS123" s="14"/>
      <c r="BT123" s="14"/>
      <c r="BU123" s="14"/>
      <c r="BV123" s="14"/>
      <c r="BW123" s="14"/>
      <c r="BX123" s="14"/>
      <c r="BY123" s="14"/>
      <c r="BZ123" s="14"/>
      <c r="CA123" s="14"/>
      <c r="CB123" s="14"/>
      <c r="CC123" s="14"/>
      <c r="CD123" s="14"/>
      <c r="CE123" s="14"/>
      <c r="CF123" s="14"/>
      <c r="CG123" s="14"/>
      <c r="CH123" s="14"/>
      <c r="CI123" s="14"/>
      <c r="CJ123" s="14"/>
      <c r="CK123" s="14"/>
      <c r="CL123" s="14"/>
      <c r="CM123" s="14"/>
      <c r="CN123" s="14"/>
      <c r="CO123" s="14"/>
      <c r="CP123" s="14"/>
      <c r="CQ123" s="14"/>
      <c r="CR123" s="14"/>
      <c r="CS123" s="14"/>
      <c r="CT123" s="14"/>
      <c r="CU123" s="14"/>
      <c r="CV123" s="14"/>
    </row>
  </sheetData>
  <sheetProtection algorithmName="SHA-512" hashValue="pvG4IRu6wCRjN5BT0JcDwgBr1ndJirvaFIHWieJGeSTBKJIFGH3iHWcngouRvDNw80MuxFje8hMRohuB7zAaZw==" saltValue="yzjbrVmi1uo80wxqOnjk1g==" spinCount="100000" sheet="1" objects="1" scenarios="1"/>
  <dataConsolidate link="1"/>
  <mergeCells count="1">
    <mergeCell ref="X5:AE5"/>
  </mergeCells>
  <phoneticPr fontId="3"/>
  <dataValidations count="1">
    <dataValidation type="whole" allowBlank="1" showInputMessage="1" showErrorMessage="1" errorTitle="IMO numner error" error="Enter only whole number with 7 digits starting with 9" promptTitle="Enter IMO number" prompt="only whole number with 7 digits starting with 9" sqref="C5" xr:uid="{00000000-0002-0000-0000-000000000000}">
      <formula1>8999999</formula1>
      <formula2>9999999</formula2>
    </dataValidation>
  </dataValidations>
  <pageMargins left="0.15748031496062992" right="0.15748031496062992" top="0.98425196850393704" bottom="0.98425196850393704" header="0.51181102362204722" footer="0.51181102362204722"/>
  <pageSetup paperSize="9" scale="75" orientation="landscape" r:id="rId1"/>
  <headerFooter alignWithMargins="0"/>
  <colBreaks count="1" manualBreakCount="1">
    <brk id="14" max="176" man="1"/>
  </colBreaks>
  <drawing r:id="rId2"/>
  <legacyDrawing r:id="rId3"/>
  <controls>
    <mc:AlternateContent xmlns:mc="http://schemas.openxmlformats.org/markup-compatibility/2006">
      <mc:Choice Requires="x14">
        <control shapeId="8299" r:id="rId4" name="ComboBox1">
          <controlPr defaultSize="0" autoLine="0" linkedCell="C1" listFillRange="shipname" r:id="rId5">
            <anchor moveWithCells="1">
              <from>
                <xdr:col>2</xdr:col>
                <xdr:colOff>31750</xdr:colOff>
                <xdr:row>0</xdr:row>
                <xdr:rowOff>0</xdr:rowOff>
              </from>
              <to>
                <xdr:col>3</xdr:col>
                <xdr:colOff>82550</xdr:colOff>
                <xdr:row>1</xdr:row>
                <xdr:rowOff>0</xdr:rowOff>
              </to>
            </anchor>
          </controlPr>
        </control>
      </mc:Choice>
      <mc:Fallback>
        <control shapeId="8299" r:id="rId4" name="ComboBox1"/>
      </mc:Fallback>
    </mc:AlternateContent>
    <mc:AlternateContent xmlns:mc="http://schemas.openxmlformats.org/markup-compatibility/2006">
      <mc:Choice Requires="x14">
        <control shapeId="8213" r:id="rId6" name="CommandButton2">
          <controlPr defaultSize="0" autoLine="0" r:id="rId7">
            <anchor moveWithCells="1">
              <from>
                <xdr:col>10</xdr:col>
                <xdr:colOff>31750</xdr:colOff>
                <xdr:row>1</xdr:row>
                <xdr:rowOff>69850</xdr:rowOff>
              </from>
              <to>
                <xdr:col>10</xdr:col>
                <xdr:colOff>1612900</xdr:colOff>
                <xdr:row>2</xdr:row>
                <xdr:rowOff>222250</xdr:rowOff>
              </to>
            </anchor>
          </controlPr>
        </control>
      </mc:Choice>
      <mc:Fallback>
        <control shapeId="8213" r:id="rId6" name="CommandButton2"/>
      </mc:Fallback>
    </mc:AlternateContent>
    <mc:AlternateContent xmlns:mc="http://schemas.openxmlformats.org/markup-compatibility/2006">
      <mc:Choice Requires="x14">
        <control shapeId="8214" r:id="rId8" name="CommandButton3">
          <controlPr locked="0" defaultSize="0" autoLine="0" autoPict="0" r:id="rId9">
            <anchor moveWithCells="1">
              <from>
                <xdr:col>10</xdr:col>
                <xdr:colOff>1638300</xdr:colOff>
                <xdr:row>3</xdr:row>
                <xdr:rowOff>31750</xdr:rowOff>
              </from>
              <to>
                <xdr:col>13</xdr:col>
                <xdr:colOff>514350</xdr:colOff>
                <xdr:row>4</xdr:row>
                <xdr:rowOff>215900</xdr:rowOff>
              </to>
            </anchor>
          </controlPr>
        </control>
      </mc:Choice>
      <mc:Fallback>
        <control shapeId="8214" r:id="rId8" name="CommandButton3"/>
      </mc:Fallback>
    </mc:AlternateContent>
    <mc:AlternateContent xmlns:mc="http://schemas.openxmlformats.org/markup-compatibility/2006">
      <mc:Choice Requires="x14">
        <control shapeId="8264" r:id="rId10" name="CommandButton4">
          <controlPr locked="0" defaultSize="0" autoLine="0" autoPict="0" r:id="rId11">
            <anchor moveWithCells="1">
              <from>
                <xdr:col>10</xdr:col>
                <xdr:colOff>31750</xdr:colOff>
                <xdr:row>3</xdr:row>
                <xdr:rowOff>38100</xdr:rowOff>
              </from>
              <to>
                <xdr:col>10</xdr:col>
                <xdr:colOff>1727200</xdr:colOff>
                <xdr:row>5</xdr:row>
                <xdr:rowOff>0</xdr:rowOff>
              </to>
            </anchor>
          </controlPr>
        </control>
      </mc:Choice>
      <mc:Fallback>
        <control shapeId="8264" r:id="rId10" name="CommandButton4"/>
      </mc:Fallback>
    </mc:AlternateContent>
    <mc:AlternateContent xmlns:mc="http://schemas.openxmlformats.org/markup-compatibility/2006">
      <mc:Choice Requires="x14">
        <control shapeId="8294" r:id="rId12" name="CommandButton1">
          <controlPr defaultSize="0" autoLine="0" r:id="rId13">
            <anchor moveWithCells="1">
              <from>
                <xdr:col>10</xdr:col>
                <xdr:colOff>1631950</xdr:colOff>
                <xdr:row>1</xdr:row>
                <xdr:rowOff>50800</xdr:rowOff>
              </from>
              <to>
                <xdr:col>13</xdr:col>
                <xdr:colOff>336550</xdr:colOff>
                <xdr:row>2</xdr:row>
                <xdr:rowOff>190500</xdr:rowOff>
              </to>
            </anchor>
          </controlPr>
        </control>
      </mc:Choice>
      <mc:Fallback>
        <control shapeId="8294" r:id="rId12"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CV116"/>
  <sheetViews>
    <sheetView workbookViewId="0">
      <selection activeCell="A2" sqref="A2"/>
    </sheetView>
  </sheetViews>
  <sheetFormatPr defaultRowHeight="13" x14ac:dyDescent="0.2"/>
  <cols>
    <col min="1" max="1" width="24.90625" bestFit="1" customWidth="1"/>
    <col min="2" max="2" width="11" bestFit="1" customWidth="1"/>
    <col min="17" max="17" width="10.90625" bestFit="1" customWidth="1"/>
    <col min="18" max="18" width="11.453125" customWidth="1"/>
    <col min="20" max="20" width="12.08984375" customWidth="1"/>
    <col min="29" max="29" width="10.90625" bestFit="1" customWidth="1"/>
    <col min="50" max="50" width="10.90625" bestFit="1" customWidth="1"/>
    <col min="59" max="59" width="10.90625" bestFit="1" customWidth="1"/>
    <col min="81" max="81" width="10.90625" bestFit="1" customWidth="1"/>
    <col min="83" max="83" width="10.90625" bestFit="1" customWidth="1"/>
    <col min="85" max="85" width="10.90625" bestFit="1" customWidth="1"/>
    <col min="87" max="87" width="10.90625" bestFit="1" customWidth="1"/>
    <col min="89" max="89" width="10.90625" bestFit="1" customWidth="1"/>
    <col min="91" max="91" width="10.90625" bestFit="1" customWidth="1"/>
    <col min="93" max="93" width="10.90625" bestFit="1" customWidth="1"/>
    <col min="98" max="98" width="10.90625" bestFit="1" customWidth="1"/>
    <col min="100" max="100" width="10.90625" bestFit="1" customWidth="1"/>
  </cols>
  <sheetData>
    <row r="1" spans="1:100" ht="42" x14ac:dyDescent="0.3">
      <c r="A1" s="1" t="s">
        <v>512</v>
      </c>
      <c r="B1" s="4" t="s">
        <v>513</v>
      </c>
      <c r="C1" s="4" t="s">
        <v>514</v>
      </c>
      <c r="D1" s="4" t="s">
        <v>515</v>
      </c>
      <c r="E1" s="4" t="s">
        <v>497</v>
      </c>
      <c r="F1" s="4" t="s">
        <v>498</v>
      </c>
      <c r="G1" s="4" t="s">
        <v>516</v>
      </c>
      <c r="H1" s="5" t="s">
        <v>517</v>
      </c>
      <c r="I1" s="5" t="s">
        <v>518</v>
      </c>
      <c r="J1" s="5" t="s">
        <v>519</v>
      </c>
      <c r="K1" s="4" t="s">
        <v>520</v>
      </c>
      <c r="L1" s="4" t="s">
        <v>521</v>
      </c>
      <c r="M1" s="4" t="s">
        <v>522</v>
      </c>
      <c r="N1" s="4" t="s">
        <v>523</v>
      </c>
      <c r="O1" s="5" t="s">
        <v>524</v>
      </c>
      <c r="P1" s="5" t="s">
        <v>525</v>
      </c>
      <c r="Q1" s="5" t="s">
        <v>526</v>
      </c>
      <c r="R1" s="5" t="s">
        <v>527</v>
      </c>
      <c r="S1" s="5" t="s">
        <v>528</v>
      </c>
      <c r="T1" s="5" t="s">
        <v>529</v>
      </c>
      <c r="U1" s="4" t="s">
        <v>530</v>
      </c>
      <c r="V1" s="4" t="s">
        <v>531</v>
      </c>
      <c r="W1" s="4" t="s">
        <v>532</v>
      </c>
      <c r="X1" s="6" t="s">
        <v>533</v>
      </c>
      <c r="Y1" s="7" t="s">
        <v>534</v>
      </c>
      <c r="Z1" s="6" t="s">
        <v>535</v>
      </c>
      <c r="AA1" s="7" t="s">
        <v>536</v>
      </c>
      <c r="AB1" s="6" t="s">
        <v>537</v>
      </c>
      <c r="AC1" s="6" t="s">
        <v>538</v>
      </c>
      <c r="AD1" s="7" t="s">
        <v>539</v>
      </c>
      <c r="AE1" s="6" t="s">
        <v>540</v>
      </c>
      <c r="AF1" s="2" t="s">
        <v>541</v>
      </c>
      <c r="AG1" s="3" t="s">
        <v>542</v>
      </c>
      <c r="AH1" s="3" t="s">
        <v>890</v>
      </c>
      <c r="AI1" s="3" t="s">
        <v>549</v>
      </c>
      <c r="AJ1" s="3" t="s">
        <v>550</v>
      </c>
      <c r="AK1" s="3" t="s">
        <v>548</v>
      </c>
      <c r="AL1" s="3" t="s">
        <v>551</v>
      </c>
      <c r="AM1" s="3" t="s">
        <v>552</v>
      </c>
      <c r="AN1" s="3" t="s">
        <v>553</v>
      </c>
      <c r="AO1" s="3" t="s">
        <v>554</v>
      </c>
      <c r="AP1" s="3" t="s">
        <v>555</v>
      </c>
      <c r="AQ1" s="3" t="s">
        <v>556</v>
      </c>
      <c r="AR1" s="3" t="s">
        <v>557</v>
      </c>
      <c r="AS1" s="3" t="s">
        <v>543</v>
      </c>
      <c r="AT1" s="2" t="s">
        <v>558</v>
      </c>
      <c r="AU1" s="3" t="s">
        <v>559</v>
      </c>
      <c r="AV1" s="2" t="s">
        <v>544</v>
      </c>
      <c r="AW1" s="2" t="s">
        <v>560</v>
      </c>
      <c r="AX1" s="2" t="s">
        <v>561</v>
      </c>
      <c r="AY1" s="2" t="s">
        <v>562</v>
      </c>
      <c r="AZ1" s="2" t="s">
        <v>545</v>
      </c>
      <c r="BA1" s="2" t="s">
        <v>546</v>
      </c>
      <c r="BB1" s="2" t="s">
        <v>564</v>
      </c>
      <c r="BC1" s="2" t="s">
        <v>563</v>
      </c>
      <c r="BD1" s="2" t="s">
        <v>565</v>
      </c>
      <c r="BE1" s="2" t="s">
        <v>566</v>
      </c>
      <c r="BF1" s="2" t="s">
        <v>506</v>
      </c>
      <c r="BG1" s="2" t="s">
        <v>507</v>
      </c>
      <c r="BH1" s="2" t="s">
        <v>547</v>
      </c>
      <c r="BI1" s="2" t="s">
        <v>570</v>
      </c>
      <c r="BJ1" s="2" t="s">
        <v>585</v>
      </c>
      <c r="BK1" s="2" t="s">
        <v>626</v>
      </c>
      <c r="BL1" s="18" t="s">
        <v>855</v>
      </c>
      <c r="BM1" s="18" t="s">
        <v>856</v>
      </c>
      <c r="BN1" s="18" t="s">
        <v>880</v>
      </c>
      <c r="BO1" s="18" t="s">
        <v>881</v>
      </c>
      <c r="BP1" s="18" t="s">
        <v>961</v>
      </c>
      <c r="BQ1" s="18" t="s">
        <v>882</v>
      </c>
      <c r="BR1" s="18" t="s">
        <v>883</v>
      </c>
      <c r="BS1" s="18" t="s">
        <v>884</v>
      </c>
      <c r="BT1" s="18" t="s">
        <v>885</v>
      </c>
      <c r="BU1" s="18" t="s">
        <v>962</v>
      </c>
      <c r="BV1" s="18" t="s">
        <v>886</v>
      </c>
      <c r="BW1" s="18" t="s">
        <v>887</v>
      </c>
      <c r="BX1" s="18" t="s">
        <v>889</v>
      </c>
      <c r="BY1" s="18" t="s">
        <v>888</v>
      </c>
      <c r="BZ1" s="18" t="s">
        <v>860</v>
      </c>
      <c r="CA1" s="18" t="s">
        <v>861</v>
      </c>
      <c r="CB1" s="18" t="s">
        <v>857</v>
      </c>
      <c r="CC1" s="22" t="s">
        <v>859</v>
      </c>
      <c r="CD1" s="18" t="s">
        <v>862</v>
      </c>
      <c r="CE1" s="18" t="s">
        <v>863</v>
      </c>
      <c r="CF1" s="18" t="s">
        <v>864</v>
      </c>
      <c r="CG1" s="18" t="s">
        <v>865</v>
      </c>
      <c r="CH1" s="18" t="s">
        <v>866</v>
      </c>
      <c r="CI1" s="18" t="s">
        <v>867</v>
      </c>
      <c r="CJ1" s="18" t="s">
        <v>868</v>
      </c>
      <c r="CK1" s="18" t="s">
        <v>869</v>
      </c>
      <c r="CL1" s="18" t="s">
        <v>870</v>
      </c>
      <c r="CM1" s="18" t="s">
        <v>871</v>
      </c>
      <c r="CN1" s="18" t="s">
        <v>858</v>
      </c>
      <c r="CO1" s="18" t="s">
        <v>872</v>
      </c>
      <c r="CP1" s="18" t="s">
        <v>873</v>
      </c>
      <c r="CQ1" s="18" t="s">
        <v>874</v>
      </c>
      <c r="CR1" s="18" t="s">
        <v>875</v>
      </c>
      <c r="CS1" s="18" t="s">
        <v>876</v>
      </c>
      <c r="CT1" s="18" t="s">
        <v>877</v>
      </c>
      <c r="CU1" s="18" t="s">
        <v>878</v>
      </c>
      <c r="CV1" s="18" t="s">
        <v>879</v>
      </c>
    </row>
    <row r="2" spans="1:100" ht="409.5" x14ac:dyDescent="0.2">
      <c r="A2" t="s">
        <v>1102</v>
      </c>
      <c r="B2" s="128">
        <v>43863</v>
      </c>
      <c r="C2" t="s">
        <v>1103</v>
      </c>
      <c r="D2" t="s">
        <v>364</v>
      </c>
      <c r="E2" t="s">
        <v>1104</v>
      </c>
      <c r="F2" t="s">
        <v>1105</v>
      </c>
      <c r="G2" t="s">
        <v>390</v>
      </c>
      <c r="H2" t="s">
        <v>1106</v>
      </c>
      <c r="I2" t="s">
        <v>584</v>
      </c>
      <c r="J2" t="s">
        <v>1107</v>
      </c>
      <c r="K2" t="s">
        <v>82</v>
      </c>
      <c r="L2" t="s">
        <v>1108</v>
      </c>
      <c r="M2" t="s">
        <v>346</v>
      </c>
      <c r="N2" t="s">
        <v>1109</v>
      </c>
      <c r="O2" t="s">
        <v>1110</v>
      </c>
      <c r="P2" t="s">
        <v>1111</v>
      </c>
      <c r="Q2" s="128">
        <v>43866</v>
      </c>
      <c r="R2" s="128">
        <v>44074</v>
      </c>
      <c r="S2" t="s">
        <v>1112</v>
      </c>
      <c r="T2" s="128">
        <v>44285</v>
      </c>
      <c r="U2">
        <v>0</v>
      </c>
      <c r="V2">
        <v>0</v>
      </c>
      <c r="W2" t="s">
        <v>262</v>
      </c>
      <c r="X2" s="99" t="s">
        <v>1113</v>
      </c>
      <c r="AA2" t="s">
        <v>1</v>
      </c>
      <c r="AB2" t="s">
        <v>1114</v>
      </c>
      <c r="AC2" s="128">
        <v>44285</v>
      </c>
      <c r="AD2" t="s">
        <v>349</v>
      </c>
      <c r="AE2" t="s">
        <v>1115</v>
      </c>
      <c r="AF2" t="s">
        <v>1116</v>
      </c>
      <c r="AG2" t="s">
        <v>0</v>
      </c>
      <c r="AH2">
        <v>1</v>
      </c>
      <c r="AI2" t="b">
        <v>0</v>
      </c>
      <c r="AK2" t="b">
        <v>0</v>
      </c>
      <c r="AM2" t="b">
        <v>0</v>
      </c>
      <c r="AN2" t="b">
        <v>0</v>
      </c>
      <c r="AO2" t="b">
        <v>0</v>
      </c>
      <c r="AP2" t="b">
        <v>1</v>
      </c>
      <c r="AQ2" t="b">
        <v>0</v>
      </c>
      <c r="AR2" t="b">
        <v>0</v>
      </c>
      <c r="AS2" t="b">
        <v>0</v>
      </c>
      <c r="AT2" t="s">
        <v>1119</v>
      </c>
      <c r="AU2">
        <v>9228291</v>
      </c>
      <c r="AV2" t="s">
        <v>730</v>
      </c>
      <c r="AW2" t="s">
        <v>951</v>
      </c>
      <c r="AX2" s="128">
        <v>44509</v>
      </c>
      <c r="AY2" t="s">
        <v>1101</v>
      </c>
      <c r="AZ2" t="s">
        <v>584</v>
      </c>
      <c r="BA2" t="s">
        <v>82</v>
      </c>
      <c r="BB2" t="s">
        <v>38</v>
      </c>
      <c r="BD2" t="s">
        <v>28</v>
      </c>
      <c r="BF2" t="s">
        <v>486</v>
      </c>
      <c r="BG2" s="128">
        <v>44286</v>
      </c>
      <c r="BH2" t="b">
        <v>0</v>
      </c>
      <c r="BJ2" t="s">
        <v>1117</v>
      </c>
      <c r="BK2" t="s">
        <v>1118</v>
      </c>
      <c r="CC2" s="128"/>
      <c r="CE2" s="128"/>
      <c r="CG2" s="128"/>
      <c r="CI2" s="128"/>
      <c r="CK2" s="128"/>
      <c r="CM2" s="128"/>
      <c r="CO2" s="128"/>
      <c r="CT2" s="128"/>
      <c r="CV2" s="128"/>
    </row>
    <row r="3" spans="1:100" ht="338" x14ac:dyDescent="0.2">
      <c r="A3" t="s">
        <v>1120</v>
      </c>
      <c r="B3" s="128">
        <v>43905</v>
      </c>
      <c r="C3" t="s">
        <v>1121</v>
      </c>
      <c r="D3" t="s">
        <v>364</v>
      </c>
      <c r="E3" t="s">
        <v>1104</v>
      </c>
      <c r="F3" t="s">
        <v>1105</v>
      </c>
      <c r="G3" t="s">
        <v>390</v>
      </c>
      <c r="H3" t="s">
        <v>1122</v>
      </c>
      <c r="I3" t="s">
        <v>581</v>
      </c>
      <c r="J3" t="s">
        <v>1123</v>
      </c>
      <c r="K3" t="s">
        <v>172</v>
      </c>
      <c r="L3" t="s">
        <v>1124</v>
      </c>
      <c r="M3" t="s">
        <v>346</v>
      </c>
      <c r="N3" t="s">
        <v>1125</v>
      </c>
      <c r="O3" t="s">
        <v>1126</v>
      </c>
      <c r="P3" t="s">
        <v>1127</v>
      </c>
      <c r="Q3" s="128">
        <v>43913</v>
      </c>
      <c r="R3" s="128">
        <v>44004</v>
      </c>
      <c r="S3" t="s">
        <v>1128</v>
      </c>
      <c r="T3" s="128">
        <v>44285</v>
      </c>
      <c r="U3">
        <v>0</v>
      </c>
      <c r="V3">
        <v>0</v>
      </c>
      <c r="W3" t="s">
        <v>262</v>
      </c>
      <c r="X3" s="99" t="s">
        <v>1129</v>
      </c>
      <c r="AA3" t="s">
        <v>1</v>
      </c>
      <c r="AB3" s="99" t="s">
        <v>1130</v>
      </c>
      <c r="AC3" s="128">
        <v>44285</v>
      </c>
      <c r="AD3" t="s">
        <v>349</v>
      </c>
      <c r="AE3" t="s">
        <v>1115</v>
      </c>
      <c r="AF3" t="s">
        <v>1116</v>
      </c>
      <c r="AG3" t="s">
        <v>0</v>
      </c>
      <c r="AH3">
        <v>1</v>
      </c>
      <c r="AI3" t="b">
        <v>0</v>
      </c>
      <c r="AK3" t="b">
        <v>0</v>
      </c>
      <c r="AM3" t="b">
        <v>0</v>
      </c>
      <c r="AN3" t="b">
        <v>0</v>
      </c>
      <c r="AO3" t="b">
        <v>0</v>
      </c>
      <c r="AP3" t="b">
        <v>1</v>
      </c>
      <c r="AQ3" t="b">
        <v>0</v>
      </c>
      <c r="AR3" t="b">
        <v>0</v>
      </c>
      <c r="AS3" t="b">
        <v>0</v>
      </c>
      <c r="AT3" t="s">
        <v>1132</v>
      </c>
      <c r="AU3">
        <v>9228291</v>
      </c>
      <c r="AV3" t="s">
        <v>730</v>
      </c>
      <c r="AW3" t="s">
        <v>951</v>
      </c>
      <c r="AX3" s="128">
        <v>44509</v>
      </c>
      <c r="AY3" t="s">
        <v>1101</v>
      </c>
      <c r="AZ3" t="s">
        <v>581</v>
      </c>
      <c r="BA3" t="s">
        <v>172</v>
      </c>
      <c r="BB3" t="s">
        <v>37</v>
      </c>
      <c r="BD3" t="s">
        <v>28</v>
      </c>
      <c r="BF3" t="s">
        <v>486</v>
      </c>
      <c r="BG3" s="128">
        <v>44286</v>
      </c>
      <c r="BH3" t="b">
        <v>0</v>
      </c>
      <c r="BJ3" t="s">
        <v>1131</v>
      </c>
      <c r="BK3" t="s">
        <v>1118</v>
      </c>
      <c r="CC3" s="128"/>
      <c r="CE3" s="128"/>
      <c r="CG3" s="128"/>
      <c r="CI3" s="128"/>
      <c r="CK3" s="128"/>
      <c r="CM3" s="128"/>
      <c r="CO3" s="128"/>
      <c r="CT3" s="128"/>
      <c r="CV3" s="128"/>
    </row>
    <row r="4" spans="1:100" ht="338" x14ac:dyDescent="0.2">
      <c r="A4" t="s">
        <v>1133</v>
      </c>
      <c r="B4" s="128">
        <v>43905</v>
      </c>
      <c r="C4" t="s">
        <v>1134</v>
      </c>
      <c r="D4" t="s">
        <v>364</v>
      </c>
      <c r="E4" t="s">
        <v>1104</v>
      </c>
      <c r="F4" t="s">
        <v>1105</v>
      </c>
      <c r="G4" t="s">
        <v>390</v>
      </c>
      <c r="H4" t="s">
        <v>1122</v>
      </c>
      <c r="I4" t="s">
        <v>581</v>
      </c>
      <c r="J4" t="s">
        <v>1123</v>
      </c>
      <c r="K4" t="s">
        <v>172</v>
      </c>
      <c r="L4" t="s">
        <v>1124</v>
      </c>
      <c r="M4" t="s">
        <v>346</v>
      </c>
      <c r="N4" t="s">
        <v>1135</v>
      </c>
      <c r="O4" t="s">
        <v>1126</v>
      </c>
      <c r="P4" t="s">
        <v>1136</v>
      </c>
      <c r="Q4" s="128">
        <v>43905</v>
      </c>
      <c r="R4" s="128">
        <v>44004</v>
      </c>
      <c r="S4" t="s">
        <v>1137</v>
      </c>
      <c r="T4" s="128">
        <v>44285</v>
      </c>
      <c r="U4">
        <v>0</v>
      </c>
      <c r="V4">
        <v>0</v>
      </c>
      <c r="W4" t="s">
        <v>262</v>
      </c>
      <c r="X4" s="99" t="s">
        <v>1138</v>
      </c>
      <c r="AA4" t="s">
        <v>1</v>
      </c>
      <c r="AB4" t="s">
        <v>1139</v>
      </c>
      <c r="AC4" s="128">
        <v>44285</v>
      </c>
      <c r="AD4" t="s">
        <v>349</v>
      </c>
      <c r="AE4" t="s">
        <v>1115</v>
      </c>
      <c r="AF4" t="s">
        <v>1116</v>
      </c>
      <c r="AG4" t="s">
        <v>0</v>
      </c>
      <c r="AH4">
        <v>1</v>
      </c>
      <c r="AI4" t="b">
        <v>0</v>
      </c>
      <c r="AK4" t="b">
        <v>0</v>
      </c>
      <c r="AM4" t="b">
        <v>0</v>
      </c>
      <c r="AN4" t="b">
        <v>0</v>
      </c>
      <c r="AO4" t="b">
        <v>0</v>
      </c>
      <c r="AP4" t="b">
        <v>1</v>
      </c>
      <c r="AQ4" t="b">
        <v>0</v>
      </c>
      <c r="AR4" t="b">
        <v>0</v>
      </c>
      <c r="AS4" t="b">
        <v>0</v>
      </c>
      <c r="AT4" t="s">
        <v>1141</v>
      </c>
      <c r="AU4">
        <v>9228291</v>
      </c>
      <c r="AV4" t="s">
        <v>730</v>
      </c>
      <c r="AW4" t="s">
        <v>951</v>
      </c>
      <c r="AX4" s="128">
        <v>44509</v>
      </c>
      <c r="AY4" t="s">
        <v>1101</v>
      </c>
      <c r="AZ4" t="s">
        <v>581</v>
      </c>
      <c r="BA4" t="s">
        <v>172</v>
      </c>
      <c r="BB4" t="s">
        <v>42</v>
      </c>
      <c r="BD4" t="s">
        <v>755</v>
      </c>
      <c r="BF4" t="s">
        <v>486</v>
      </c>
      <c r="BG4" s="128">
        <v>44286</v>
      </c>
      <c r="BH4" t="b">
        <v>0</v>
      </c>
      <c r="BJ4" t="s">
        <v>1140</v>
      </c>
      <c r="BK4" t="s">
        <v>1118</v>
      </c>
      <c r="CC4" s="128"/>
      <c r="CE4" s="128"/>
      <c r="CG4" s="128"/>
      <c r="CI4" s="128"/>
      <c r="CK4" s="128"/>
      <c r="CM4" s="128"/>
      <c r="CO4" s="128"/>
      <c r="CT4" s="128"/>
      <c r="CV4" s="128"/>
    </row>
    <row r="5" spans="1:100" ht="409.5" x14ac:dyDescent="0.2">
      <c r="A5" t="s">
        <v>1142</v>
      </c>
      <c r="B5" s="128">
        <v>43913</v>
      </c>
      <c r="C5" t="s">
        <v>1143</v>
      </c>
      <c r="D5" t="s">
        <v>364</v>
      </c>
      <c r="E5" t="s">
        <v>1104</v>
      </c>
      <c r="F5" t="s">
        <v>1105</v>
      </c>
      <c r="G5" t="s">
        <v>389</v>
      </c>
      <c r="H5" t="s">
        <v>1144</v>
      </c>
      <c r="I5" t="s">
        <v>13</v>
      </c>
      <c r="J5" t="s">
        <v>1145</v>
      </c>
      <c r="K5" t="s">
        <v>83</v>
      </c>
      <c r="L5" t="s">
        <v>1146</v>
      </c>
      <c r="M5" t="s">
        <v>346</v>
      </c>
      <c r="N5" t="s">
        <v>1147</v>
      </c>
      <c r="O5" t="s">
        <v>1148</v>
      </c>
      <c r="P5" t="s">
        <v>1149</v>
      </c>
      <c r="Q5" s="128">
        <v>43884</v>
      </c>
      <c r="R5" s="128">
        <v>44004</v>
      </c>
      <c r="S5" t="s">
        <v>1150</v>
      </c>
      <c r="T5" s="128">
        <v>44284</v>
      </c>
      <c r="U5">
        <v>0</v>
      </c>
      <c r="V5">
        <v>0</v>
      </c>
      <c r="W5" t="s">
        <v>262</v>
      </c>
      <c r="X5" s="99" t="s">
        <v>1151</v>
      </c>
      <c r="AA5" t="s">
        <v>1</v>
      </c>
      <c r="AB5" t="s">
        <v>1152</v>
      </c>
      <c r="AC5" s="128">
        <v>44284</v>
      </c>
      <c r="AD5" t="s">
        <v>349</v>
      </c>
      <c r="AE5" t="s">
        <v>1115</v>
      </c>
      <c r="AF5" t="s">
        <v>1116</v>
      </c>
      <c r="AG5" t="s">
        <v>0</v>
      </c>
      <c r="AH5">
        <v>1</v>
      </c>
      <c r="AI5" t="b">
        <v>0</v>
      </c>
      <c r="AK5" t="b">
        <v>0</v>
      </c>
      <c r="AM5" t="b">
        <v>0</v>
      </c>
      <c r="AN5" t="b">
        <v>0</v>
      </c>
      <c r="AO5" t="b">
        <v>0</v>
      </c>
      <c r="AP5" t="b">
        <v>1</v>
      </c>
      <c r="AQ5" t="b">
        <v>0</v>
      </c>
      <c r="AR5" t="b">
        <v>0</v>
      </c>
      <c r="AS5" t="b">
        <v>0</v>
      </c>
      <c r="AT5" t="s">
        <v>1154</v>
      </c>
      <c r="AU5">
        <v>9228291</v>
      </c>
      <c r="AV5" t="s">
        <v>730</v>
      </c>
      <c r="AW5" t="s">
        <v>951</v>
      </c>
      <c r="AX5" s="128">
        <v>44509</v>
      </c>
      <c r="AY5" t="s">
        <v>1101</v>
      </c>
      <c r="AZ5" t="s">
        <v>13</v>
      </c>
      <c r="BA5" t="s">
        <v>83</v>
      </c>
      <c r="BB5" t="s">
        <v>38</v>
      </c>
      <c r="BD5" t="s">
        <v>28</v>
      </c>
      <c r="BF5" t="s">
        <v>486</v>
      </c>
      <c r="BG5" s="128">
        <v>44286</v>
      </c>
      <c r="BH5" t="b">
        <v>0</v>
      </c>
      <c r="BJ5" t="s">
        <v>1153</v>
      </c>
      <c r="BK5" t="s">
        <v>1118</v>
      </c>
      <c r="CC5" s="128"/>
      <c r="CE5" s="128"/>
      <c r="CG5" s="128"/>
      <c r="CI5" s="128"/>
      <c r="CK5" s="128"/>
      <c r="CM5" s="128"/>
      <c r="CO5" s="128"/>
      <c r="CT5" s="128"/>
      <c r="CV5" s="128"/>
    </row>
    <row r="6" spans="1:100" ht="208" x14ac:dyDescent="0.2">
      <c r="A6" t="s">
        <v>1155</v>
      </c>
      <c r="B6" s="128">
        <v>43913</v>
      </c>
      <c r="C6" t="s">
        <v>1156</v>
      </c>
      <c r="D6" t="s">
        <v>364</v>
      </c>
      <c r="E6" t="s">
        <v>1104</v>
      </c>
      <c r="F6" t="s">
        <v>1105</v>
      </c>
      <c r="G6" t="s">
        <v>389</v>
      </c>
      <c r="H6" t="s">
        <v>1157</v>
      </c>
      <c r="I6" t="s">
        <v>13</v>
      </c>
      <c r="J6" t="s">
        <v>1145</v>
      </c>
      <c r="K6" t="s">
        <v>83</v>
      </c>
      <c r="L6" t="s">
        <v>1146</v>
      </c>
      <c r="M6" t="s">
        <v>346</v>
      </c>
      <c r="N6" t="s">
        <v>1158</v>
      </c>
      <c r="O6" t="s">
        <v>1148</v>
      </c>
      <c r="P6" t="s">
        <v>1149</v>
      </c>
      <c r="Q6" s="128">
        <v>43913</v>
      </c>
      <c r="R6" s="128">
        <v>44004</v>
      </c>
      <c r="S6" t="s">
        <v>1159</v>
      </c>
      <c r="T6" s="128">
        <v>44285</v>
      </c>
      <c r="U6">
        <v>0</v>
      </c>
      <c r="V6">
        <v>0</v>
      </c>
      <c r="W6" t="s">
        <v>262</v>
      </c>
      <c r="X6" s="99" t="s">
        <v>1160</v>
      </c>
      <c r="AA6" t="s">
        <v>1</v>
      </c>
      <c r="AB6" t="s">
        <v>1161</v>
      </c>
      <c r="AC6" s="128">
        <v>44285</v>
      </c>
      <c r="AD6" t="s">
        <v>349</v>
      </c>
      <c r="AE6" t="s">
        <v>1115</v>
      </c>
      <c r="AF6" t="s">
        <v>1116</v>
      </c>
      <c r="AG6" t="s">
        <v>0</v>
      </c>
      <c r="AH6">
        <v>1</v>
      </c>
      <c r="AI6" t="b">
        <v>0</v>
      </c>
      <c r="AK6" t="b">
        <v>0</v>
      </c>
      <c r="AM6" t="b">
        <v>0</v>
      </c>
      <c r="AN6" t="b">
        <v>0</v>
      </c>
      <c r="AO6" t="b">
        <v>0</v>
      </c>
      <c r="AP6" t="b">
        <v>1</v>
      </c>
      <c r="AQ6" t="b">
        <v>0</v>
      </c>
      <c r="AR6" t="b">
        <v>0</v>
      </c>
      <c r="AS6" t="b">
        <v>0</v>
      </c>
      <c r="AT6" t="s">
        <v>1163</v>
      </c>
      <c r="AU6">
        <v>9228291</v>
      </c>
      <c r="AV6" t="s">
        <v>730</v>
      </c>
      <c r="AW6" t="s">
        <v>951</v>
      </c>
      <c r="AX6" s="128">
        <v>44509</v>
      </c>
      <c r="AY6" t="s">
        <v>1101</v>
      </c>
      <c r="AZ6" t="s">
        <v>13</v>
      </c>
      <c r="BA6" t="s">
        <v>83</v>
      </c>
      <c r="BB6" t="s">
        <v>38</v>
      </c>
      <c r="BD6" t="s">
        <v>28</v>
      </c>
      <c r="BF6" t="s">
        <v>573</v>
      </c>
      <c r="BG6" s="128">
        <v>44286</v>
      </c>
      <c r="BH6" t="b">
        <v>0</v>
      </c>
      <c r="BJ6" t="s">
        <v>1162</v>
      </c>
      <c r="BK6" t="s">
        <v>1118</v>
      </c>
      <c r="CC6" s="128"/>
      <c r="CE6" s="128"/>
      <c r="CG6" s="128"/>
      <c r="CI6" s="128"/>
      <c r="CK6" s="128"/>
      <c r="CM6" s="128"/>
      <c r="CO6" s="128"/>
      <c r="CT6" s="128"/>
      <c r="CV6" s="128"/>
    </row>
    <row r="7" spans="1:100" ht="273" x14ac:dyDescent="0.2">
      <c r="A7" t="s">
        <v>1165</v>
      </c>
      <c r="B7" s="128">
        <v>44020</v>
      </c>
      <c r="C7" t="s">
        <v>1166</v>
      </c>
      <c r="D7" t="s">
        <v>364</v>
      </c>
      <c r="E7" t="s">
        <v>1104</v>
      </c>
      <c r="F7" t="s">
        <v>1105</v>
      </c>
      <c r="G7" t="s">
        <v>390</v>
      </c>
      <c r="H7" t="s">
        <v>1167</v>
      </c>
      <c r="I7" t="s">
        <v>581</v>
      </c>
      <c r="J7" t="s">
        <v>1123</v>
      </c>
      <c r="K7" t="s">
        <v>172</v>
      </c>
      <c r="L7" t="s">
        <v>1124</v>
      </c>
      <c r="M7" t="s">
        <v>346</v>
      </c>
      <c r="N7" t="s">
        <v>1168</v>
      </c>
      <c r="O7" t="s">
        <v>1126</v>
      </c>
      <c r="P7" t="s">
        <v>1169</v>
      </c>
      <c r="Q7" s="128">
        <v>43959</v>
      </c>
      <c r="R7" s="128">
        <v>44111</v>
      </c>
      <c r="S7" t="s">
        <v>1170</v>
      </c>
      <c r="T7" s="128">
        <v>44285</v>
      </c>
      <c r="U7">
        <v>0</v>
      </c>
      <c r="V7">
        <v>0</v>
      </c>
      <c r="W7" t="s">
        <v>262</v>
      </c>
      <c r="X7" s="99" t="s">
        <v>1171</v>
      </c>
      <c r="AA7" t="s">
        <v>1</v>
      </c>
      <c r="AB7" t="s">
        <v>1172</v>
      </c>
      <c r="AC7" s="128">
        <v>44285</v>
      </c>
      <c r="AD7" t="s">
        <v>349</v>
      </c>
      <c r="AE7" t="s">
        <v>1115</v>
      </c>
      <c r="AF7" t="s">
        <v>1116</v>
      </c>
      <c r="AG7" t="s">
        <v>0</v>
      </c>
      <c r="AH7">
        <v>1</v>
      </c>
      <c r="AI7" t="b">
        <v>0</v>
      </c>
      <c r="AK7" t="b">
        <v>0</v>
      </c>
      <c r="AM7" t="b">
        <v>0</v>
      </c>
      <c r="AN7" t="b">
        <v>0</v>
      </c>
      <c r="AO7" t="b">
        <v>0</v>
      </c>
      <c r="AP7" t="b">
        <v>1</v>
      </c>
      <c r="AQ7" t="b">
        <v>0</v>
      </c>
      <c r="AR7" t="b">
        <v>0</v>
      </c>
      <c r="AS7" t="b">
        <v>0</v>
      </c>
      <c r="AT7" t="s">
        <v>1175</v>
      </c>
      <c r="AU7">
        <v>9228291</v>
      </c>
      <c r="AV7" t="s">
        <v>730</v>
      </c>
      <c r="AW7" t="s">
        <v>951</v>
      </c>
      <c r="AX7" s="128">
        <v>44509</v>
      </c>
      <c r="AY7" t="s">
        <v>1101</v>
      </c>
      <c r="AZ7" t="s">
        <v>581</v>
      </c>
      <c r="BA7" t="s">
        <v>172</v>
      </c>
      <c r="BB7" t="s">
        <v>38</v>
      </c>
      <c r="BD7" t="s">
        <v>28</v>
      </c>
      <c r="BF7" t="s">
        <v>486</v>
      </c>
      <c r="BG7" s="128">
        <v>44286</v>
      </c>
      <c r="BH7" t="b">
        <v>0</v>
      </c>
      <c r="BI7" t="s">
        <v>1173</v>
      </c>
      <c r="BJ7" t="s">
        <v>1174</v>
      </c>
      <c r="BK7" t="s">
        <v>1118</v>
      </c>
      <c r="CC7" s="128"/>
      <c r="CE7" s="128"/>
      <c r="CG7" s="128"/>
      <c r="CI7" s="128"/>
      <c r="CK7" s="128"/>
      <c r="CM7" s="128"/>
      <c r="CO7" s="128"/>
      <c r="CT7" s="128"/>
      <c r="CV7" s="128"/>
    </row>
    <row r="8" spans="1:100" x14ac:dyDescent="0.2">
      <c r="A8" t="s">
        <v>1177</v>
      </c>
      <c r="B8" s="128">
        <v>43976</v>
      </c>
      <c r="C8" t="s">
        <v>1178</v>
      </c>
      <c r="D8" t="s">
        <v>352</v>
      </c>
      <c r="E8" t="s">
        <v>1179</v>
      </c>
      <c r="F8" t="s">
        <v>1180</v>
      </c>
      <c r="G8" t="s">
        <v>374</v>
      </c>
      <c r="H8" t="s">
        <v>1181</v>
      </c>
      <c r="I8" t="s">
        <v>354</v>
      </c>
      <c r="J8" t="s">
        <v>1182</v>
      </c>
      <c r="K8" t="s">
        <v>335</v>
      </c>
      <c r="L8" t="s">
        <v>1183</v>
      </c>
      <c r="M8" t="s">
        <v>346</v>
      </c>
      <c r="N8" t="s">
        <v>1184</v>
      </c>
      <c r="O8" t="s">
        <v>1185</v>
      </c>
      <c r="P8" t="s">
        <v>1186</v>
      </c>
      <c r="Q8" s="128">
        <v>43976</v>
      </c>
      <c r="R8" s="128">
        <v>44012</v>
      </c>
      <c r="S8" t="s">
        <v>1187</v>
      </c>
      <c r="T8" s="128">
        <v>44286</v>
      </c>
      <c r="U8">
        <v>0</v>
      </c>
      <c r="V8">
        <v>0</v>
      </c>
      <c r="W8" t="s">
        <v>262</v>
      </c>
      <c r="X8" t="s">
        <v>1188</v>
      </c>
      <c r="AA8" t="s">
        <v>3</v>
      </c>
      <c r="AB8" t="s">
        <v>1189</v>
      </c>
      <c r="AC8" s="128">
        <v>44285</v>
      </c>
      <c r="AD8" t="s">
        <v>349</v>
      </c>
      <c r="AE8" t="s">
        <v>1115</v>
      </c>
      <c r="AF8" t="s">
        <v>1116</v>
      </c>
      <c r="AG8" t="s">
        <v>0</v>
      </c>
      <c r="AH8">
        <v>1</v>
      </c>
      <c r="AI8" t="b">
        <v>0</v>
      </c>
      <c r="AK8" t="b">
        <v>0</v>
      </c>
      <c r="AM8" t="b">
        <v>0</v>
      </c>
      <c r="AN8" t="b">
        <v>0</v>
      </c>
      <c r="AO8" t="b">
        <v>0</v>
      </c>
      <c r="AP8" t="b">
        <v>1</v>
      </c>
      <c r="AQ8" t="b">
        <v>0</v>
      </c>
      <c r="AR8" t="b">
        <v>0</v>
      </c>
      <c r="AS8" t="b">
        <v>0</v>
      </c>
      <c r="AT8" t="s">
        <v>1191</v>
      </c>
      <c r="AU8">
        <v>9228291</v>
      </c>
      <c r="AV8" t="s">
        <v>730</v>
      </c>
      <c r="AW8" t="s">
        <v>951</v>
      </c>
      <c r="AX8" s="128">
        <v>44509</v>
      </c>
      <c r="AY8" t="s">
        <v>1101</v>
      </c>
      <c r="AZ8" t="s">
        <v>391</v>
      </c>
      <c r="BA8" t="s">
        <v>141</v>
      </c>
      <c r="BB8" t="s">
        <v>336</v>
      </c>
      <c r="BD8" t="s">
        <v>29</v>
      </c>
      <c r="BF8" t="s">
        <v>486</v>
      </c>
      <c r="BG8" s="128">
        <v>44286</v>
      </c>
      <c r="BH8" t="b">
        <v>0</v>
      </c>
      <c r="BJ8" t="s">
        <v>1190</v>
      </c>
      <c r="BK8" t="s">
        <v>1118</v>
      </c>
      <c r="CC8" s="128"/>
      <c r="CE8" s="128"/>
      <c r="CG8" s="128"/>
      <c r="CI8" s="128"/>
      <c r="CK8" s="128"/>
      <c r="CM8" s="128"/>
      <c r="CO8" s="128"/>
      <c r="CT8" s="128"/>
      <c r="CV8" s="128"/>
    </row>
    <row r="9" spans="1:100" ht="143" x14ac:dyDescent="0.2">
      <c r="A9" t="s">
        <v>1193</v>
      </c>
      <c r="B9" s="128">
        <v>43976</v>
      </c>
      <c r="C9" t="s">
        <v>1194</v>
      </c>
      <c r="D9" t="s">
        <v>352</v>
      </c>
      <c r="E9" t="s">
        <v>1179</v>
      </c>
      <c r="F9" t="s">
        <v>1180</v>
      </c>
      <c r="G9" t="s">
        <v>374</v>
      </c>
      <c r="H9" t="s">
        <v>1181</v>
      </c>
      <c r="I9" t="s">
        <v>354</v>
      </c>
      <c r="J9" t="s">
        <v>1182</v>
      </c>
      <c r="K9" t="s">
        <v>407</v>
      </c>
      <c r="L9" t="s">
        <v>1195</v>
      </c>
      <c r="M9" t="s">
        <v>346</v>
      </c>
      <c r="N9" t="s">
        <v>1196</v>
      </c>
      <c r="O9" t="s">
        <v>1197</v>
      </c>
      <c r="P9" t="s">
        <v>1198</v>
      </c>
      <c r="Q9" s="128">
        <v>43997</v>
      </c>
      <c r="R9" s="128">
        <v>44012</v>
      </c>
      <c r="S9" t="s">
        <v>1199</v>
      </c>
      <c r="T9" s="128">
        <v>44282</v>
      </c>
      <c r="U9">
        <v>0</v>
      </c>
      <c r="V9">
        <v>0</v>
      </c>
      <c r="W9" t="s">
        <v>262</v>
      </c>
      <c r="X9" t="s">
        <v>1200</v>
      </c>
      <c r="AA9" t="s">
        <v>4</v>
      </c>
      <c r="AB9" s="99" t="s">
        <v>1201</v>
      </c>
      <c r="AC9" s="128">
        <v>44285</v>
      </c>
      <c r="AD9" t="s">
        <v>349</v>
      </c>
      <c r="AE9" t="s">
        <v>1115</v>
      </c>
      <c r="AF9" t="s">
        <v>1116</v>
      </c>
      <c r="AG9" t="s">
        <v>0</v>
      </c>
      <c r="AH9">
        <v>1</v>
      </c>
      <c r="AI9" t="b">
        <v>0</v>
      </c>
      <c r="AK9" t="b">
        <v>0</v>
      </c>
      <c r="AM9" t="b">
        <v>0</v>
      </c>
      <c r="AN9" t="b">
        <v>0</v>
      </c>
      <c r="AO9" t="b">
        <v>0</v>
      </c>
      <c r="AP9" t="b">
        <v>1</v>
      </c>
      <c r="AQ9" t="b">
        <v>0</v>
      </c>
      <c r="AR9" t="b">
        <v>0</v>
      </c>
      <c r="AS9" t="b">
        <v>0</v>
      </c>
      <c r="AT9" t="s">
        <v>1203</v>
      </c>
      <c r="AU9">
        <v>9228291</v>
      </c>
      <c r="AV9" t="s">
        <v>730</v>
      </c>
      <c r="AW9" t="s">
        <v>951</v>
      </c>
      <c r="AX9" s="128">
        <v>44509</v>
      </c>
      <c r="AY9" t="s">
        <v>1101</v>
      </c>
      <c r="AZ9" t="s">
        <v>13</v>
      </c>
      <c r="BA9" t="s">
        <v>83</v>
      </c>
      <c r="BB9" t="s">
        <v>34</v>
      </c>
      <c r="BD9" t="s">
        <v>757</v>
      </c>
      <c r="BF9" t="s">
        <v>486</v>
      </c>
      <c r="BG9" s="128">
        <v>44286</v>
      </c>
      <c r="BH9" t="b">
        <v>0</v>
      </c>
      <c r="BJ9" t="s">
        <v>1202</v>
      </c>
      <c r="BK9" t="s">
        <v>1118</v>
      </c>
      <c r="CC9" s="128"/>
      <c r="CE9" s="128"/>
      <c r="CG9" s="128"/>
      <c r="CI9" s="128"/>
      <c r="CK9" s="128"/>
      <c r="CM9" s="128"/>
      <c r="CO9" s="128"/>
      <c r="CT9" s="128"/>
      <c r="CV9" s="128"/>
    </row>
    <row r="10" spans="1:100" ht="221" x14ac:dyDescent="0.2">
      <c r="A10" t="s">
        <v>1205</v>
      </c>
      <c r="B10" s="128">
        <v>43976</v>
      </c>
      <c r="C10" t="s">
        <v>1206</v>
      </c>
      <c r="D10" t="s">
        <v>352</v>
      </c>
      <c r="E10" t="s">
        <v>1179</v>
      </c>
      <c r="F10" t="s">
        <v>1180</v>
      </c>
      <c r="G10" t="s">
        <v>374</v>
      </c>
      <c r="H10" t="s">
        <v>1181</v>
      </c>
      <c r="I10" t="s">
        <v>354</v>
      </c>
      <c r="J10" t="s">
        <v>1182</v>
      </c>
      <c r="K10" t="s">
        <v>407</v>
      </c>
      <c r="L10" t="s">
        <v>1195</v>
      </c>
      <c r="M10" t="s">
        <v>346</v>
      </c>
      <c r="N10" t="s">
        <v>1207</v>
      </c>
      <c r="O10" t="s">
        <v>1208</v>
      </c>
      <c r="P10" t="s">
        <v>1209</v>
      </c>
      <c r="Q10" s="128">
        <v>43977</v>
      </c>
      <c r="R10" s="128">
        <v>44012</v>
      </c>
      <c r="S10" t="s">
        <v>1210</v>
      </c>
      <c r="T10" s="128">
        <v>44282</v>
      </c>
      <c r="U10">
        <v>0</v>
      </c>
      <c r="V10">
        <v>0</v>
      </c>
      <c r="W10" t="s">
        <v>262</v>
      </c>
      <c r="X10" s="99" t="s">
        <v>1211</v>
      </c>
      <c r="AA10" t="s">
        <v>1</v>
      </c>
      <c r="AB10" t="s">
        <v>1212</v>
      </c>
      <c r="AC10" s="128">
        <v>44282</v>
      </c>
      <c r="AD10" t="s">
        <v>349</v>
      </c>
      <c r="AE10" t="s">
        <v>1115</v>
      </c>
      <c r="AF10" t="s">
        <v>1116</v>
      </c>
      <c r="AG10" t="s">
        <v>0</v>
      </c>
      <c r="AH10">
        <v>1</v>
      </c>
      <c r="AI10" t="b">
        <v>0</v>
      </c>
      <c r="AK10" t="b">
        <v>0</v>
      </c>
      <c r="AM10" t="b">
        <v>0</v>
      </c>
      <c r="AN10" t="b">
        <v>0</v>
      </c>
      <c r="AO10" t="b">
        <v>0</v>
      </c>
      <c r="AP10" t="b">
        <v>1</v>
      </c>
      <c r="AQ10" t="b">
        <v>0</v>
      </c>
      <c r="AR10" t="b">
        <v>0</v>
      </c>
      <c r="AS10" t="b">
        <v>0</v>
      </c>
      <c r="AT10" t="s">
        <v>1214</v>
      </c>
      <c r="AU10">
        <v>9228291</v>
      </c>
      <c r="AV10" t="s">
        <v>730</v>
      </c>
      <c r="AW10" t="s">
        <v>951</v>
      </c>
      <c r="AX10" s="128">
        <v>44509</v>
      </c>
      <c r="AY10" t="s">
        <v>1101</v>
      </c>
      <c r="AZ10" t="s">
        <v>584</v>
      </c>
      <c r="BA10" t="s">
        <v>82</v>
      </c>
      <c r="BB10" t="s">
        <v>34</v>
      </c>
      <c r="BD10" t="s">
        <v>30</v>
      </c>
      <c r="BF10" t="s">
        <v>486</v>
      </c>
      <c r="BG10" s="128">
        <v>44286</v>
      </c>
      <c r="BH10" t="b">
        <v>0</v>
      </c>
      <c r="BJ10" t="s">
        <v>1213</v>
      </c>
      <c r="BK10" t="s">
        <v>1118</v>
      </c>
      <c r="CC10" s="128"/>
      <c r="CE10" s="128"/>
      <c r="CG10" s="128"/>
      <c r="CI10" s="128"/>
      <c r="CK10" s="128"/>
      <c r="CM10" s="128"/>
      <c r="CO10" s="128"/>
      <c r="CT10" s="128"/>
      <c r="CV10" s="128"/>
    </row>
    <row r="11" spans="1:100" ht="364" x14ac:dyDescent="0.2">
      <c r="A11" t="s">
        <v>1216</v>
      </c>
      <c r="B11" s="128">
        <v>43997</v>
      </c>
      <c r="C11" t="s">
        <v>1217</v>
      </c>
      <c r="D11" t="s">
        <v>364</v>
      </c>
      <c r="E11" t="s">
        <v>1104</v>
      </c>
      <c r="F11" t="s">
        <v>1105</v>
      </c>
      <c r="G11" t="s">
        <v>390</v>
      </c>
      <c r="H11" t="s">
        <v>1218</v>
      </c>
      <c r="I11" t="s">
        <v>582</v>
      </c>
      <c r="J11" t="s">
        <v>1219</v>
      </c>
      <c r="K11" t="s">
        <v>69</v>
      </c>
      <c r="L11" t="s">
        <v>1220</v>
      </c>
      <c r="M11" t="s">
        <v>346</v>
      </c>
      <c r="N11" t="s">
        <v>1221</v>
      </c>
      <c r="O11" t="s">
        <v>1222</v>
      </c>
      <c r="P11" t="s">
        <v>1223</v>
      </c>
      <c r="Q11" s="128">
        <v>44198</v>
      </c>
      <c r="R11" s="128">
        <v>44088</v>
      </c>
      <c r="S11" t="s">
        <v>1224</v>
      </c>
      <c r="T11" s="128">
        <v>44284</v>
      </c>
      <c r="U11">
        <v>0</v>
      </c>
      <c r="V11">
        <v>0</v>
      </c>
      <c r="W11" t="s">
        <v>262</v>
      </c>
      <c r="X11" s="99" t="s">
        <v>1225</v>
      </c>
      <c r="AA11" t="s">
        <v>1</v>
      </c>
      <c r="AB11" t="s">
        <v>1226</v>
      </c>
      <c r="AC11" s="128">
        <v>44284</v>
      </c>
      <c r="AD11" t="s">
        <v>349</v>
      </c>
      <c r="AE11" t="s">
        <v>1115</v>
      </c>
      <c r="AF11" t="s">
        <v>1116</v>
      </c>
      <c r="AG11" t="s">
        <v>0</v>
      </c>
      <c r="AH11">
        <v>1</v>
      </c>
      <c r="AI11" t="b">
        <v>0</v>
      </c>
      <c r="AK11" t="b">
        <v>0</v>
      </c>
      <c r="AM11" t="b">
        <v>0</v>
      </c>
      <c r="AN11" t="b">
        <v>0</v>
      </c>
      <c r="AO11" t="b">
        <v>0</v>
      </c>
      <c r="AP11" t="b">
        <v>0</v>
      </c>
      <c r="AQ11" t="b">
        <v>0</v>
      </c>
      <c r="AR11" t="b">
        <v>0</v>
      </c>
      <c r="AS11" t="b">
        <v>0</v>
      </c>
      <c r="AT11" t="s">
        <v>1229</v>
      </c>
      <c r="AU11">
        <v>9228291</v>
      </c>
      <c r="AV11" t="s">
        <v>730</v>
      </c>
      <c r="AW11" t="s">
        <v>951</v>
      </c>
      <c r="AX11" s="128">
        <v>44509</v>
      </c>
      <c r="AY11" t="s">
        <v>1101</v>
      </c>
      <c r="AZ11" t="s">
        <v>582</v>
      </c>
      <c r="BA11" t="s">
        <v>69</v>
      </c>
      <c r="BB11" t="s">
        <v>40</v>
      </c>
      <c r="BD11" t="s">
        <v>30</v>
      </c>
      <c r="BF11" t="s">
        <v>574</v>
      </c>
      <c r="BG11" s="128">
        <v>44286</v>
      </c>
      <c r="BH11" t="b">
        <v>0</v>
      </c>
      <c r="BI11" t="s">
        <v>1227</v>
      </c>
      <c r="BJ11" t="s">
        <v>1228</v>
      </c>
      <c r="BK11" t="s">
        <v>1118</v>
      </c>
      <c r="CC11" s="128"/>
      <c r="CE11" s="128"/>
      <c r="CG11" s="128"/>
      <c r="CI11" s="128"/>
      <c r="CK11" s="128"/>
      <c r="CM11" s="128"/>
      <c r="CO11" s="128"/>
      <c r="CT11" s="128"/>
      <c r="CV11" s="128"/>
    </row>
    <row r="12" spans="1:100" ht="351" x14ac:dyDescent="0.2">
      <c r="A12" t="s">
        <v>1230</v>
      </c>
      <c r="B12" s="128">
        <v>43997</v>
      </c>
      <c r="C12" t="s">
        <v>1231</v>
      </c>
      <c r="D12" t="s">
        <v>364</v>
      </c>
      <c r="E12" t="s">
        <v>1104</v>
      </c>
      <c r="F12" t="s">
        <v>1105</v>
      </c>
      <c r="G12" t="s">
        <v>390</v>
      </c>
      <c r="H12" t="s">
        <v>1218</v>
      </c>
      <c r="I12" t="s">
        <v>582</v>
      </c>
      <c r="J12" t="s">
        <v>1219</v>
      </c>
      <c r="K12" t="s">
        <v>69</v>
      </c>
      <c r="L12" t="s">
        <v>1220</v>
      </c>
      <c r="M12" t="s">
        <v>346</v>
      </c>
      <c r="N12" t="s">
        <v>1232</v>
      </c>
      <c r="O12" t="s">
        <v>1233</v>
      </c>
      <c r="P12" t="s">
        <v>1234</v>
      </c>
      <c r="Q12" s="128">
        <v>43999</v>
      </c>
      <c r="R12" s="128">
        <v>44088</v>
      </c>
      <c r="S12" t="s">
        <v>1235</v>
      </c>
      <c r="T12" s="128">
        <v>44284</v>
      </c>
      <c r="U12">
        <v>0</v>
      </c>
      <c r="V12">
        <v>0</v>
      </c>
      <c r="W12" t="s">
        <v>262</v>
      </c>
      <c r="X12" s="99" t="s">
        <v>1236</v>
      </c>
      <c r="AA12" t="s">
        <v>1</v>
      </c>
      <c r="AB12" t="s">
        <v>1237</v>
      </c>
      <c r="AC12" s="128">
        <v>44284</v>
      </c>
      <c r="AD12" t="s">
        <v>349</v>
      </c>
      <c r="AE12" t="s">
        <v>1115</v>
      </c>
      <c r="AF12" t="s">
        <v>1116</v>
      </c>
      <c r="AG12" t="s">
        <v>0</v>
      </c>
      <c r="AH12">
        <v>1</v>
      </c>
      <c r="AI12" t="b">
        <v>0</v>
      </c>
      <c r="AK12" t="b">
        <v>0</v>
      </c>
      <c r="AM12" t="b">
        <v>0</v>
      </c>
      <c r="AN12" t="b">
        <v>0</v>
      </c>
      <c r="AO12" t="b">
        <v>0</v>
      </c>
      <c r="AP12" t="b">
        <v>0</v>
      </c>
      <c r="AQ12" t="b">
        <v>0</v>
      </c>
      <c r="AR12" t="b">
        <v>0</v>
      </c>
      <c r="AS12" t="b">
        <v>0</v>
      </c>
      <c r="AT12" t="s">
        <v>1239</v>
      </c>
      <c r="AU12">
        <v>9228291</v>
      </c>
      <c r="AV12" t="s">
        <v>730</v>
      </c>
      <c r="AW12" t="s">
        <v>951</v>
      </c>
      <c r="AX12" s="128">
        <v>44509</v>
      </c>
      <c r="AY12" t="s">
        <v>1101</v>
      </c>
      <c r="AZ12" t="s">
        <v>582</v>
      </c>
      <c r="BA12" t="s">
        <v>69</v>
      </c>
      <c r="BB12" t="s">
        <v>39</v>
      </c>
      <c r="BD12" t="s">
        <v>30</v>
      </c>
      <c r="BF12" t="s">
        <v>574</v>
      </c>
      <c r="BG12" s="128">
        <v>44286</v>
      </c>
      <c r="BH12" t="b">
        <v>0</v>
      </c>
      <c r="BI12" t="s">
        <v>1227</v>
      </c>
      <c r="BJ12" t="s">
        <v>1238</v>
      </c>
      <c r="BK12" t="s">
        <v>1118</v>
      </c>
      <c r="CC12" s="128"/>
      <c r="CE12" s="128"/>
      <c r="CG12" s="128"/>
      <c r="CI12" s="128"/>
      <c r="CK12" s="128"/>
      <c r="CM12" s="128"/>
      <c r="CO12" s="128"/>
      <c r="CT12" s="128"/>
      <c r="CV12" s="128"/>
    </row>
    <row r="13" spans="1:100" ht="351" x14ac:dyDescent="0.2">
      <c r="A13" t="s">
        <v>1240</v>
      </c>
      <c r="B13" s="128">
        <v>43997</v>
      </c>
      <c r="C13" t="s">
        <v>1241</v>
      </c>
      <c r="D13" t="s">
        <v>364</v>
      </c>
      <c r="E13" t="s">
        <v>1104</v>
      </c>
      <c r="F13" t="s">
        <v>1105</v>
      </c>
      <c r="G13" t="s">
        <v>390</v>
      </c>
      <c r="H13" t="s">
        <v>1218</v>
      </c>
      <c r="I13" t="s">
        <v>582</v>
      </c>
      <c r="J13" t="s">
        <v>1219</v>
      </c>
      <c r="K13" t="s">
        <v>69</v>
      </c>
      <c r="L13" t="s">
        <v>1220</v>
      </c>
      <c r="M13" t="s">
        <v>346</v>
      </c>
      <c r="N13" t="s">
        <v>1242</v>
      </c>
      <c r="O13" t="s">
        <v>1243</v>
      </c>
      <c r="P13" t="s">
        <v>1244</v>
      </c>
      <c r="Q13" s="128">
        <v>43999</v>
      </c>
      <c r="R13" s="128">
        <v>44088</v>
      </c>
      <c r="S13" t="s">
        <v>1245</v>
      </c>
      <c r="T13" s="128">
        <v>44284</v>
      </c>
      <c r="U13">
        <v>0</v>
      </c>
      <c r="V13">
        <v>0</v>
      </c>
      <c r="W13" t="s">
        <v>262</v>
      </c>
      <c r="X13" s="99" t="s">
        <v>1246</v>
      </c>
      <c r="AA13" t="s">
        <v>1</v>
      </c>
      <c r="AB13" t="s">
        <v>1247</v>
      </c>
      <c r="AC13" s="128">
        <v>44284</v>
      </c>
      <c r="AD13" t="s">
        <v>349</v>
      </c>
      <c r="AE13" t="s">
        <v>1115</v>
      </c>
      <c r="AF13" t="s">
        <v>1116</v>
      </c>
      <c r="AG13" t="s">
        <v>0</v>
      </c>
      <c r="AH13">
        <v>1</v>
      </c>
      <c r="AI13" t="b">
        <v>0</v>
      </c>
      <c r="AK13" t="b">
        <v>0</v>
      </c>
      <c r="AM13" t="b">
        <v>0</v>
      </c>
      <c r="AN13" t="b">
        <v>0</v>
      </c>
      <c r="AO13" t="b">
        <v>0</v>
      </c>
      <c r="AP13" t="b">
        <v>0</v>
      </c>
      <c r="AQ13" t="b">
        <v>0</v>
      </c>
      <c r="AR13" t="b">
        <v>0</v>
      </c>
      <c r="AS13" t="b">
        <v>0</v>
      </c>
      <c r="AT13" t="s">
        <v>1249</v>
      </c>
      <c r="AU13">
        <v>9228291</v>
      </c>
      <c r="AV13" t="s">
        <v>730</v>
      </c>
      <c r="AW13" t="s">
        <v>951</v>
      </c>
      <c r="AX13" s="128">
        <v>44509</v>
      </c>
      <c r="AY13" t="s">
        <v>1101</v>
      </c>
      <c r="AZ13" t="s">
        <v>582</v>
      </c>
      <c r="BA13" t="s">
        <v>69</v>
      </c>
      <c r="BB13" t="s">
        <v>40</v>
      </c>
      <c r="BD13" t="s">
        <v>30</v>
      </c>
      <c r="BF13" t="s">
        <v>574</v>
      </c>
      <c r="BG13" s="128">
        <v>44286</v>
      </c>
      <c r="BH13" t="b">
        <v>0</v>
      </c>
      <c r="BI13" t="s">
        <v>1227</v>
      </c>
      <c r="BJ13" t="s">
        <v>1248</v>
      </c>
      <c r="BK13" t="s">
        <v>1118</v>
      </c>
      <c r="CC13" s="128"/>
      <c r="CE13" s="128"/>
      <c r="CG13" s="128"/>
      <c r="CI13" s="128"/>
      <c r="CK13" s="128"/>
      <c r="CM13" s="128"/>
      <c r="CO13" s="128"/>
      <c r="CT13" s="128"/>
      <c r="CV13" s="128"/>
    </row>
    <row r="14" spans="1:100" ht="351" x14ac:dyDescent="0.2">
      <c r="A14" t="s">
        <v>1250</v>
      </c>
      <c r="B14" s="128">
        <v>43997</v>
      </c>
      <c r="C14" t="s">
        <v>1251</v>
      </c>
      <c r="D14" t="s">
        <v>364</v>
      </c>
      <c r="E14" t="s">
        <v>1104</v>
      </c>
      <c r="F14" t="s">
        <v>1105</v>
      </c>
      <c r="G14" t="s">
        <v>390</v>
      </c>
      <c r="H14" t="s">
        <v>1218</v>
      </c>
      <c r="I14" t="s">
        <v>582</v>
      </c>
      <c r="J14" t="s">
        <v>1219</v>
      </c>
      <c r="K14" t="s">
        <v>69</v>
      </c>
      <c r="L14" t="s">
        <v>1220</v>
      </c>
      <c r="M14" t="s">
        <v>346</v>
      </c>
      <c r="N14" t="s">
        <v>1252</v>
      </c>
      <c r="O14" t="s">
        <v>1243</v>
      </c>
      <c r="P14" t="s">
        <v>1253</v>
      </c>
      <c r="Q14" s="128">
        <v>43999</v>
      </c>
      <c r="R14" s="128">
        <v>44088</v>
      </c>
      <c r="S14" t="s">
        <v>1254</v>
      </c>
      <c r="T14" s="128">
        <v>44284</v>
      </c>
      <c r="U14">
        <v>0</v>
      </c>
      <c r="V14">
        <v>0</v>
      </c>
      <c r="W14" t="s">
        <v>262</v>
      </c>
      <c r="X14" s="99" t="s">
        <v>1255</v>
      </c>
      <c r="AA14" t="s">
        <v>1</v>
      </c>
      <c r="AB14" t="s">
        <v>1256</v>
      </c>
      <c r="AC14" s="128">
        <v>44284</v>
      </c>
      <c r="AD14" t="s">
        <v>349</v>
      </c>
      <c r="AE14" t="s">
        <v>1115</v>
      </c>
      <c r="AF14" t="s">
        <v>1116</v>
      </c>
      <c r="AG14" t="s">
        <v>0</v>
      </c>
      <c r="AH14">
        <v>1</v>
      </c>
      <c r="AI14" t="b">
        <v>0</v>
      </c>
      <c r="AK14" t="b">
        <v>0</v>
      </c>
      <c r="AM14" t="b">
        <v>0</v>
      </c>
      <c r="AN14" t="b">
        <v>0</v>
      </c>
      <c r="AO14" t="b">
        <v>0</v>
      </c>
      <c r="AP14" t="b">
        <v>0</v>
      </c>
      <c r="AQ14" t="b">
        <v>0</v>
      </c>
      <c r="AR14" t="b">
        <v>0</v>
      </c>
      <c r="AS14" t="b">
        <v>0</v>
      </c>
      <c r="AT14" t="s">
        <v>1258</v>
      </c>
      <c r="AU14">
        <v>9228291</v>
      </c>
      <c r="AV14" t="s">
        <v>730</v>
      </c>
      <c r="AW14" t="s">
        <v>951</v>
      </c>
      <c r="AX14" s="128">
        <v>44509</v>
      </c>
      <c r="AY14" t="s">
        <v>1101</v>
      </c>
      <c r="AZ14" t="s">
        <v>582</v>
      </c>
      <c r="BA14" t="s">
        <v>69</v>
      </c>
      <c r="BB14" t="s">
        <v>40</v>
      </c>
      <c r="BD14" t="s">
        <v>30</v>
      </c>
      <c r="BF14" t="s">
        <v>574</v>
      </c>
      <c r="BG14" s="128">
        <v>44286</v>
      </c>
      <c r="BH14" t="b">
        <v>0</v>
      </c>
      <c r="BI14" t="s">
        <v>1227</v>
      </c>
      <c r="BJ14" t="s">
        <v>1257</v>
      </c>
      <c r="BK14" t="s">
        <v>1118</v>
      </c>
      <c r="CC14" s="128"/>
      <c r="CE14" s="128"/>
      <c r="CG14" s="128"/>
      <c r="CI14" s="128"/>
      <c r="CK14" s="128"/>
      <c r="CM14" s="128"/>
      <c r="CO14" s="128"/>
      <c r="CT14" s="128"/>
      <c r="CV14" s="128"/>
    </row>
    <row r="15" spans="1:100" x14ac:dyDescent="0.2">
      <c r="A15" t="s">
        <v>1259</v>
      </c>
      <c r="B15" s="128">
        <v>44065</v>
      </c>
      <c r="C15" t="s">
        <v>1260</v>
      </c>
      <c r="D15" t="s">
        <v>364</v>
      </c>
      <c r="E15" t="s">
        <v>1104</v>
      </c>
      <c r="F15" t="s">
        <v>1105</v>
      </c>
      <c r="G15" t="s">
        <v>390</v>
      </c>
      <c r="H15" t="s">
        <v>1261</v>
      </c>
      <c r="I15" t="s">
        <v>13</v>
      </c>
      <c r="J15" t="s">
        <v>1123</v>
      </c>
      <c r="K15" t="s">
        <v>83</v>
      </c>
      <c r="L15" t="s">
        <v>1262</v>
      </c>
      <c r="M15" t="s">
        <v>346</v>
      </c>
      <c r="N15" t="s">
        <v>1263</v>
      </c>
      <c r="O15" t="s">
        <v>1264</v>
      </c>
      <c r="P15" t="s">
        <v>1265</v>
      </c>
      <c r="Q15" s="128">
        <v>44065</v>
      </c>
      <c r="R15" s="128">
        <v>44104</v>
      </c>
      <c r="S15" t="s">
        <v>1266</v>
      </c>
      <c r="T15" s="128">
        <v>44285</v>
      </c>
      <c r="U15">
        <v>0</v>
      </c>
      <c r="V15">
        <v>0</v>
      </c>
      <c r="W15" t="s">
        <v>262</v>
      </c>
      <c r="X15" t="s">
        <v>1267</v>
      </c>
      <c r="AA15" t="s">
        <v>1</v>
      </c>
      <c r="AB15" t="s">
        <v>1268</v>
      </c>
      <c r="AC15" s="128">
        <v>44285</v>
      </c>
      <c r="AD15" t="s">
        <v>349</v>
      </c>
      <c r="AE15" t="s">
        <v>1115</v>
      </c>
      <c r="AF15" t="s">
        <v>1116</v>
      </c>
      <c r="AG15" t="s">
        <v>0</v>
      </c>
      <c r="AH15">
        <v>1</v>
      </c>
      <c r="AI15" t="b">
        <v>0</v>
      </c>
      <c r="AK15" t="b">
        <v>0</v>
      </c>
      <c r="AM15" t="b">
        <v>0</v>
      </c>
      <c r="AN15" t="b">
        <v>0</v>
      </c>
      <c r="AO15" t="b">
        <v>0</v>
      </c>
      <c r="AP15" t="b">
        <v>1</v>
      </c>
      <c r="AQ15" t="b">
        <v>0</v>
      </c>
      <c r="AR15" t="b">
        <v>0</v>
      </c>
      <c r="AS15" t="b">
        <v>0</v>
      </c>
      <c r="AT15" t="s">
        <v>1269</v>
      </c>
      <c r="AU15">
        <v>9228291</v>
      </c>
      <c r="AV15" t="s">
        <v>730</v>
      </c>
      <c r="AW15" t="s">
        <v>951</v>
      </c>
      <c r="AX15" s="128">
        <v>44509</v>
      </c>
      <c r="AY15" t="s">
        <v>1101</v>
      </c>
      <c r="AZ15" t="s">
        <v>13</v>
      </c>
      <c r="BA15" t="s">
        <v>83</v>
      </c>
      <c r="BB15" t="s">
        <v>40</v>
      </c>
      <c r="BD15" t="s">
        <v>30</v>
      </c>
      <c r="BF15" t="s">
        <v>574</v>
      </c>
      <c r="BG15" s="128">
        <v>44286</v>
      </c>
      <c r="BH15" t="b">
        <v>0</v>
      </c>
      <c r="BI15" t="s">
        <v>1227</v>
      </c>
      <c r="BJ15" t="s">
        <v>1257</v>
      </c>
      <c r="BK15" t="s">
        <v>1118</v>
      </c>
      <c r="CC15" s="128"/>
      <c r="CE15" s="128"/>
      <c r="CG15" s="128"/>
      <c r="CI15" s="128"/>
      <c r="CK15" s="128"/>
      <c r="CM15" s="128"/>
      <c r="CO15" s="128"/>
      <c r="CT15" s="128"/>
      <c r="CV15" s="128"/>
    </row>
    <row r="16" spans="1:100" ht="78" x14ac:dyDescent="0.2">
      <c r="A16" t="s">
        <v>1270</v>
      </c>
      <c r="B16" s="128">
        <v>44066</v>
      </c>
      <c r="C16" t="s">
        <v>1271</v>
      </c>
      <c r="D16" t="s">
        <v>364</v>
      </c>
      <c r="E16" t="s">
        <v>1104</v>
      </c>
      <c r="F16" t="s">
        <v>1105</v>
      </c>
      <c r="G16" t="s">
        <v>390</v>
      </c>
      <c r="H16" t="s">
        <v>1261</v>
      </c>
      <c r="I16" t="s">
        <v>581</v>
      </c>
      <c r="J16" t="s">
        <v>1123</v>
      </c>
      <c r="K16" t="s">
        <v>172</v>
      </c>
      <c r="L16" t="s">
        <v>1124</v>
      </c>
      <c r="M16" t="s">
        <v>346</v>
      </c>
      <c r="N16" t="s">
        <v>1272</v>
      </c>
      <c r="O16" t="s">
        <v>1273</v>
      </c>
      <c r="P16" t="s">
        <v>1274</v>
      </c>
      <c r="Q16" s="128">
        <v>44066</v>
      </c>
      <c r="R16" s="128">
        <v>44104</v>
      </c>
      <c r="S16" t="s">
        <v>1275</v>
      </c>
      <c r="T16" s="128">
        <v>44285</v>
      </c>
      <c r="U16">
        <v>0</v>
      </c>
      <c r="V16">
        <v>0</v>
      </c>
      <c r="W16" t="s">
        <v>262</v>
      </c>
      <c r="X16" s="99" t="s">
        <v>1276</v>
      </c>
      <c r="AA16" t="s">
        <v>1</v>
      </c>
      <c r="AB16" t="s">
        <v>1277</v>
      </c>
      <c r="AC16" s="128">
        <v>44285</v>
      </c>
      <c r="AD16" t="s">
        <v>349</v>
      </c>
      <c r="AE16" t="s">
        <v>1115</v>
      </c>
      <c r="AF16" t="s">
        <v>1116</v>
      </c>
      <c r="AG16" t="s">
        <v>0</v>
      </c>
      <c r="AH16">
        <v>1</v>
      </c>
      <c r="AI16" t="b">
        <v>0</v>
      </c>
      <c r="AK16" t="b">
        <v>0</v>
      </c>
      <c r="AM16" t="b">
        <v>0</v>
      </c>
      <c r="AN16" t="b">
        <v>0</v>
      </c>
      <c r="AO16" t="b">
        <v>0</v>
      </c>
      <c r="AP16" t="b">
        <v>1</v>
      </c>
      <c r="AQ16" t="b">
        <v>0</v>
      </c>
      <c r="AR16" t="b">
        <v>0</v>
      </c>
      <c r="AS16" t="b">
        <v>0</v>
      </c>
      <c r="AT16" t="s">
        <v>1279</v>
      </c>
      <c r="AU16">
        <v>9228291</v>
      </c>
      <c r="AV16" t="s">
        <v>730</v>
      </c>
      <c r="AW16" t="s">
        <v>951</v>
      </c>
      <c r="AX16" s="128">
        <v>44509</v>
      </c>
      <c r="AY16" t="s">
        <v>1101</v>
      </c>
      <c r="AZ16" t="s">
        <v>581</v>
      </c>
      <c r="BA16" t="s">
        <v>172</v>
      </c>
      <c r="BB16" t="s">
        <v>42</v>
      </c>
      <c r="BD16" t="s">
        <v>31</v>
      </c>
      <c r="BF16" t="s">
        <v>486</v>
      </c>
      <c r="BG16" s="128">
        <v>44286</v>
      </c>
      <c r="BH16" t="b">
        <v>0</v>
      </c>
      <c r="BJ16" t="s">
        <v>1278</v>
      </c>
      <c r="BK16" t="s">
        <v>1118</v>
      </c>
      <c r="CC16" s="128"/>
      <c r="CE16" s="128"/>
      <c r="CG16" s="128"/>
      <c r="CI16" s="128"/>
      <c r="CK16" s="128"/>
      <c r="CM16" s="128"/>
      <c r="CO16" s="128"/>
      <c r="CT16" s="128"/>
      <c r="CV16" s="128"/>
    </row>
    <row r="17" spans="1:100" x14ac:dyDescent="0.2">
      <c r="A17" t="s">
        <v>1280</v>
      </c>
      <c r="B17" s="128">
        <v>44068</v>
      </c>
      <c r="C17" t="s">
        <v>1281</v>
      </c>
      <c r="D17" t="s">
        <v>364</v>
      </c>
      <c r="E17" t="s">
        <v>1104</v>
      </c>
      <c r="F17" t="s">
        <v>1105</v>
      </c>
      <c r="G17" t="s">
        <v>390</v>
      </c>
      <c r="H17" t="s">
        <v>1261</v>
      </c>
      <c r="I17" t="s">
        <v>581</v>
      </c>
      <c r="J17" t="s">
        <v>1123</v>
      </c>
      <c r="K17" t="s">
        <v>172</v>
      </c>
      <c r="L17" t="s">
        <v>1124</v>
      </c>
      <c r="M17" t="s">
        <v>346</v>
      </c>
      <c r="N17" t="s">
        <v>1282</v>
      </c>
      <c r="O17" t="s">
        <v>1283</v>
      </c>
      <c r="P17" t="s">
        <v>1284</v>
      </c>
      <c r="Q17" s="128">
        <v>44068</v>
      </c>
      <c r="R17" s="128">
        <v>44104</v>
      </c>
      <c r="S17" t="s">
        <v>1285</v>
      </c>
      <c r="T17" s="128">
        <v>44284</v>
      </c>
      <c r="U17">
        <v>0</v>
      </c>
      <c r="V17">
        <v>0</v>
      </c>
      <c r="W17" t="s">
        <v>262</v>
      </c>
      <c r="X17" t="s">
        <v>1286</v>
      </c>
      <c r="AA17" t="s">
        <v>1</v>
      </c>
      <c r="AB17" t="s">
        <v>1287</v>
      </c>
      <c r="AC17" s="128">
        <v>44284</v>
      </c>
      <c r="AD17" t="s">
        <v>349</v>
      </c>
      <c r="AE17" t="s">
        <v>1115</v>
      </c>
      <c r="AF17" t="s">
        <v>1116</v>
      </c>
      <c r="AG17" t="s">
        <v>0</v>
      </c>
      <c r="AH17">
        <v>1</v>
      </c>
      <c r="AI17" t="b">
        <v>0</v>
      </c>
      <c r="AK17" t="b">
        <v>0</v>
      </c>
      <c r="AM17" t="b">
        <v>0</v>
      </c>
      <c r="AN17" t="b">
        <v>0</v>
      </c>
      <c r="AO17" t="b">
        <v>0</v>
      </c>
      <c r="AP17" t="b">
        <v>1</v>
      </c>
      <c r="AQ17" t="b">
        <v>0</v>
      </c>
      <c r="AR17" t="b">
        <v>0</v>
      </c>
      <c r="AS17" t="b">
        <v>0</v>
      </c>
      <c r="AT17" t="s">
        <v>1288</v>
      </c>
      <c r="AU17">
        <v>9228291</v>
      </c>
      <c r="AV17" t="s">
        <v>730</v>
      </c>
      <c r="AW17" t="s">
        <v>951</v>
      </c>
      <c r="AX17" s="128">
        <v>44509</v>
      </c>
      <c r="AY17" t="s">
        <v>1101</v>
      </c>
      <c r="AZ17" t="s">
        <v>581</v>
      </c>
      <c r="BA17" t="s">
        <v>172</v>
      </c>
      <c r="BB17" t="s">
        <v>42</v>
      </c>
      <c r="BD17" t="s">
        <v>31</v>
      </c>
      <c r="BF17" t="s">
        <v>486</v>
      </c>
      <c r="BG17" s="128">
        <v>44286</v>
      </c>
      <c r="BH17" t="b">
        <v>0</v>
      </c>
      <c r="BJ17" t="s">
        <v>1278</v>
      </c>
      <c r="BK17" t="s">
        <v>1118</v>
      </c>
      <c r="CC17" s="128"/>
      <c r="CE17" s="128"/>
      <c r="CG17" s="128"/>
      <c r="CI17" s="128"/>
      <c r="CK17" s="128"/>
      <c r="CM17" s="128"/>
      <c r="CO17" s="128"/>
      <c r="CT17" s="128"/>
      <c r="CV17" s="128"/>
    </row>
    <row r="18" spans="1:100" x14ac:dyDescent="0.2">
      <c r="A18" t="s">
        <v>1289</v>
      </c>
      <c r="B18" s="128">
        <v>44032</v>
      </c>
      <c r="C18" t="s">
        <v>1290</v>
      </c>
      <c r="D18" t="s">
        <v>364</v>
      </c>
      <c r="E18" t="s">
        <v>1104</v>
      </c>
      <c r="F18" t="s">
        <v>1105</v>
      </c>
      <c r="G18" t="s">
        <v>389</v>
      </c>
      <c r="H18" t="s">
        <v>1291</v>
      </c>
      <c r="I18" t="s">
        <v>581</v>
      </c>
      <c r="J18" t="s">
        <v>1123</v>
      </c>
      <c r="K18" t="s">
        <v>172</v>
      </c>
      <c r="L18" t="s">
        <v>1124</v>
      </c>
      <c r="M18" t="s">
        <v>346</v>
      </c>
      <c r="N18" t="s">
        <v>1292</v>
      </c>
      <c r="O18" t="s">
        <v>1293</v>
      </c>
      <c r="P18" t="s">
        <v>1294</v>
      </c>
      <c r="Q18" s="128">
        <v>44072</v>
      </c>
      <c r="R18" s="128">
        <v>44104</v>
      </c>
      <c r="S18" t="s">
        <v>1295</v>
      </c>
      <c r="T18" s="128">
        <v>44284</v>
      </c>
      <c r="U18">
        <v>0</v>
      </c>
      <c r="V18">
        <v>0</v>
      </c>
      <c r="W18" t="s">
        <v>262</v>
      </c>
      <c r="X18" t="s">
        <v>1286</v>
      </c>
      <c r="AA18" t="s">
        <v>2</v>
      </c>
      <c r="AB18" t="s">
        <v>1296</v>
      </c>
      <c r="AC18" s="128">
        <v>44284</v>
      </c>
      <c r="AD18" t="s">
        <v>349</v>
      </c>
      <c r="AE18" t="s">
        <v>1115</v>
      </c>
      <c r="AF18" t="s">
        <v>1116</v>
      </c>
      <c r="AG18" t="s">
        <v>0</v>
      </c>
      <c r="AH18">
        <v>1</v>
      </c>
      <c r="AI18" t="b">
        <v>0</v>
      </c>
      <c r="AK18" t="b">
        <v>0</v>
      </c>
      <c r="AM18" t="b">
        <v>0</v>
      </c>
      <c r="AN18" t="b">
        <v>0</v>
      </c>
      <c r="AO18" t="b">
        <v>0</v>
      </c>
      <c r="AP18" t="b">
        <v>1</v>
      </c>
      <c r="AQ18" t="b">
        <v>0</v>
      </c>
      <c r="AR18" t="b">
        <v>0</v>
      </c>
      <c r="AS18" t="b">
        <v>0</v>
      </c>
      <c r="AT18" t="s">
        <v>1298</v>
      </c>
      <c r="AU18">
        <v>9228291</v>
      </c>
      <c r="AV18" t="s">
        <v>730</v>
      </c>
      <c r="AW18" t="s">
        <v>951</v>
      </c>
      <c r="AX18" s="128">
        <v>44509</v>
      </c>
      <c r="AY18" t="s">
        <v>1101</v>
      </c>
      <c r="AZ18" t="s">
        <v>581</v>
      </c>
      <c r="BA18" t="s">
        <v>172</v>
      </c>
      <c r="BB18" t="s">
        <v>42</v>
      </c>
      <c r="BD18" t="s">
        <v>31</v>
      </c>
      <c r="BF18" t="s">
        <v>486</v>
      </c>
      <c r="BG18" s="128">
        <v>44286</v>
      </c>
      <c r="BH18" t="b">
        <v>0</v>
      </c>
      <c r="BJ18" t="s">
        <v>1297</v>
      </c>
      <c r="BK18" t="s">
        <v>1118</v>
      </c>
      <c r="CC18" s="128"/>
      <c r="CE18" s="128"/>
      <c r="CG18" s="128"/>
      <c r="CI18" s="128"/>
      <c r="CK18" s="128"/>
      <c r="CM18" s="128"/>
      <c r="CO18" s="128"/>
      <c r="CT18" s="128"/>
      <c r="CV18" s="128"/>
    </row>
    <row r="19" spans="1:100" x14ac:dyDescent="0.2">
      <c r="A19" t="s">
        <v>1299</v>
      </c>
      <c r="B19" s="128">
        <v>44068</v>
      </c>
      <c r="C19" t="s">
        <v>1300</v>
      </c>
      <c r="D19" t="s">
        <v>364</v>
      </c>
      <c r="E19" t="s">
        <v>1104</v>
      </c>
      <c r="F19" t="s">
        <v>1105</v>
      </c>
      <c r="G19" t="s">
        <v>390</v>
      </c>
      <c r="H19" t="s">
        <v>1261</v>
      </c>
      <c r="I19" t="s">
        <v>10</v>
      </c>
      <c r="J19" t="s">
        <v>1301</v>
      </c>
      <c r="K19" t="s">
        <v>80</v>
      </c>
      <c r="L19" t="s">
        <v>1302</v>
      </c>
      <c r="M19" t="s">
        <v>346</v>
      </c>
      <c r="N19" t="s">
        <v>1303</v>
      </c>
      <c r="O19" t="s">
        <v>1304</v>
      </c>
      <c r="P19" t="s">
        <v>1305</v>
      </c>
      <c r="Q19" s="128">
        <v>44197</v>
      </c>
      <c r="R19" s="128">
        <v>44134</v>
      </c>
      <c r="S19" t="s">
        <v>1306</v>
      </c>
      <c r="T19" s="128">
        <v>44284</v>
      </c>
      <c r="U19">
        <v>0</v>
      </c>
      <c r="V19">
        <v>0</v>
      </c>
      <c r="W19" t="s">
        <v>262</v>
      </c>
      <c r="X19" t="s">
        <v>1286</v>
      </c>
      <c r="AA19" t="s">
        <v>1</v>
      </c>
      <c r="AB19" t="s">
        <v>1307</v>
      </c>
      <c r="AC19" s="128">
        <v>44284</v>
      </c>
      <c r="AD19" t="s">
        <v>349</v>
      </c>
      <c r="AE19" t="s">
        <v>1115</v>
      </c>
      <c r="AF19" t="s">
        <v>1116</v>
      </c>
      <c r="AG19" t="s">
        <v>0</v>
      </c>
      <c r="AH19">
        <v>1</v>
      </c>
      <c r="AI19" t="b">
        <v>0</v>
      </c>
      <c r="AK19" t="b">
        <v>0</v>
      </c>
      <c r="AM19" t="b">
        <v>1</v>
      </c>
      <c r="AN19" t="b">
        <v>0</v>
      </c>
      <c r="AO19" t="b">
        <v>0</v>
      </c>
      <c r="AP19" t="b">
        <v>1</v>
      </c>
      <c r="AQ19" t="b">
        <v>0</v>
      </c>
      <c r="AR19" t="b">
        <v>0</v>
      </c>
      <c r="AS19" t="b">
        <v>0</v>
      </c>
      <c r="AT19" t="s">
        <v>1308</v>
      </c>
      <c r="AU19">
        <v>9228291</v>
      </c>
      <c r="AV19" t="s">
        <v>730</v>
      </c>
      <c r="AW19" t="s">
        <v>951</v>
      </c>
      <c r="AX19" s="128">
        <v>44509</v>
      </c>
      <c r="AY19" t="s">
        <v>1101</v>
      </c>
      <c r="AZ19" t="s">
        <v>10</v>
      </c>
      <c r="BA19" t="s">
        <v>80</v>
      </c>
      <c r="BB19" t="s">
        <v>42</v>
      </c>
      <c r="BD19" t="s">
        <v>31</v>
      </c>
      <c r="BF19" t="s">
        <v>486</v>
      </c>
      <c r="BG19" s="128">
        <v>44286</v>
      </c>
      <c r="BH19" t="b">
        <v>0</v>
      </c>
      <c r="BJ19" t="s">
        <v>1297</v>
      </c>
      <c r="BK19" t="s">
        <v>1118</v>
      </c>
      <c r="CC19" s="128"/>
      <c r="CE19" s="128"/>
      <c r="CG19" s="128"/>
      <c r="CI19" s="128"/>
      <c r="CK19" s="128"/>
      <c r="CM19" s="128"/>
      <c r="CO19" s="128"/>
      <c r="CT19" s="128"/>
      <c r="CV19" s="128"/>
    </row>
    <row r="20" spans="1:100" x14ac:dyDescent="0.2">
      <c r="A20" t="s">
        <v>1309</v>
      </c>
      <c r="B20" s="128">
        <v>44079</v>
      </c>
      <c r="C20" t="s">
        <v>1310</v>
      </c>
      <c r="D20" t="s">
        <v>364</v>
      </c>
      <c r="E20" t="s">
        <v>1104</v>
      </c>
      <c r="F20" t="s">
        <v>1105</v>
      </c>
      <c r="G20" t="s">
        <v>389</v>
      </c>
      <c r="H20" t="s">
        <v>1311</v>
      </c>
      <c r="I20" t="s">
        <v>11</v>
      </c>
      <c r="J20" t="s">
        <v>1312</v>
      </c>
      <c r="K20" t="s">
        <v>81</v>
      </c>
      <c r="L20" t="s">
        <v>1313</v>
      </c>
      <c r="M20" t="s">
        <v>346</v>
      </c>
      <c r="N20" t="s">
        <v>1314</v>
      </c>
      <c r="O20" t="s">
        <v>1315</v>
      </c>
      <c r="P20" t="s">
        <v>1316</v>
      </c>
      <c r="Q20" s="128">
        <v>44198</v>
      </c>
      <c r="R20" s="128">
        <v>44104</v>
      </c>
      <c r="S20" t="s">
        <v>1317</v>
      </c>
      <c r="T20" s="128">
        <v>44303</v>
      </c>
      <c r="U20">
        <v>0</v>
      </c>
      <c r="V20">
        <v>0</v>
      </c>
      <c r="W20" t="s">
        <v>262</v>
      </c>
      <c r="X20" t="s">
        <v>1318</v>
      </c>
      <c r="AA20" t="s">
        <v>5</v>
      </c>
      <c r="AB20" t="s">
        <v>1319</v>
      </c>
      <c r="AC20" s="128">
        <v>44303</v>
      </c>
      <c r="AD20" t="s">
        <v>349</v>
      </c>
      <c r="AE20" t="s">
        <v>1115</v>
      </c>
      <c r="AF20" t="s">
        <v>1116</v>
      </c>
      <c r="AG20" t="s">
        <v>0</v>
      </c>
      <c r="AH20">
        <v>1</v>
      </c>
      <c r="AI20" t="b">
        <v>0</v>
      </c>
      <c r="AK20" t="b">
        <v>0</v>
      </c>
      <c r="AM20" t="b">
        <v>0</v>
      </c>
      <c r="AN20" t="b">
        <v>0</v>
      </c>
      <c r="AO20" t="b">
        <v>0</v>
      </c>
      <c r="AP20" t="b">
        <v>0</v>
      </c>
      <c r="AQ20" t="b">
        <v>0</v>
      </c>
      <c r="AR20" t="b">
        <v>0</v>
      </c>
      <c r="AS20" t="b">
        <v>0</v>
      </c>
      <c r="AT20" t="s">
        <v>1321</v>
      </c>
      <c r="AU20">
        <v>9228291</v>
      </c>
      <c r="AV20" t="s">
        <v>730</v>
      </c>
      <c r="AW20" t="s">
        <v>951</v>
      </c>
      <c r="AX20" s="128">
        <v>44509</v>
      </c>
      <c r="AY20" t="s">
        <v>1101</v>
      </c>
      <c r="AZ20" t="s">
        <v>11</v>
      </c>
      <c r="BA20" t="s">
        <v>81</v>
      </c>
      <c r="BB20" t="s">
        <v>45</v>
      </c>
      <c r="BD20" t="s">
        <v>755</v>
      </c>
      <c r="BF20" t="s">
        <v>571</v>
      </c>
      <c r="BG20" s="128">
        <v>44286</v>
      </c>
      <c r="BH20" t="b">
        <v>0</v>
      </c>
      <c r="BJ20" t="s">
        <v>1320</v>
      </c>
      <c r="BK20" t="s">
        <v>1118</v>
      </c>
      <c r="CC20" s="128"/>
      <c r="CE20" s="128"/>
      <c r="CG20" s="128"/>
      <c r="CI20" s="128"/>
      <c r="CK20" s="128"/>
      <c r="CM20" s="128"/>
      <c r="CO20" s="128"/>
      <c r="CT20" s="128"/>
      <c r="CV20" s="128"/>
    </row>
    <row r="21" spans="1:100" x14ac:dyDescent="0.2">
      <c r="A21" t="s">
        <v>1322</v>
      </c>
      <c r="B21" s="128">
        <v>44089</v>
      </c>
      <c r="C21" t="s">
        <v>1323</v>
      </c>
      <c r="D21" t="s">
        <v>364</v>
      </c>
      <c r="E21" t="s">
        <v>1104</v>
      </c>
      <c r="F21" t="s">
        <v>1105</v>
      </c>
      <c r="G21" t="s">
        <v>390</v>
      </c>
      <c r="H21" t="s">
        <v>1324</v>
      </c>
      <c r="I21" t="s">
        <v>14</v>
      </c>
      <c r="J21" t="s">
        <v>1325</v>
      </c>
      <c r="K21" t="s">
        <v>91</v>
      </c>
      <c r="L21" t="s">
        <v>1326</v>
      </c>
      <c r="M21" t="s">
        <v>346</v>
      </c>
      <c r="N21" t="s">
        <v>1327</v>
      </c>
      <c r="O21" t="s">
        <v>1328</v>
      </c>
      <c r="P21" t="s">
        <v>1329</v>
      </c>
      <c r="Q21" s="128">
        <v>44089</v>
      </c>
      <c r="R21" s="128">
        <v>44179</v>
      </c>
      <c r="S21" t="s">
        <v>1330</v>
      </c>
      <c r="T21" s="128">
        <v>44284</v>
      </c>
      <c r="U21">
        <v>0</v>
      </c>
      <c r="V21">
        <v>0</v>
      </c>
      <c r="W21" t="s">
        <v>262</v>
      </c>
      <c r="X21" t="s">
        <v>1331</v>
      </c>
      <c r="AA21" t="s">
        <v>1</v>
      </c>
      <c r="AB21" t="s">
        <v>1332</v>
      </c>
      <c r="AC21" s="128">
        <v>44284</v>
      </c>
      <c r="AD21" t="s">
        <v>349</v>
      </c>
      <c r="AE21" t="s">
        <v>1115</v>
      </c>
      <c r="AF21" t="s">
        <v>1116</v>
      </c>
      <c r="AG21" t="s">
        <v>0</v>
      </c>
      <c r="AH21">
        <v>1</v>
      </c>
      <c r="AI21" t="b">
        <v>0</v>
      </c>
      <c r="AK21" t="b">
        <v>0</v>
      </c>
      <c r="AM21" t="b">
        <v>0</v>
      </c>
      <c r="AN21" t="b">
        <v>0</v>
      </c>
      <c r="AO21" t="b">
        <v>0</v>
      </c>
      <c r="AP21" t="b">
        <v>1</v>
      </c>
      <c r="AQ21" t="b">
        <v>0</v>
      </c>
      <c r="AR21" t="b">
        <v>0</v>
      </c>
      <c r="AS21" t="b">
        <v>0</v>
      </c>
      <c r="AT21" t="s">
        <v>1334</v>
      </c>
      <c r="AU21">
        <v>9228291</v>
      </c>
      <c r="AV21" t="s">
        <v>730</v>
      </c>
      <c r="AW21" t="s">
        <v>951</v>
      </c>
      <c r="AX21" s="128">
        <v>44509</v>
      </c>
      <c r="AY21" t="s">
        <v>1101</v>
      </c>
      <c r="AZ21" t="s">
        <v>14</v>
      </c>
      <c r="BA21" t="s">
        <v>91</v>
      </c>
      <c r="BB21" t="s">
        <v>40</v>
      </c>
      <c r="BD21" t="s">
        <v>30</v>
      </c>
      <c r="BF21" t="s">
        <v>486</v>
      </c>
      <c r="BG21" s="128">
        <v>44286</v>
      </c>
      <c r="BH21" t="b">
        <v>0</v>
      </c>
      <c r="BJ21" t="s">
        <v>1333</v>
      </c>
      <c r="BK21" t="s">
        <v>1118</v>
      </c>
      <c r="CC21" s="128"/>
      <c r="CE21" s="128"/>
      <c r="CG21" s="128"/>
      <c r="CI21" s="128"/>
      <c r="CK21" s="128"/>
      <c r="CM21" s="128"/>
      <c r="CO21" s="128"/>
      <c r="CT21" s="128"/>
      <c r="CV21" s="128"/>
    </row>
    <row r="22" spans="1:100" x14ac:dyDescent="0.2">
      <c r="A22" t="s">
        <v>1335</v>
      </c>
      <c r="B22" s="128">
        <v>44122</v>
      </c>
      <c r="C22" t="s">
        <v>1336</v>
      </c>
      <c r="D22" t="s">
        <v>364</v>
      </c>
      <c r="E22" t="s">
        <v>1104</v>
      </c>
      <c r="F22" t="s">
        <v>1105</v>
      </c>
      <c r="G22" t="s">
        <v>390</v>
      </c>
      <c r="H22" t="s">
        <v>1337</v>
      </c>
      <c r="I22" t="s">
        <v>17</v>
      </c>
      <c r="J22" t="s">
        <v>1338</v>
      </c>
      <c r="K22" t="s">
        <v>131</v>
      </c>
      <c r="L22" t="s">
        <v>1339</v>
      </c>
      <c r="M22" t="s">
        <v>346</v>
      </c>
      <c r="N22" t="s">
        <v>1340</v>
      </c>
      <c r="O22" t="s">
        <v>1341</v>
      </c>
      <c r="P22" t="s">
        <v>1342</v>
      </c>
      <c r="Q22" s="128">
        <v>44123</v>
      </c>
      <c r="R22" s="128">
        <v>44213</v>
      </c>
      <c r="S22" t="s">
        <v>1343</v>
      </c>
      <c r="T22" s="128">
        <v>44246</v>
      </c>
      <c r="U22">
        <v>0</v>
      </c>
      <c r="V22">
        <v>0</v>
      </c>
      <c r="W22" t="s">
        <v>262</v>
      </c>
      <c r="X22" t="s">
        <v>1344</v>
      </c>
      <c r="AA22" t="s">
        <v>1</v>
      </c>
      <c r="AB22" t="s">
        <v>1345</v>
      </c>
      <c r="AC22" s="128">
        <v>44246</v>
      </c>
      <c r="AD22" t="s">
        <v>349</v>
      </c>
      <c r="AE22" t="s">
        <v>1115</v>
      </c>
      <c r="AF22" t="s">
        <v>1116</v>
      </c>
      <c r="AG22" t="s">
        <v>0</v>
      </c>
      <c r="AH22">
        <v>1</v>
      </c>
      <c r="AI22" t="b">
        <v>0</v>
      </c>
      <c r="AK22" t="b">
        <v>0</v>
      </c>
      <c r="AM22" t="b">
        <v>0</v>
      </c>
      <c r="AN22" t="b">
        <v>0</v>
      </c>
      <c r="AO22" t="b">
        <v>0</v>
      </c>
      <c r="AP22" t="b">
        <v>0</v>
      </c>
      <c r="AQ22" t="b">
        <v>0</v>
      </c>
      <c r="AR22" t="b">
        <v>0</v>
      </c>
      <c r="AS22" t="b">
        <v>0</v>
      </c>
      <c r="AT22" t="s">
        <v>1348</v>
      </c>
      <c r="AU22">
        <v>9228291</v>
      </c>
      <c r="AV22" t="s">
        <v>730</v>
      </c>
      <c r="AW22" t="s">
        <v>951</v>
      </c>
      <c r="AX22" s="128">
        <v>44509</v>
      </c>
      <c r="AY22" t="s">
        <v>1101</v>
      </c>
      <c r="AZ22" t="s">
        <v>17</v>
      </c>
      <c r="BA22" t="s">
        <v>131</v>
      </c>
      <c r="BB22" t="s">
        <v>33</v>
      </c>
      <c r="BD22" t="s">
        <v>756</v>
      </c>
      <c r="BF22" t="s">
        <v>574</v>
      </c>
      <c r="BG22" s="128">
        <v>44286</v>
      </c>
      <c r="BH22" t="b">
        <v>0</v>
      </c>
      <c r="BI22" t="s">
        <v>1346</v>
      </c>
      <c r="BJ22" t="s">
        <v>1347</v>
      </c>
      <c r="BK22" t="s">
        <v>1118</v>
      </c>
      <c r="CC22" s="128"/>
      <c r="CE22" s="128"/>
      <c r="CG22" s="128"/>
      <c r="CI22" s="128"/>
      <c r="CK22" s="128"/>
      <c r="CM22" s="128"/>
      <c r="CO22" s="128"/>
      <c r="CT22" s="128"/>
      <c r="CV22" s="128"/>
    </row>
    <row r="23" spans="1:100" x14ac:dyDescent="0.2">
      <c r="A23" t="s">
        <v>1349</v>
      </c>
      <c r="B23" s="128">
        <v>44120</v>
      </c>
      <c r="C23" t="s">
        <v>1350</v>
      </c>
      <c r="D23" t="s">
        <v>364</v>
      </c>
      <c r="E23" t="s">
        <v>1104</v>
      </c>
      <c r="F23" t="s">
        <v>1105</v>
      </c>
      <c r="G23" t="s">
        <v>390</v>
      </c>
      <c r="H23" t="s">
        <v>1337</v>
      </c>
      <c r="I23" t="s">
        <v>13</v>
      </c>
      <c r="J23" t="s">
        <v>1145</v>
      </c>
      <c r="K23" t="s">
        <v>83</v>
      </c>
      <c r="L23" t="s">
        <v>1146</v>
      </c>
      <c r="M23" t="s">
        <v>346</v>
      </c>
      <c r="N23" t="s">
        <v>1351</v>
      </c>
      <c r="O23" t="s">
        <v>1352</v>
      </c>
      <c r="P23" t="s">
        <v>1353</v>
      </c>
      <c r="Q23" s="128">
        <v>44244</v>
      </c>
      <c r="R23" s="128">
        <v>44211</v>
      </c>
      <c r="S23" t="s">
        <v>1354</v>
      </c>
      <c r="T23" s="128">
        <v>44245</v>
      </c>
      <c r="U23">
        <v>0</v>
      </c>
      <c r="V23">
        <v>0</v>
      </c>
      <c r="W23" t="s">
        <v>262</v>
      </c>
      <c r="X23" t="s">
        <v>1355</v>
      </c>
      <c r="AA23" t="s">
        <v>4</v>
      </c>
      <c r="AC23" s="128">
        <v>44245</v>
      </c>
      <c r="AD23" t="s">
        <v>349</v>
      </c>
      <c r="AE23" t="s">
        <v>1356</v>
      </c>
      <c r="AF23" t="s">
        <v>1116</v>
      </c>
      <c r="AG23" t="s">
        <v>0</v>
      </c>
      <c r="AH23">
        <v>1</v>
      </c>
      <c r="AI23" t="b">
        <v>0</v>
      </c>
      <c r="AK23" t="b">
        <v>0</v>
      </c>
      <c r="AM23" t="b">
        <v>0</v>
      </c>
      <c r="AN23" t="b">
        <v>0</v>
      </c>
      <c r="AO23" t="b">
        <v>0</v>
      </c>
      <c r="AP23" t="b">
        <v>0</v>
      </c>
      <c r="AQ23" t="b">
        <v>0</v>
      </c>
      <c r="AR23" t="b">
        <v>0</v>
      </c>
      <c r="AS23" t="b">
        <v>0</v>
      </c>
      <c r="AT23" t="s">
        <v>1359</v>
      </c>
      <c r="AU23">
        <v>9228291</v>
      </c>
      <c r="AV23" t="s">
        <v>730</v>
      </c>
      <c r="AW23" t="s">
        <v>951</v>
      </c>
      <c r="AX23" s="128">
        <v>44509</v>
      </c>
      <c r="AY23" t="s">
        <v>1101</v>
      </c>
      <c r="AZ23" t="s">
        <v>13</v>
      </c>
      <c r="BA23" t="s">
        <v>83</v>
      </c>
      <c r="BB23" t="s">
        <v>33</v>
      </c>
      <c r="BD23" t="s">
        <v>757</v>
      </c>
      <c r="BF23" t="s">
        <v>574</v>
      </c>
      <c r="BG23" s="128">
        <v>44286</v>
      </c>
      <c r="BH23" t="b">
        <v>0</v>
      </c>
      <c r="BI23" t="s">
        <v>1357</v>
      </c>
      <c r="BJ23" t="s">
        <v>1358</v>
      </c>
      <c r="BK23" t="s">
        <v>1118</v>
      </c>
      <c r="CC23" s="128"/>
      <c r="CE23" s="128"/>
      <c r="CG23" s="128"/>
      <c r="CI23" s="128"/>
      <c r="CK23" s="128"/>
      <c r="CM23" s="128"/>
      <c r="CO23" s="128"/>
      <c r="CT23" s="128"/>
      <c r="CV23" s="128"/>
    </row>
    <row r="24" spans="1:100" x14ac:dyDescent="0.2">
      <c r="A24" t="s">
        <v>1360</v>
      </c>
      <c r="B24" s="128">
        <v>44172</v>
      </c>
      <c r="C24" t="s">
        <v>1361</v>
      </c>
      <c r="D24" t="s">
        <v>364</v>
      </c>
      <c r="E24" t="s">
        <v>1104</v>
      </c>
      <c r="F24" t="s">
        <v>1105</v>
      </c>
      <c r="G24" t="s">
        <v>390</v>
      </c>
      <c r="H24" t="s">
        <v>1362</v>
      </c>
      <c r="I24" t="s">
        <v>12</v>
      </c>
      <c r="J24" t="s">
        <v>1363</v>
      </c>
      <c r="K24" t="s">
        <v>177</v>
      </c>
      <c r="L24" t="s">
        <v>1364</v>
      </c>
      <c r="M24" t="s">
        <v>346</v>
      </c>
      <c r="N24" t="s">
        <v>1365</v>
      </c>
      <c r="O24" t="s">
        <v>1366</v>
      </c>
      <c r="P24" t="s">
        <v>1367</v>
      </c>
      <c r="Q24" s="128">
        <v>44172</v>
      </c>
      <c r="R24" s="128">
        <v>44286</v>
      </c>
      <c r="S24" t="s">
        <v>1368</v>
      </c>
      <c r="T24" s="128">
        <v>44284</v>
      </c>
      <c r="U24">
        <v>0</v>
      </c>
      <c r="V24">
        <v>0</v>
      </c>
      <c r="W24" t="s">
        <v>262</v>
      </c>
      <c r="X24" t="s">
        <v>1369</v>
      </c>
      <c r="AA24" t="s">
        <v>4</v>
      </c>
      <c r="AB24" t="s">
        <v>1370</v>
      </c>
      <c r="AC24" s="128">
        <v>44284</v>
      </c>
      <c r="AD24" t="s">
        <v>349</v>
      </c>
      <c r="AE24" t="s">
        <v>1115</v>
      </c>
      <c r="AF24" t="s">
        <v>1116</v>
      </c>
      <c r="AG24" t="s">
        <v>0</v>
      </c>
      <c r="AH24">
        <v>1</v>
      </c>
      <c r="AI24" t="b">
        <v>0</v>
      </c>
      <c r="AK24" t="b">
        <v>0</v>
      </c>
      <c r="AM24" t="b">
        <v>0</v>
      </c>
      <c r="AN24" t="b">
        <v>0</v>
      </c>
      <c r="AO24" t="b">
        <v>0</v>
      </c>
      <c r="AP24" t="b">
        <v>1</v>
      </c>
      <c r="AQ24" t="b">
        <v>0</v>
      </c>
      <c r="AR24" t="b">
        <v>0</v>
      </c>
      <c r="AS24" t="b">
        <v>0</v>
      </c>
      <c r="AT24" t="s">
        <v>1372</v>
      </c>
      <c r="AU24">
        <v>9228291</v>
      </c>
      <c r="AV24" t="s">
        <v>730</v>
      </c>
      <c r="AW24" t="s">
        <v>951</v>
      </c>
      <c r="AX24" s="128">
        <v>44509</v>
      </c>
      <c r="AY24" t="s">
        <v>1101</v>
      </c>
      <c r="AZ24" t="s">
        <v>12</v>
      </c>
      <c r="BA24" t="s">
        <v>177</v>
      </c>
      <c r="BB24" t="s">
        <v>36</v>
      </c>
      <c r="BD24" t="s">
        <v>28</v>
      </c>
      <c r="BF24" t="s">
        <v>486</v>
      </c>
      <c r="BG24" s="128">
        <v>44286</v>
      </c>
      <c r="BH24" t="b">
        <v>0</v>
      </c>
      <c r="BJ24" t="s">
        <v>1371</v>
      </c>
      <c r="BK24" t="s">
        <v>1118</v>
      </c>
      <c r="CC24" s="128"/>
      <c r="CE24" s="128"/>
      <c r="CG24" s="128"/>
      <c r="CI24" s="128"/>
      <c r="CK24" s="128"/>
      <c r="CM24" s="128"/>
      <c r="CO24" s="128"/>
      <c r="CT24" s="128"/>
      <c r="CV24" s="128"/>
    </row>
    <row r="25" spans="1:100" x14ac:dyDescent="0.2">
      <c r="A25" t="s">
        <v>1373</v>
      </c>
      <c r="B25" s="128">
        <v>44298</v>
      </c>
      <c r="C25" t="s">
        <v>1164</v>
      </c>
      <c r="D25" t="s">
        <v>364</v>
      </c>
      <c r="E25" t="s">
        <v>1104</v>
      </c>
      <c r="F25" t="s">
        <v>1105</v>
      </c>
      <c r="G25" t="s">
        <v>390</v>
      </c>
      <c r="H25" t="s">
        <v>1374</v>
      </c>
      <c r="I25" t="s">
        <v>12</v>
      </c>
      <c r="J25" t="s">
        <v>1363</v>
      </c>
      <c r="K25" t="s">
        <v>177</v>
      </c>
      <c r="L25" t="s">
        <v>1364</v>
      </c>
      <c r="M25" t="s">
        <v>346</v>
      </c>
      <c r="N25" t="s">
        <v>1375</v>
      </c>
      <c r="O25" t="s">
        <v>1376</v>
      </c>
      <c r="P25" t="s">
        <v>1377</v>
      </c>
      <c r="Q25" s="128">
        <v>44298</v>
      </c>
      <c r="R25" s="128">
        <v>44317</v>
      </c>
      <c r="S25" t="s">
        <v>1378</v>
      </c>
      <c r="T25" s="128">
        <v>44303</v>
      </c>
      <c r="U25">
        <v>0</v>
      </c>
      <c r="V25">
        <v>0</v>
      </c>
      <c r="W25" t="s">
        <v>262</v>
      </c>
      <c r="X25" t="s">
        <v>1379</v>
      </c>
      <c r="AA25" t="s">
        <v>2</v>
      </c>
      <c r="AB25" t="s">
        <v>1380</v>
      </c>
      <c r="AC25" s="128">
        <v>44303</v>
      </c>
      <c r="AD25" t="s">
        <v>349</v>
      </c>
      <c r="AE25" t="s">
        <v>1115</v>
      </c>
      <c r="AF25" t="s">
        <v>1116</v>
      </c>
      <c r="AG25" t="s">
        <v>0</v>
      </c>
      <c r="AH25">
        <v>1</v>
      </c>
      <c r="AI25" t="b">
        <v>0</v>
      </c>
      <c r="AK25" t="b">
        <v>1</v>
      </c>
      <c r="AL25">
        <v>150</v>
      </c>
      <c r="AM25" t="b">
        <v>0</v>
      </c>
      <c r="AN25" t="b">
        <v>1</v>
      </c>
      <c r="AO25" t="b">
        <v>0</v>
      </c>
      <c r="AP25" t="b">
        <v>0</v>
      </c>
      <c r="AQ25" t="b">
        <v>1</v>
      </c>
      <c r="AR25" t="b">
        <v>0</v>
      </c>
      <c r="AS25" t="b">
        <v>0</v>
      </c>
      <c r="AT25" t="s">
        <v>1383</v>
      </c>
      <c r="AU25">
        <v>9228291</v>
      </c>
      <c r="AV25" t="s">
        <v>730</v>
      </c>
      <c r="AW25" t="s">
        <v>951</v>
      </c>
      <c r="AX25" s="128">
        <v>44509</v>
      </c>
      <c r="AY25" t="s">
        <v>1101</v>
      </c>
      <c r="AZ25" t="s">
        <v>12</v>
      </c>
      <c r="BA25" t="s">
        <v>177</v>
      </c>
      <c r="BB25" t="s">
        <v>36</v>
      </c>
      <c r="BD25" t="s">
        <v>28</v>
      </c>
      <c r="BG25" s="128"/>
      <c r="BH25" t="b">
        <v>0</v>
      </c>
      <c r="BK25" t="s">
        <v>1382</v>
      </c>
      <c r="CC25" s="128"/>
      <c r="CE25" s="128"/>
      <c r="CG25" s="128"/>
      <c r="CI25" s="128"/>
      <c r="CK25" s="128"/>
      <c r="CM25" s="128"/>
      <c r="CO25" s="128"/>
      <c r="CT25" s="128"/>
      <c r="CV25" s="128"/>
    </row>
    <row r="26" spans="1:100" ht="234" x14ac:dyDescent="0.2">
      <c r="A26" t="s">
        <v>1384</v>
      </c>
      <c r="B26" s="128">
        <v>44307</v>
      </c>
      <c r="C26" t="s">
        <v>1176</v>
      </c>
      <c r="D26" t="s">
        <v>364</v>
      </c>
      <c r="E26" t="s">
        <v>1104</v>
      </c>
      <c r="F26" t="s">
        <v>1105</v>
      </c>
      <c r="G26" t="s">
        <v>389</v>
      </c>
      <c r="H26" t="s">
        <v>1385</v>
      </c>
      <c r="I26" t="s">
        <v>8</v>
      </c>
      <c r="J26" t="s">
        <v>1386</v>
      </c>
      <c r="K26" t="s">
        <v>75</v>
      </c>
      <c r="L26" t="s">
        <v>1387</v>
      </c>
      <c r="M26" t="s">
        <v>346</v>
      </c>
      <c r="N26" t="s">
        <v>1388</v>
      </c>
      <c r="O26" t="s">
        <v>1389</v>
      </c>
      <c r="P26" t="s">
        <v>1390</v>
      </c>
      <c r="Q26" s="128">
        <v>44330</v>
      </c>
      <c r="R26" s="128">
        <v>44397</v>
      </c>
      <c r="S26" t="s">
        <v>1391</v>
      </c>
      <c r="T26" s="128">
        <v>44385</v>
      </c>
      <c r="U26">
        <v>0</v>
      </c>
      <c r="V26">
        <v>0</v>
      </c>
      <c r="W26" t="s">
        <v>262</v>
      </c>
      <c r="X26" s="99" t="s">
        <v>1392</v>
      </c>
      <c r="AA26" t="s">
        <v>4</v>
      </c>
      <c r="AB26" t="s">
        <v>1393</v>
      </c>
      <c r="AC26" s="128">
        <v>44385</v>
      </c>
      <c r="AD26" t="s">
        <v>349</v>
      </c>
      <c r="AE26" t="s">
        <v>1115</v>
      </c>
      <c r="AF26" t="s">
        <v>1116</v>
      </c>
      <c r="AG26" t="s">
        <v>0</v>
      </c>
      <c r="AH26">
        <v>1</v>
      </c>
      <c r="AI26" t="b">
        <v>0</v>
      </c>
      <c r="AK26" t="b">
        <v>0</v>
      </c>
      <c r="AM26" t="b">
        <v>0</v>
      </c>
      <c r="AN26" t="b">
        <v>0</v>
      </c>
      <c r="AO26" t="b">
        <v>0</v>
      </c>
      <c r="AP26" t="b">
        <v>0</v>
      </c>
      <c r="AQ26" t="b">
        <v>0</v>
      </c>
      <c r="AR26" t="b">
        <v>0</v>
      </c>
      <c r="AS26" t="b">
        <v>0</v>
      </c>
      <c r="AT26" t="s">
        <v>1395</v>
      </c>
      <c r="AU26">
        <v>9228291</v>
      </c>
      <c r="AV26" t="s">
        <v>730</v>
      </c>
      <c r="AW26" t="s">
        <v>951</v>
      </c>
      <c r="AX26" s="128">
        <v>44509</v>
      </c>
      <c r="AY26" t="s">
        <v>1101</v>
      </c>
      <c r="AZ26" t="s">
        <v>8</v>
      </c>
      <c r="BA26" t="s">
        <v>75</v>
      </c>
      <c r="BB26" t="s">
        <v>45</v>
      </c>
      <c r="BD26" t="s">
        <v>755</v>
      </c>
      <c r="BG26" s="128"/>
      <c r="BH26" t="b">
        <v>0</v>
      </c>
      <c r="BI26" t="s">
        <v>1394</v>
      </c>
      <c r="BK26" t="s">
        <v>1382</v>
      </c>
      <c r="CC26" s="128"/>
      <c r="CE26" s="128"/>
      <c r="CG26" s="128"/>
      <c r="CI26" s="128"/>
      <c r="CK26" s="128"/>
      <c r="CM26" s="128"/>
      <c r="CO26" s="128"/>
      <c r="CT26" s="128"/>
      <c r="CV26" s="128"/>
    </row>
    <row r="27" spans="1:100" ht="221" x14ac:dyDescent="0.2">
      <c r="A27" t="s">
        <v>1396</v>
      </c>
      <c r="B27" s="128">
        <v>44337</v>
      </c>
      <c r="C27" t="s">
        <v>1192</v>
      </c>
      <c r="D27" t="s">
        <v>364</v>
      </c>
      <c r="E27" t="s">
        <v>1104</v>
      </c>
      <c r="F27" t="s">
        <v>1105</v>
      </c>
      <c r="G27" t="s">
        <v>389</v>
      </c>
      <c r="H27" t="s">
        <v>1385</v>
      </c>
      <c r="I27" t="s">
        <v>8</v>
      </c>
      <c r="J27" t="s">
        <v>1386</v>
      </c>
      <c r="K27" t="s">
        <v>75</v>
      </c>
      <c r="L27" t="s">
        <v>1387</v>
      </c>
      <c r="M27" t="s">
        <v>346</v>
      </c>
      <c r="N27" t="s">
        <v>1397</v>
      </c>
      <c r="O27" t="s">
        <v>1389</v>
      </c>
      <c r="P27" t="s">
        <v>1398</v>
      </c>
      <c r="Q27" s="128">
        <v>44330</v>
      </c>
      <c r="R27" s="128">
        <v>44427</v>
      </c>
      <c r="S27" t="s">
        <v>1391</v>
      </c>
      <c r="T27" s="128">
        <v>44385</v>
      </c>
      <c r="U27">
        <v>0</v>
      </c>
      <c r="V27">
        <v>0</v>
      </c>
      <c r="W27" t="s">
        <v>262</v>
      </c>
      <c r="X27" s="99" t="s">
        <v>1399</v>
      </c>
      <c r="AA27" t="s">
        <v>4</v>
      </c>
      <c r="AB27" t="s">
        <v>1400</v>
      </c>
      <c r="AC27" s="128">
        <v>44385</v>
      </c>
      <c r="AD27" t="s">
        <v>349</v>
      </c>
      <c r="AE27" t="s">
        <v>1115</v>
      </c>
      <c r="AF27" t="s">
        <v>1116</v>
      </c>
      <c r="AG27" t="s">
        <v>0</v>
      </c>
      <c r="AH27">
        <v>1</v>
      </c>
      <c r="AI27" t="b">
        <v>0</v>
      </c>
      <c r="AK27" t="b">
        <v>0</v>
      </c>
      <c r="AM27" t="b">
        <v>0</v>
      </c>
      <c r="AN27" t="b">
        <v>0</v>
      </c>
      <c r="AO27" t="b">
        <v>0</v>
      </c>
      <c r="AP27" t="b">
        <v>0</v>
      </c>
      <c r="AQ27" t="b">
        <v>0</v>
      </c>
      <c r="AR27" t="b">
        <v>0</v>
      </c>
      <c r="AS27" t="b">
        <v>0</v>
      </c>
      <c r="AT27" t="s">
        <v>1402</v>
      </c>
      <c r="AU27">
        <v>9228291</v>
      </c>
      <c r="AV27" t="s">
        <v>730</v>
      </c>
      <c r="AW27" t="s">
        <v>951</v>
      </c>
      <c r="AX27" s="128">
        <v>44509</v>
      </c>
      <c r="AY27" t="s">
        <v>1101</v>
      </c>
      <c r="AZ27" t="s">
        <v>8</v>
      </c>
      <c r="BA27" t="s">
        <v>75</v>
      </c>
      <c r="BB27" t="s">
        <v>45</v>
      </c>
      <c r="BD27" t="s">
        <v>755</v>
      </c>
      <c r="BF27" t="s">
        <v>574</v>
      </c>
      <c r="BG27" s="128">
        <v>44418</v>
      </c>
      <c r="BH27" t="b">
        <v>0</v>
      </c>
      <c r="BI27" t="s">
        <v>1394</v>
      </c>
      <c r="BJ27" t="s">
        <v>1401</v>
      </c>
      <c r="BK27" t="s">
        <v>1382</v>
      </c>
      <c r="CC27" s="128"/>
      <c r="CE27" s="128"/>
      <c r="CG27" s="128"/>
      <c r="CI27" s="128"/>
      <c r="CK27" s="128"/>
      <c r="CM27" s="128"/>
      <c r="CO27" s="128"/>
      <c r="CT27" s="128"/>
      <c r="CV27" s="128"/>
    </row>
    <row r="28" spans="1:100" x14ac:dyDescent="0.2">
      <c r="A28" t="s">
        <v>1403</v>
      </c>
      <c r="B28" s="128">
        <v>44303</v>
      </c>
      <c r="C28" t="s">
        <v>1204</v>
      </c>
      <c r="D28" t="s">
        <v>364</v>
      </c>
      <c r="E28" t="s">
        <v>1104</v>
      </c>
      <c r="F28" t="s">
        <v>1105</v>
      </c>
      <c r="G28" t="s">
        <v>389</v>
      </c>
      <c r="H28" t="s">
        <v>1404</v>
      </c>
      <c r="I28" t="s">
        <v>10</v>
      </c>
      <c r="J28" t="s">
        <v>1301</v>
      </c>
      <c r="K28" t="s">
        <v>80</v>
      </c>
      <c r="L28" t="s">
        <v>1302</v>
      </c>
      <c r="M28" t="s">
        <v>346</v>
      </c>
      <c r="N28" t="s">
        <v>1405</v>
      </c>
      <c r="O28" t="s">
        <v>1406</v>
      </c>
      <c r="P28" t="s">
        <v>1407</v>
      </c>
      <c r="Q28" s="128">
        <v>44303</v>
      </c>
      <c r="R28" s="128">
        <v>44363</v>
      </c>
      <c r="S28" t="s">
        <v>2139</v>
      </c>
      <c r="T28" s="128">
        <v>44523</v>
      </c>
      <c r="U28">
        <v>0</v>
      </c>
      <c r="V28">
        <v>0</v>
      </c>
      <c r="W28" t="s">
        <v>262</v>
      </c>
      <c r="X28" t="s">
        <v>1408</v>
      </c>
      <c r="AA28" t="s">
        <v>5</v>
      </c>
      <c r="AB28" t="s">
        <v>2139</v>
      </c>
      <c r="AC28" s="128">
        <v>44523</v>
      </c>
      <c r="AD28" t="s">
        <v>349</v>
      </c>
      <c r="AE28" t="s">
        <v>1115</v>
      </c>
      <c r="AF28" t="s">
        <v>1116</v>
      </c>
      <c r="AG28" t="s">
        <v>0</v>
      </c>
      <c r="AH28">
        <v>3</v>
      </c>
      <c r="AI28" t="b">
        <v>0</v>
      </c>
      <c r="AK28" t="b">
        <v>0</v>
      </c>
      <c r="AM28" t="b">
        <v>0</v>
      </c>
      <c r="AN28" t="b">
        <v>0</v>
      </c>
      <c r="AO28" t="b">
        <v>0</v>
      </c>
      <c r="AP28" t="b">
        <v>0</v>
      </c>
      <c r="AQ28" t="b">
        <v>0</v>
      </c>
      <c r="AR28" t="b">
        <v>1</v>
      </c>
      <c r="AS28" t="b">
        <v>0</v>
      </c>
      <c r="AT28" t="s">
        <v>2140</v>
      </c>
      <c r="AU28">
        <v>9228291</v>
      </c>
      <c r="AV28" t="s">
        <v>730</v>
      </c>
      <c r="AW28" t="s">
        <v>951</v>
      </c>
      <c r="AX28" s="128">
        <v>44538</v>
      </c>
      <c r="AY28" t="s">
        <v>1101</v>
      </c>
      <c r="AZ28" t="s">
        <v>10</v>
      </c>
      <c r="BA28" t="s">
        <v>80</v>
      </c>
      <c r="BB28" t="s">
        <v>41</v>
      </c>
      <c r="BD28" t="s">
        <v>757</v>
      </c>
      <c r="BF28" t="s">
        <v>575</v>
      </c>
      <c r="BG28" s="128">
        <v>44577</v>
      </c>
      <c r="BH28" t="b">
        <v>0</v>
      </c>
      <c r="BJ28" t="s">
        <v>1410</v>
      </c>
      <c r="BK28" t="s">
        <v>1118</v>
      </c>
      <c r="CC28" s="128"/>
      <c r="CE28" s="128"/>
      <c r="CG28" s="128"/>
      <c r="CI28" s="128"/>
      <c r="CK28" s="128"/>
      <c r="CM28" s="128"/>
      <c r="CO28" s="128"/>
      <c r="CT28" s="128"/>
      <c r="CV28" s="128"/>
    </row>
    <row r="29" spans="1:100" x14ac:dyDescent="0.2">
      <c r="A29" t="s">
        <v>1411</v>
      </c>
      <c r="B29" s="128">
        <v>44305</v>
      </c>
      <c r="C29" t="s">
        <v>1215</v>
      </c>
      <c r="D29" t="s">
        <v>364</v>
      </c>
      <c r="E29" t="s">
        <v>1104</v>
      </c>
      <c r="F29" t="s">
        <v>1105</v>
      </c>
      <c r="G29" t="s">
        <v>390</v>
      </c>
      <c r="H29" t="s">
        <v>1356</v>
      </c>
      <c r="I29" t="s">
        <v>15</v>
      </c>
      <c r="J29" t="s">
        <v>1412</v>
      </c>
      <c r="K29" t="s">
        <v>114</v>
      </c>
      <c r="L29" t="s">
        <v>1413</v>
      </c>
      <c r="M29" t="s">
        <v>341</v>
      </c>
      <c r="N29" t="s">
        <v>1414</v>
      </c>
      <c r="O29" t="s">
        <v>1415</v>
      </c>
      <c r="P29" t="s">
        <v>1416</v>
      </c>
      <c r="Q29" s="128">
        <v>44305</v>
      </c>
      <c r="R29" s="128">
        <v>44365</v>
      </c>
      <c r="S29" t="s">
        <v>1417</v>
      </c>
      <c r="T29" s="128">
        <v>44391</v>
      </c>
      <c r="U29">
        <v>0</v>
      </c>
      <c r="V29">
        <v>0.2</v>
      </c>
      <c r="W29" t="s">
        <v>262</v>
      </c>
      <c r="X29" t="s">
        <v>1419</v>
      </c>
      <c r="AA29" t="s">
        <v>804</v>
      </c>
      <c r="AB29" t="s">
        <v>1420</v>
      </c>
      <c r="AC29" s="128">
        <v>44391</v>
      </c>
      <c r="AD29" t="s">
        <v>349</v>
      </c>
      <c r="AE29" t="s">
        <v>1115</v>
      </c>
      <c r="AF29" t="s">
        <v>1116</v>
      </c>
      <c r="AG29" t="s">
        <v>0</v>
      </c>
      <c r="AH29">
        <v>3</v>
      </c>
      <c r="AI29" t="b">
        <v>1</v>
      </c>
      <c r="AJ29">
        <v>0.2</v>
      </c>
      <c r="AK29" t="b">
        <v>1</v>
      </c>
      <c r="AL29">
        <v>0.2</v>
      </c>
      <c r="AM29" t="b">
        <v>0</v>
      </c>
      <c r="AN29" t="b">
        <v>0</v>
      </c>
      <c r="AO29" t="b">
        <v>1</v>
      </c>
      <c r="AP29" t="b">
        <v>0</v>
      </c>
      <c r="AQ29" t="b">
        <v>0</v>
      </c>
      <c r="AR29" t="b">
        <v>0</v>
      </c>
      <c r="AS29" t="b">
        <v>0</v>
      </c>
      <c r="AT29" t="s">
        <v>1423</v>
      </c>
      <c r="AU29">
        <v>9228291</v>
      </c>
      <c r="AV29" t="s">
        <v>730</v>
      </c>
      <c r="AW29" t="s">
        <v>951</v>
      </c>
      <c r="AX29" s="128">
        <v>44509</v>
      </c>
      <c r="AY29" t="s">
        <v>1101</v>
      </c>
      <c r="AZ29" t="s">
        <v>15</v>
      </c>
      <c r="BA29" t="s">
        <v>114</v>
      </c>
      <c r="BB29" t="s">
        <v>39</v>
      </c>
      <c r="BD29" t="s">
        <v>756</v>
      </c>
      <c r="BF29" t="s">
        <v>574</v>
      </c>
      <c r="BG29" s="128">
        <v>44408</v>
      </c>
      <c r="BH29" t="b">
        <v>1</v>
      </c>
      <c r="BI29" t="s">
        <v>1421</v>
      </c>
      <c r="BJ29" t="s">
        <v>1422</v>
      </c>
      <c r="BK29" t="s">
        <v>1382</v>
      </c>
      <c r="CC29" s="128"/>
      <c r="CE29" s="128"/>
      <c r="CG29" s="128"/>
      <c r="CI29" s="128"/>
      <c r="CK29" s="128"/>
      <c r="CM29" s="128"/>
      <c r="CO29" s="128"/>
      <c r="CT29" s="128"/>
      <c r="CV29" s="128"/>
    </row>
    <row r="30" spans="1:100" ht="409.5" x14ac:dyDescent="0.2">
      <c r="A30" t="s">
        <v>1425</v>
      </c>
      <c r="B30" s="128">
        <v>44253</v>
      </c>
      <c r="C30" t="s">
        <v>1424</v>
      </c>
      <c r="D30" t="s">
        <v>337</v>
      </c>
      <c r="E30" t="s">
        <v>1426</v>
      </c>
      <c r="F30" t="s">
        <v>1427</v>
      </c>
      <c r="G30" t="s">
        <v>370</v>
      </c>
      <c r="H30" t="s">
        <v>1428</v>
      </c>
      <c r="I30" t="s">
        <v>339</v>
      </c>
      <c r="J30" t="s">
        <v>1429</v>
      </c>
      <c r="K30" t="s">
        <v>28</v>
      </c>
      <c r="L30" t="s">
        <v>1430</v>
      </c>
      <c r="M30" t="s">
        <v>346</v>
      </c>
      <c r="N30" t="s">
        <v>1431</v>
      </c>
      <c r="O30" t="s">
        <v>1432</v>
      </c>
      <c r="Q30" s="128"/>
      <c r="R30" s="128">
        <v>44343</v>
      </c>
      <c r="T30" s="128"/>
      <c r="U30">
        <v>0</v>
      </c>
      <c r="V30">
        <v>0</v>
      </c>
      <c r="W30" t="s">
        <v>262</v>
      </c>
      <c r="X30" s="99" t="s">
        <v>1433</v>
      </c>
      <c r="AA30" t="s">
        <v>2</v>
      </c>
      <c r="AB30" t="s">
        <v>1434</v>
      </c>
      <c r="AC30" s="128">
        <v>44253</v>
      </c>
      <c r="AD30" t="s">
        <v>349</v>
      </c>
      <c r="AE30" t="s">
        <v>1435</v>
      </c>
      <c r="AF30" t="s">
        <v>1116</v>
      </c>
      <c r="AG30" t="s">
        <v>0</v>
      </c>
      <c r="AH30">
        <v>1</v>
      </c>
      <c r="AI30" t="b">
        <v>0</v>
      </c>
      <c r="AK30" t="b">
        <v>0</v>
      </c>
      <c r="AM30" t="b">
        <v>0</v>
      </c>
      <c r="AN30" t="b">
        <v>0</v>
      </c>
      <c r="AO30" t="b">
        <v>0</v>
      </c>
      <c r="AP30" t="b">
        <v>0</v>
      </c>
      <c r="AQ30" t="b">
        <v>0</v>
      </c>
      <c r="AR30" t="b">
        <v>0</v>
      </c>
      <c r="AS30" t="b">
        <v>0</v>
      </c>
      <c r="AT30" t="s">
        <v>1446</v>
      </c>
      <c r="AU30">
        <v>9228291</v>
      </c>
      <c r="AV30" t="s">
        <v>730</v>
      </c>
      <c r="AW30" t="s">
        <v>951</v>
      </c>
      <c r="AX30" s="128">
        <v>44509</v>
      </c>
      <c r="AY30" t="s">
        <v>1101</v>
      </c>
      <c r="AZ30" t="s">
        <v>11</v>
      </c>
      <c r="BA30" t="s">
        <v>81</v>
      </c>
      <c r="BB30" t="s">
        <v>35</v>
      </c>
      <c r="BD30" t="s">
        <v>28</v>
      </c>
      <c r="BE30">
        <v>5.32</v>
      </c>
      <c r="BG30" s="128"/>
      <c r="BH30" t="b">
        <v>0</v>
      </c>
      <c r="BK30" t="s">
        <v>1382</v>
      </c>
      <c r="BL30" t="s">
        <v>1437</v>
      </c>
      <c r="BN30" t="s">
        <v>1438</v>
      </c>
      <c r="BO30" t="s">
        <v>1438</v>
      </c>
      <c r="BP30" t="s">
        <v>1439</v>
      </c>
      <c r="BQ30" t="s">
        <v>1440</v>
      </c>
      <c r="BS30" t="s">
        <v>1441</v>
      </c>
      <c r="BT30" t="s">
        <v>1442</v>
      </c>
      <c r="BU30" t="s">
        <v>1443</v>
      </c>
      <c r="CC30" s="128"/>
      <c r="CE30" s="128"/>
      <c r="CG30" s="128"/>
      <c r="CI30" s="128"/>
      <c r="CK30" s="128"/>
      <c r="CM30" s="128"/>
      <c r="CO30" s="128"/>
      <c r="CP30" t="s">
        <v>773</v>
      </c>
      <c r="CQ30" t="s">
        <v>1444</v>
      </c>
      <c r="CR30" t="s">
        <v>1445</v>
      </c>
      <c r="CS30">
        <v>8</v>
      </c>
      <c r="CT30" s="128">
        <v>44270</v>
      </c>
      <c r="CU30" t="s">
        <v>1435</v>
      </c>
      <c r="CV30" s="128"/>
    </row>
    <row r="31" spans="1:100" ht="409.5" x14ac:dyDescent="0.2">
      <c r="A31" t="s">
        <v>1448</v>
      </c>
      <c r="B31" s="128">
        <v>44253</v>
      </c>
      <c r="C31" t="s">
        <v>1447</v>
      </c>
      <c r="D31" t="s">
        <v>337</v>
      </c>
      <c r="E31" t="s">
        <v>1426</v>
      </c>
      <c r="F31" t="s">
        <v>1427</v>
      </c>
      <c r="G31" t="s">
        <v>370</v>
      </c>
      <c r="H31" t="s">
        <v>1428</v>
      </c>
      <c r="I31" t="s">
        <v>339</v>
      </c>
      <c r="J31" t="s">
        <v>1429</v>
      </c>
      <c r="K31" t="s">
        <v>28</v>
      </c>
      <c r="L31" t="s">
        <v>1449</v>
      </c>
      <c r="M31" t="s">
        <v>346</v>
      </c>
      <c r="N31" t="s">
        <v>1450</v>
      </c>
      <c r="O31" t="s">
        <v>1451</v>
      </c>
      <c r="Q31" s="128"/>
      <c r="R31" s="128"/>
      <c r="T31" s="128"/>
      <c r="U31">
        <v>0</v>
      </c>
      <c r="V31">
        <v>0</v>
      </c>
      <c r="W31" t="s">
        <v>262</v>
      </c>
      <c r="X31" s="99" t="s">
        <v>1452</v>
      </c>
      <c r="AA31" t="s">
        <v>4</v>
      </c>
      <c r="AB31" t="s">
        <v>1453</v>
      </c>
      <c r="AC31" s="128">
        <v>44284</v>
      </c>
      <c r="AD31" t="s">
        <v>349</v>
      </c>
      <c r="AE31" t="s">
        <v>1435</v>
      </c>
      <c r="AF31" t="s">
        <v>1116</v>
      </c>
      <c r="AG31" t="s">
        <v>0</v>
      </c>
      <c r="AH31">
        <v>1</v>
      </c>
      <c r="AI31" t="b">
        <v>0</v>
      </c>
      <c r="AK31" t="b">
        <v>0</v>
      </c>
      <c r="AM31" t="b">
        <v>0</v>
      </c>
      <c r="AN31" t="b">
        <v>0</v>
      </c>
      <c r="AO31" t="b">
        <v>0</v>
      </c>
      <c r="AP31" t="b">
        <v>0</v>
      </c>
      <c r="AQ31" t="b">
        <v>0</v>
      </c>
      <c r="AR31" t="b">
        <v>0</v>
      </c>
      <c r="AS31" t="b">
        <v>0</v>
      </c>
      <c r="AT31" t="s">
        <v>1454</v>
      </c>
      <c r="AU31">
        <v>9228291</v>
      </c>
      <c r="AV31" t="s">
        <v>730</v>
      </c>
      <c r="AW31" t="s">
        <v>951</v>
      </c>
      <c r="AX31" s="128">
        <v>44509</v>
      </c>
      <c r="AY31" t="s">
        <v>1101</v>
      </c>
      <c r="AZ31" t="s">
        <v>581</v>
      </c>
      <c r="BA31" t="s">
        <v>173</v>
      </c>
      <c r="BB31" t="s">
        <v>35</v>
      </c>
      <c r="BD31" t="s">
        <v>28</v>
      </c>
      <c r="BE31">
        <v>5.32</v>
      </c>
      <c r="BG31" s="128"/>
      <c r="BH31" t="b">
        <v>0</v>
      </c>
      <c r="BK31" t="s">
        <v>1382</v>
      </c>
      <c r="BL31" t="s">
        <v>1437</v>
      </c>
      <c r="BN31" t="s">
        <v>1438</v>
      </c>
      <c r="BO31" t="s">
        <v>1438</v>
      </c>
      <c r="BP31" t="s">
        <v>1439</v>
      </c>
      <c r="BQ31" t="s">
        <v>1440</v>
      </c>
      <c r="BS31" t="s">
        <v>1441</v>
      </c>
      <c r="BT31" t="s">
        <v>1442</v>
      </c>
      <c r="BU31" t="s">
        <v>1443</v>
      </c>
      <c r="CC31" s="128"/>
      <c r="CE31" s="128"/>
      <c r="CG31" s="128"/>
      <c r="CI31" s="128"/>
      <c r="CK31" s="128"/>
      <c r="CM31" s="128"/>
      <c r="CO31" s="128"/>
      <c r="CP31" t="s">
        <v>773</v>
      </c>
      <c r="CQ31" t="s">
        <v>1444</v>
      </c>
      <c r="CR31" t="s">
        <v>1445</v>
      </c>
      <c r="CS31">
        <v>5</v>
      </c>
      <c r="CT31" s="128">
        <v>44270</v>
      </c>
      <c r="CU31" t="s">
        <v>1435</v>
      </c>
      <c r="CV31" s="128"/>
    </row>
    <row r="32" spans="1:100" ht="409.5" x14ac:dyDescent="0.2">
      <c r="A32" t="s">
        <v>1456</v>
      </c>
      <c r="B32" s="128">
        <v>44253</v>
      </c>
      <c r="C32" t="s">
        <v>1455</v>
      </c>
      <c r="D32" t="s">
        <v>337</v>
      </c>
      <c r="E32" t="s">
        <v>1426</v>
      </c>
      <c r="F32" t="s">
        <v>1427</v>
      </c>
      <c r="G32" t="s">
        <v>370</v>
      </c>
      <c r="H32" t="s">
        <v>1428</v>
      </c>
      <c r="I32" t="s">
        <v>339</v>
      </c>
      <c r="J32" t="s">
        <v>1429</v>
      </c>
      <c r="K32" t="s">
        <v>30</v>
      </c>
      <c r="L32" t="s">
        <v>1457</v>
      </c>
      <c r="M32" t="s">
        <v>346</v>
      </c>
      <c r="N32" t="s">
        <v>1458</v>
      </c>
      <c r="O32" t="s">
        <v>1459</v>
      </c>
      <c r="Q32" s="128"/>
      <c r="R32" s="128"/>
      <c r="T32" s="128"/>
      <c r="U32">
        <v>0</v>
      </c>
      <c r="V32">
        <v>0</v>
      </c>
      <c r="W32" t="s">
        <v>262</v>
      </c>
      <c r="X32" s="99" t="s">
        <v>1460</v>
      </c>
      <c r="AA32" t="s">
        <v>4</v>
      </c>
      <c r="AB32" t="s">
        <v>1461</v>
      </c>
      <c r="AC32" s="128">
        <v>44268</v>
      </c>
      <c r="AD32" t="s">
        <v>349</v>
      </c>
      <c r="AE32" t="s">
        <v>1435</v>
      </c>
      <c r="AF32" t="s">
        <v>1116</v>
      </c>
      <c r="AG32" t="s">
        <v>0</v>
      </c>
      <c r="AH32">
        <v>1</v>
      </c>
      <c r="AI32" t="b">
        <v>0</v>
      </c>
      <c r="AK32" t="b">
        <v>0</v>
      </c>
      <c r="AM32" t="b">
        <v>0</v>
      </c>
      <c r="AN32" t="b">
        <v>0</v>
      </c>
      <c r="AO32" t="b">
        <v>0</v>
      </c>
      <c r="AP32" t="b">
        <v>0</v>
      </c>
      <c r="AQ32" t="b">
        <v>0</v>
      </c>
      <c r="AR32" t="b">
        <v>0</v>
      </c>
      <c r="AS32" t="b">
        <v>0</v>
      </c>
      <c r="AT32" t="s">
        <v>1463</v>
      </c>
      <c r="AU32">
        <v>9228291</v>
      </c>
      <c r="AV32" t="s">
        <v>730</v>
      </c>
      <c r="AW32" t="s">
        <v>951</v>
      </c>
      <c r="AX32" s="128">
        <v>44509</v>
      </c>
      <c r="AY32" t="s">
        <v>1101</v>
      </c>
      <c r="BD32" t="s">
        <v>30</v>
      </c>
      <c r="BE32">
        <v>8.49</v>
      </c>
      <c r="BF32" t="s">
        <v>573</v>
      </c>
      <c r="BG32" s="128">
        <v>44403</v>
      </c>
      <c r="BH32" t="b">
        <v>0</v>
      </c>
      <c r="BK32" t="s">
        <v>1382</v>
      </c>
      <c r="BL32" t="s">
        <v>1437</v>
      </c>
      <c r="BN32" t="s">
        <v>1438</v>
      </c>
      <c r="BO32" t="s">
        <v>1438</v>
      </c>
      <c r="BP32" t="s">
        <v>1439</v>
      </c>
      <c r="BQ32" t="s">
        <v>1440</v>
      </c>
      <c r="BS32" t="s">
        <v>1441</v>
      </c>
      <c r="BT32" t="s">
        <v>1442</v>
      </c>
      <c r="BU32" t="s">
        <v>1443</v>
      </c>
      <c r="CC32" s="128"/>
      <c r="CE32" s="128"/>
      <c r="CG32" s="128"/>
      <c r="CI32" s="128"/>
      <c r="CK32" s="128"/>
      <c r="CM32" s="128"/>
      <c r="CO32" s="128"/>
      <c r="CP32" t="s">
        <v>773</v>
      </c>
      <c r="CQ32" t="s">
        <v>1444</v>
      </c>
      <c r="CR32" t="s">
        <v>1445</v>
      </c>
      <c r="CS32">
        <v>5</v>
      </c>
      <c r="CT32" s="128">
        <v>44270</v>
      </c>
      <c r="CU32" t="s">
        <v>1435</v>
      </c>
      <c r="CV32" s="128"/>
    </row>
    <row r="33" spans="1:100" ht="409.5" x14ac:dyDescent="0.2">
      <c r="A33" t="s">
        <v>1465</v>
      </c>
      <c r="B33" s="128">
        <v>44253</v>
      </c>
      <c r="C33" t="s">
        <v>1464</v>
      </c>
      <c r="D33" t="s">
        <v>337</v>
      </c>
      <c r="E33" t="s">
        <v>1426</v>
      </c>
      <c r="F33" t="s">
        <v>1427</v>
      </c>
      <c r="G33" t="s">
        <v>370</v>
      </c>
      <c r="H33" t="s">
        <v>1428</v>
      </c>
      <c r="I33" t="s">
        <v>339</v>
      </c>
      <c r="J33" t="s">
        <v>1429</v>
      </c>
      <c r="K33" t="s">
        <v>756</v>
      </c>
      <c r="L33" t="s">
        <v>1466</v>
      </c>
      <c r="M33" t="s">
        <v>346</v>
      </c>
      <c r="N33" t="s">
        <v>1467</v>
      </c>
      <c r="O33" t="s">
        <v>1468</v>
      </c>
      <c r="Q33" s="128"/>
      <c r="R33" s="128"/>
      <c r="T33" s="128"/>
      <c r="U33">
        <v>0</v>
      </c>
      <c r="V33">
        <v>0</v>
      </c>
      <c r="W33" t="s">
        <v>262</v>
      </c>
      <c r="X33" s="99" t="s">
        <v>1469</v>
      </c>
      <c r="AA33" t="s">
        <v>2</v>
      </c>
      <c r="AB33" t="s">
        <v>1470</v>
      </c>
      <c r="AC33" s="128">
        <v>44253</v>
      </c>
      <c r="AD33" t="s">
        <v>349</v>
      </c>
      <c r="AE33" t="s">
        <v>1435</v>
      </c>
      <c r="AF33" t="s">
        <v>1116</v>
      </c>
      <c r="AG33" t="s">
        <v>0</v>
      </c>
      <c r="AH33">
        <v>1</v>
      </c>
      <c r="AI33" t="b">
        <v>0</v>
      </c>
      <c r="AK33" t="b">
        <v>0</v>
      </c>
      <c r="AM33" t="b">
        <v>0</v>
      </c>
      <c r="AN33" t="b">
        <v>0</v>
      </c>
      <c r="AO33" t="b">
        <v>0</v>
      </c>
      <c r="AP33" t="b">
        <v>0</v>
      </c>
      <c r="AQ33" t="b">
        <v>0</v>
      </c>
      <c r="AR33" t="b">
        <v>0</v>
      </c>
      <c r="AS33" t="b">
        <v>0</v>
      </c>
      <c r="AT33" t="s">
        <v>1472</v>
      </c>
      <c r="AU33">
        <v>9228291</v>
      </c>
      <c r="AV33" t="s">
        <v>730</v>
      </c>
      <c r="AW33" t="s">
        <v>951</v>
      </c>
      <c r="AX33" s="128">
        <v>44509</v>
      </c>
      <c r="AY33" t="s">
        <v>1101</v>
      </c>
      <c r="AZ33" t="s">
        <v>15</v>
      </c>
      <c r="BA33" t="s">
        <v>114</v>
      </c>
      <c r="BB33" t="s">
        <v>43</v>
      </c>
      <c r="BD33" t="s">
        <v>756</v>
      </c>
      <c r="BE33">
        <v>10.32</v>
      </c>
      <c r="BG33" s="128"/>
      <c r="BH33" t="b">
        <v>0</v>
      </c>
      <c r="BK33" t="s">
        <v>1382</v>
      </c>
      <c r="BL33" t="s">
        <v>1437</v>
      </c>
      <c r="BN33" t="s">
        <v>1438</v>
      </c>
      <c r="BO33" t="s">
        <v>1438</v>
      </c>
      <c r="BP33" t="s">
        <v>1439</v>
      </c>
      <c r="BQ33" t="s">
        <v>1440</v>
      </c>
      <c r="BS33" t="s">
        <v>1441</v>
      </c>
      <c r="BT33" t="s">
        <v>1442</v>
      </c>
      <c r="BU33" t="s">
        <v>1443</v>
      </c>
      <c r="CC33" s="128"/>
      <c r="CE33" s="128"/>
      <c r="CG33" s="128"/>
      <c r="CI33" s="128"/>
      <c r="CK33" s="128"/>
      <c r="CM33" s="128"/>
      <c r="CO33" s="128"/>
      <c r="CP33" t="s">
        <v>773</v>
      </c>
      <c r="CQ33" t="s">
        <v>1444</v>
      </c>
      <c r="CR33" t="s">
        <v>1445</v>
      </c>
      <c r="CS33">
        <v>10</v>
      </c>
      <c r="CT33" s="128">
        <v>44270</v>
      </c>
      <c r="CU33" t="s">
        <v>1435</v>
      </c>
      <c r="CV33" s="128"/>
    </row>
    <row r="34" spans="1:100" ht="409.5" x14ac:dyDescent="0.2">
      <c r="A34" t="s">
        <v>1474</v>
      </c>
      <c r="B34" s="128">
        <v>44253</v>
      </c>
      <c r="C34" t="s">
        <v>1473</v>
      </c>
      <c r="D34" t="s">
        <v>337</v>
      </c>
      <c r="E34" t="s">
        <v>1426</v>
      </c>
      <c r="F34" t="s">
        <v>1427</v>
      </c>
      <c r="G34" t="s">
        <v>370</v>
      </c>
      <c r="H34" t="s">
        <v>1428</v>
      </c>
      <c r="I34" t="s">
        <v>339</v>
      </c>
      <c r="J34" t="s">
        <v>1429</v>
      </c>
      <c r="K34" t="s">
        <v>757</v>
      </c>
      <c r="L34" t="s">
        <v>1475</v>
      </c>
      <c r="M34" t="s">
        <v>346</v>
      </c>
      <c r="N34" t="s">
        <v>1476</v>
      </c>
      <c r="O34" t="s">
        <v>1477</v>
      </c>
      <c r="Q34" s="128"/>
      <c r="R34" s="128"/>
      <c r="T34" s="128"/>
      <c r="U34">
        <v>0</v>
      </c>
      <c r="V34">
        <v>0</v>
      </c>
      <c r="W34" t="s">
        <v>262</v>
      </c>
      <c r="X34" s="99" t="s">
        <v>1478</v>
      </c>
      <c r="AA34" t="s">
        <v>1</v>
      </c>
      <c r="AB34" t="s">
        <v>1479</v>
      </c>
      <c r="AC34" s="128">
        <v>44284</v>
      </c>
      <c r="AD34" t="s">
        <v>349</v>
      </c>
      <c r="AE34" t="s">
        <v>1435</v>
      </c>
      <c r="AF34" t="s">
        <v>1116</v>
      </c>
      <c r="AG34" t="s">
        <v>0</v>
      </c>
      <c r="AH34">
        <v>1</v>
      </c>
      <c r="AI34" t="b">
        <v>0</v>
      </c>
      <c r="AK34" t="b">
        <v>0</v>
      </c>
      <c r="AM34" t="b">
        <v>0</v>
      </c>
      <c r="AN34" t="b">
        <v>0</v>
      </c>
      <c r="AO34" t="b">
        <v>0</v>
      </c>
      <c r="AP34" t="b">
        <v>0</v>
      </c>
      <c r="AQ34" t="b">
        <v>0</v>
      </c>
      <c r="AR34" t="b">
        <v>0</v>
      </c>
      <c r="AS34" t="b">
        <v>0</v>
      </c>
      <c r="AT34" t="s">
        <v>1481</v>
      </c>
      <c r="AU34">
        <v>9228291</v>
      </c>
      <c r="AV34" t="s">
        <v>730</v>
      </c>
      <c r="AW34" t="s">
        <v>951</v>
      </c>
      <c r="AX34" s="128">
        <v>44509</v>
      </c>
      <c r="AY34" t="s">
        <v>1101</v>
      </c>
      <c r="BD34" t="s">
        <v>757</v>
      </c>
      <c r="BE34">
        <v>11.4</v>
      </c>
      <c r="BG34" s="128"/>
      <c r="BH34" t="b">
        <v>0</v>
      </c>
      <c r="BK34" t="s">
        <v>1382</v>
      </c>
      <c r="BL34" t="s">
        <v>1437</v>
      </c>
      <c r="BN34" t="s">
        <v>1438</v>
      </c>
      <c r="BO34" t="s">
        <v>1438</v>
      </c>
      <c r="BP34" t="s">
        <v>1439</v>
      </c>
      <c r="BQ34" t="s">
        <v>1440</v>
      </c>
      <c r="BS34" t="s">
        <v>1441</v>
      </c>
      <c r="BT34" t="s">
        <v>1442</v>
      </c>
      <c r="BU34" t="s">
        <v>1443</v>
      </c>
      <c r="CC34" s="128"/>
      <c r="CE34" s="128"/>
      <c r="CG34" s="128"/>
      <c r="CI34" s="128"/>
      <c r="CK34" s="128"/>
      <c r="CM34" s="128"/>
      <c r="CO34" s="128"/>
      <c r="CP34" t="s">
        <v>773</v>
      </c>
      <c r="CQ34" t="s">
        <v>1444</v>
      </c>
      <c r="CR34" t="s">
        <v>1445</v>
      </c>
      <c r="CS34">
        <v>10</v>
      </c>
      <c r="CT34" s="128">
        <v>44270</v>
      </c>
      <c r="CU34" t="s">
        <v>1435</v>
      </c>
      <c r="CV34" s="128"/>
    </row>
    <row r="35" spans="1:100" x14ac:dyDescent="0.2">
      <c r="A35" t="s">
        <v>1483</v>
      </c>
      <c r="B35" s="128">
        <v>44287</v>
      </c>
      <c r="C35" t="s">
        <v>1482</v>
      </c>
      <c r="D35" t="s">
        <v>364</v>
      </c>
      <c r="E35" t="s">
        <v>1104</v>
      </c>
      <c r="F35" t="s">
        <v>1105</v>
      </c>
      <c r="G35" t="s">
        <v>390</v>
      </c>
      <c r="H35" t="s">
        <v>1356</v>
      </c>
      <c r="I35" t="s">
        <v>19</v>
      </c>
      <c r="J35" t="s">
        <v>1484</v>
      </c>
      <c r="K35" t="s">
        <v>148</v>
      </c>
      <c r="L35" t="s">
        <v>1485</v>
      </c>
      <c r="M35" t="s">
        <v>346</v>
      </c>
      <c r="N35" t="s">
        <v>1486</v>
      </c>
      <c r="O35" t="s">
        <v>1487</v>
      </c>
      <c r="P35" t="s">
        <v>1488</v>
      </c>
      <c r="Q35" s="128">
        <v>44287</v>
      </c>
      <c r="R35" s="128">
        <v>44377</v>
      </c>
      <c r="S35" t="s">
        <v>1489</v>
      </c>
      <c r="T35" s="128">
        <v>44350</v>
      </c>
      <c r="U35">
        <v>0</v>
      </c>
      <c r="V35">
        <v>0</v>
      </c>
      <c r="W35" t="s">
        <v>262</v>
      </c>
      <c r="X35" t="s">
        <v>1490</v>
      </c>
      <c r="AA35" t="s">
        <v>5</v>
      </c>
      <c r="AB35" t="s">
        <v>1491</v>
      </c>
      <c r="AC35" s="128">
        <v>44350</v>
      </c>
      <c r="AD35" t="s">
        <v>349</v>
      </c>
      <c r="AE35" t="s">
        <v>1115</v>
      </c>
      <c r="AF35" t="s">
        <v>1116</v>
      </c>
      <c r="AG35" t="s">
        <v>0</v>
      </c>
      <c r="AH35">
        <v>1</v>
      </c>
      <c r="AI35" t="b">
        <v>0</v>
      </c>
      <c r="AK35" t="b">
        <v>0</v>
      </c>
      <c r="AM35" t="b">
        <v>0</v>
      </c>
      <c r="AN35" t="b">
        <v>0</v>
      </c>
      <c r="AO35" t="b">
        <v>0</v>
      </c>
      <c r="AP35" t="b">
        <v>0</v>
      </c>
      <c r="AQ35" t="b">
        <v>0</v>
      </c>
      <c r="AR35" t="b">
        <v>0</v>
      </c>
      <c r="AS35" t="b">
        <v>0</v>
      </c>
      <c r="AT35" t="s">
        <v>1492</v>
      </c>
      <c r="AU35">
        <v>9228291</v>
      </c>
      <c r="AV35" t="s">
        <v>730</v>
      </c>
      <c r="AW35" t="s">
        <v>951</v>
      </c>
      <c r="AX35" s="128">
        <v>44509</v>
      </c>
      <c r="AY35" t="s">
        <v>1101</v>
      </c>
      <c r="AZ35" t="s">
        <v>19</v>
      </c>
      <c r="BA35" t="s">
        <v>148</v>
      </c>
      <c r="BB35" t="s">
        <v>43</v>
      </c>
      <c r="BD35" t="s">
        <v>756</v>
      </c>
      <c r="BG35" s="128"/>
      <c r="BH35" t="b">
        <v>0</v>
      </c>
      <c r="BK35" t="s">
        <v>1382</v>
      </c>
      <c r="CC35" s="128"/>
      <c r="CE35" s="128"/>
      <c r="CG35" s="128"/>
      <c r="CI35" s="128"/>
      <c r="CK35" s="128"/>
      <c r="CM35" s="128"/>
      <c r="CO35" s="128"/>
      <c r="CT35" s="128"/>
      <c r="CV35" s="128"/>
    </row>
    <row r="36" spans="1:100" x14ac:dyDescent="0.2">
      <c r="A36" t="s">
        <v>1494</v>
      </c>
      <c r="B36" s="128">
        <v>44336</v>
      </c>
      <c r="C36" t="s">
        <v>1493</v>
      </c>
      <c r="D36" t="s">
        <v>364</v>
      </c>
      <c r="E36" t="s">
        <v>1104</v>
      </c>
      <c r="F36" t="s">
        <v>1105</v>
      </c>
      <c r="G36" t="s">
        <v>390</v>
      </c>
      <c r="H36" t="s">
        <v>1356</v>
      </c>
      <c r="I36" t="s">
        <v>19</v>
      </c>
      <c r="J36" t="s">
        <v>1484</v>
      </c>
      <c r="K36" t="s">
        <v>149</v>
      </c>
      <c r="L36" t="s">
        <v>1495</v>
      </c>
      <c r="M36" t="s">
        <v>346</v>
      </c>
      <c r="N36" t="s">
        <v>1496</v>
      </c>
      <c r="O36" t="s">
        <v>1497</v>
      </c>
      <c r="P36" t="s">
        <v>1498</v>
      </c>
      <c r="Q36" s="128">
        <v>44336</v>
      </c>
      <c r="R36" s="128">
        <v>44426</v>
      </c>
      <c r="S36" t="s">
        <v>1499</v>
      </c>
      <c r="T36" s="128">
        <v>44349</v>
      </c>
      <c r="U36">
        <v>0</v>
      </c>
      <c r="V36">
        <v>0</v>
      </c>
      <c r="W36" t="s">
        <v>262</v>
      </c>
      <c r="X36" t="s">
        <v>1500</v>
      </c>
      <c r="AA36" t="s">
        <v>1</v>
      </c>
      <c r="AB36" t="s">
        <v>1501</v>
      </c>
      <c r="AC36" s="128">
        <v>44349</v>
      </c>
      <c r="AD36" t="s">
        <v>349</v>
      </c>
      <c r="AE36" t="s">
        <v>1115</v>
      </c>
      <c r="AF36" t="s">
        <v>1116</v>
      </c>
      <c r="AG36" t="s">
        <v>0</v>
      </c>
      <c r="AH36">
        <v>1</v>
      </c>
      <c r="AI36" t="b">
        <v>0</v>
      </c>
      <c r="AK36" t="b">
        <v>0</v>
      </c>
      <c r="AM36" t="b">
        <v>0</v>
      </c>
      <c r="AN36" t="b">
        <v>0</v>
      </c>
      <c r="AO36" t="b">
        <v>0</v>
      </c>
      <c r="AP36" t="b">
        <v>0</v>
      </c>
      <c r="AQ36" t="b">
        <v>0</v>
      </c>
      <c r="AR36" t="b">
        <v>0</v>
      </c>
      <c r="AS36" t="b">
        <v>0</v>
      </c>
      <c r="AT36" t="s">
        <v>1502</v>
      </c>
      <c r="AU36">
        <v>9228291</v>
      </c>
      <c r="AV36" t="s">
        <v>730</v>
      </c>
      <c r="AW36" t="s">
        <v>951</v>
      </c>
      <c r="AX36" s="128">
        <v>44509</v>
      </c>
      <c r="AY36" t="s">
        <v>1101</v>
      </c>
      <c r="AZ36" t="s">
        <v>19</v>
      </c>
      <c r="BA36" t="s">
        <v>149</v>
      </c>
      <c r="BB36" t="s">
        <v>43</v>
      </c>
      <c r="BD36" t="s">
        <v>756</v>
      </c>
      <c r="BG36" s="128"/>
      <c r="BH36" t="b">
        <v>0</v>
      </c>
      <c r="BK36" t="s">
        <v>1382</v>
      </c>
      <c r="CC36" s="128"/>
      <c r="CE36" s="128"/>
      <c r="CG36" s="128"/>
      <c r="CI36" s="128"/>
      <c r="CK36" s="128"/>
      <c r="CM36" s="128"/>
      <c r="CO36" s="128"/>
      <c r="CT36" s="128"/>
      <c r="CV36" s="128"/>
    </row>
    <row r="37" spans="1:100" x14ac:dyDescent="0.2">
      <c r="A37" t="s">
        <v>1504</v>
      </c>
      <c r="B37" s="128">
        <v>44332</v>
      </c>
      <c r="C37" t="s">
        <v>1503</v>
      </c>
      <c r="D37" t="s">
        <v>364</v>
      </c>
      <c r="E37" t="s">
        <v>1104</v>
      </c>
      <c r="F37" t="s">
        <v>1105</v>
      </c>
      <c r="G37" t="s">
        <v>390</v>
      </c>
      <c r="H37" t="s">
        <v>1356</v>
      </c>
      <c r="I37" t="s">
        <v>8</v>
      </c>
      <c r="J37" t="s">
        <v>1386</v>
      </c>
      <c r="K37" t="s">
        <v>75</v>
      </c>
      <c r="L37" t="s">
        <v>1387</v>
      </c>
      <c r="M37" t="s">
        <v>346</v>
      </c>
      <c r="N37" t="s">
        <v>1505</v>
      </c>
      <c r="O37" t="s">
        <v>1506</v>
      </c>
      <c r="P37" t="s">
        <v>1507</v>
      </c>
      <c r="Q37" s="128">
        <v>44332</v>
      </c>
      <c r="R37" s="128">
        <v>44422</v>
      </c>
      <c r="S37" t="s">
        <v>1508</v>
      </c>
      <c r="T37" s="128">
        <v>44373</v>
      </c>
      <c r="U37">
        <v>0</v>
      </c>
      <c r="V37">
        <v>0</v>
      </c>
      <c r="W37" t="s">
        <v>262</v>
      </c>
      <c r="X37" t="s">
        <v>1509</v>
      </c>
      <c r="AA37" t="s">
        <v>1</v>
      </c>
      <c r="AB37" t="s">
        <v>1510</v>
      </c>
      <c r="AC37" s="128">
        <v>44373</v>
      </c>
      <c r="AD37" t="s">
        <v>349</v>
      </c>
      <c r="AE37" t="s">
        <v>1115</v>
      </c>
      <c r="AF37" t="s">
        <v>1116</v>
      </c>
      <c r="AG37" t="s">
        <v>0</v>
      </c>
      <c r="AH37">
        <v>1</v>
      </c>
      <c r="AI37" t="b">
        <v>0</v>
      </c>
      <c r="AK37" t="b">
        <v>0</v>
      </c>
      <c r="AM37" t="b">
        <v>0</v>
      </c>
      <c r="AN37" t="b">
        <v>0</v>
      </c>
      <c r="AO37" t="b">
        <v>0</v>
      </c>
      <c r="AP37" t="b">
        <v>0</v>
      </c>
      <c r="AQ37" t="b">
        <v>0</v>
      </c>
      <c r="AR37" t="b">
        <v>0</v>
      </c>
      <c r="AS37" t="b">
        <v>0</v>
      </c>
      <c r="AT37" t="s">
        <v>1511</v>
      </c>
      <c r="AU37">
        <v>9228291</v>
      </c>
      <c r="AV37" t="s">
        <v>730</v>
      </c>
      <c r="AW37" t="s">
        <v>951</v>
      </c>
      <c r="AX37" s="128">
        <v>44509</v>
      </c>
      <c r="AY37" t="s">
        <v>1101</v>
      </c>
      <c r="AZ37" t="s">
        <v>8</v>
      </c>
      <c r="BA37" t="s">
        <v>75</v>
      </c>
      <c r="BB37" t="s">
        <v>44</v>
      </c>
      <c r="BD37" t="s">
        <v>755</v>
      </c>
      <c r="BG37" s="128"/>
      <c r="BH37" t="b">
        <v>0</v>
      </c>
      <c r="BK37" t="s">
        <v>1382</v>
      </c>
      <c r="CC37" s="128"/>
      <c r="CE37" s="128"/>
      <c r="CG37" s="128"/>
      <c r="CI37" s="128"/>
      <c r="CK37" s="128"/>
      <c r="CM37" s="128"/>
      <c r="CO37" s="128"/>
      <c r="CT37" s="128"/>
      <c r="CV37" s="128"/>
    </row>
    <row r="38" spans="1:100" x14ac:dyDescent="0.2">
      <c r="A38" t="s">
        <v>1513</v>
      </c>
      <c r="B38" s="128">
        <v>44350</v>
      </c>
      <c r="C38" t="s">
        <v>1512</v>
      </c>
      <c r="D38" t="s">
        <v>364</v>
      </c>
      <c r="E38" t="s">
        <v>1104</v>
      </c>
      <c r="F38" t="s">
        <v>1105</v>
      </c>
      <c r="G38" t="s">
        <v>390</v>
      </c>
      <c r="H38" t="s">
        <v>1356</v>
      </c>
      <c r="I38" t="s">
        <v>582</v>
      </c>
      <c r="J38" t="s">
        <v>1219</v>
      </c>
      <c r="K38" t="s">
        <v>69</v>
      </c>
      <c r="L38" t="s">
        <v>1220</v>
      </c>
      <c r="M38" t="s">
        <v>346</v>
      </c>
      <c r="N38" t="s">
        <v>1514</v>
      </c>
      <c r="O38" t="s">
        <v>1515</v>
      </c>
      <c r="P38" t="s">
        <v>1516</v>
      </c>
      <c r="Q38" s="128">
        <v>44355</v>
      </c>
      <c r="R38" s="128">
        <v>44440</v>
      </c>
      <c r="S38" t="s">
        <v>1517</v>
      </c>
      <c r="T38" s="128">
        <v>44394</v>
      </c>
      <c r="U38">
        <v>0</v>
      </c>
      <c r="V38">
        <v>0</v>
      </c>
      <c r="W38" t="s">
        <v>262</v>
      </c>
      <c r="X38" t="s">
        <v>1518</v>
      </c>
      <c r="AA38" t="s">
        <v>4</v>
      </c>
      <c r="AB38" t="s">
        <v>1519</v>
      </c>
      <c r="AC38" s="128">
        <v>44394</v>
      </c>
      <c r="AD38" t="s">
        <v>349</v>
      </c>
      <c r="AE38" t="s">
        <v>1115</v>
      </c>
      <c r="AF38" t="s">
        <v>1116</v>
      </c>
      <c r="AG38" t="s">
        <v>0</v>
      </c>
      <c r="AH38">
        <v>1</v>
      </c>
      <c r="AI38" t="b">
        <v>0</v>
      </c>
      <c r="AK38" t="b">
        <v>0</v>
      </c>
      <c r="AM38" t="b">
        <v>0</v>
      </c>
      <c r="AN38" t="b">
        <v>0</v>
      </c>
      <c r="AO38" t="b">
        <v>0</v>
      </c>
      <c r="AP38" t="b">
        <v>0</v>
      </c>
      <c r="AQ38" t="b">
        <v>0</v>
      </c>
      <c r="AR38" t="b">
        <v>0</v>
      </c>
      <c r="AS38" t="b">
        <v>0</v>
      </c>
      <c r="AT38" t="s">
        <v>1520</v>
      </c>
      <c r="AU38">
        <v>9228291</v>
      </c>
      <c r="AV38" t="s">
        <v>730</v>
      </c>
      <c r="AW38" t="s">
        <v>951</v>
      </c>
      <c r="AX38" s="128">
        <v>44509</v>
      </c>
      <c r="AY38" t="s">
        <v>1101</v>
      </c>
      <c r="AZ38" t="s">
        <v>582</v>
      </c>
      <c r="BA38" t="s">
        <v>69</v>
      </c>
      <c r="BB38" t="s">
        <v>40</v>
      </c>
      <c r="BD38" t="s">
        <v>30</v>
      </c>
      <c r="BG38" s="128"/>
      <c r="BH38" t="b">
        <v>0</v>
      </c>
      <c r="BK38" t="s">
        <v>1382</v>
      </c>
      <c r="CC38" s="128"/>
      <c r="CE38" s="128"/>
      <c r="CG38" s="128"/>
      <c r="CI38" s="128"/>
      <c r="CK38" s="128"/>
      <c r="CM38" s="128"/>
      <c r="CO38" s="128"/>
      <c r="CT38" s="128"/>
      <c r="CV38" s="128"/>
    </row>
    <row r="39" spans="1:100" ht="409.5" x14ac:dyDescent="0.2">
      <c r="A39" t="s">
        <v>1522</v>
      </c>
      <c r="B39" s="128">
        <v>44325</v>
      </c>
      <c r="C39" t="s">
        <v>1521</v>
      </c>
      <c r="D39" t="s">
        <v>364</v>
      </c>
      <c r="E39" t="s">
        <v>1104</v>
      </c>
      <c r="F39" t="s">
        <v>1105</v>
      </c>
      <c r="G39" t="s">
        <v>390</v>
      </c>
      <c r="H39" t="s">
        <v>1523</v>
      </c>
      <c r="I39" t="s">
        <v>582</v>
      </c>
      <c r="J39" t="s">
        <v>1219</v>
      </c>
      <c r="K39" t="s">
        <v>175</v>
      </c>
      <c r="L39" t="s">
        <v>1524</v>
      </c>
      <c r="M39" t="s">
        <v>346</v>
      </c>
      <c r="N39" t="s">
        <v>1525</v>
      </c>
      <c r="O39" t="s">
        <v>1526</v>
      </c>
      <c r="P39" t="s">
        <v>1527</v>
      </c>
      <c r="Q39" s="128">
        <v>44327</v>
      </c>
      <c r="R39" s="128">
        <v>44415</v>
      </c>
      <c r="S39" t="s">
        <v>1528</v>
      </c>
      <c r="T39" s="128">
        <v>44404</v>
      </c>
      <c r="U39">
        <v>0</v>
      </c>
      <c r="V39">
        <v>0</v>
      </c>
      <c r="W39" t="s">
        <v>262</v>
      </c>
      <c r="X39" s="99" t="s">
        <v>1529</v>
      </c>
      <c r="AA39" t="s">
        <v>2</v>
      </c>
      <c r="AB39" t="s">
        <v>1530</v>
      </c>
      <c r="AC39" s="128">
        <v>44404</v>
      </c>
      <c r="AD39" t="s">
        <v>349</v>
      </c>
      <c r="AE39" t="s">
        <v>1115</v>
      </c>
      <c r="AF39" t="s">
        <v>1116</v>
      </c>
      <c r="AG39" t="s">
        <v>0</v>
      </c>
      <c r="AH39">
        <v>1</v>
      </c>
      <c r="AI39" t="b">
        <v>0</v>
      </c>
      <c r="AK39" t="b">
        <v>0</v>
      </c>
      <c r="AM39" t="b">
        <v>0</v>
      </c>
      <c r="AN39" t="b">
        <v>0</v>
      </c>
      <c r="AO39" t="b">
        <v>0</v>
      </c>
      <c r="AP39" t="b">
        <v>0</v>
      </c>
      <c r="AQ39" t="b">
        <v>0</v>
      </c>
      <c r="AR39" t="b">
        <v>0</v>
      </c>
      <c r="AS39" t="b">
        <v>0</v>
      </c>
      <c r="AT39" t="s">
        <v>1531</v>
      </c>
      <c r="AU39">
        <v>9228291</v>
      </c>
      <c r="AV39" t="s">
        <v>730</v>
      </c>
      <c r="AW39" t="s">
        <v>951</v>
      </c>
      <c r="AX39" s="128">
        <v>44509</v>
      </c>
      <c r="AY39" t="s">
        <v>1101</v>
      </c>
      <c r="AZ39" t="s">
        <v>582</v>
      </c>
      <c r="BA39" t="s">
        <v>175</v>
      </c>
      <c r="BB39" t="s">
        <v>40</v>
      </c>
      <c r="BD39" t="s">
        <v>30</v>
      </c>
      <c r="BG39" s="128"/>
      <c r="BH39" t="b">
        <v>0</v>
      </c>
      <c r="BK39" t="s">
        <v>1382</v>
      </c>
      <c r="CC39" s="128"/>
      <c r="CE39" s="128"/>
      <c r="CG39" s="128"/>
      <c r="CI39" s="128"/>
      <c r="CK39" s="128"/>
      <c r="CM39" s="128"/>
      <c r="CO39" s="128"/>
      <c r="CT39" s="128"/>
      <c r="CV39" s="128"/>
    </row>
    <row r="40" spans="1:100" ht="409.5" x14ac:dyDescent="0.2">
      <c r="A40" t="s">
        <v>1533</v>
      </c>
      <c r="B40" s="128">
        <v>44383</v>
      </c>
      <c r="C40" t="s">
        <v>1532</v>
      </c>
      <c r="D40" t="s">
        <v>364</v>
      </c>
      <c r="E40" t="s">
        <v>1104</v>
      </c>
      <c r="F40" t="s">
        <v>1105</v>
      </c>
      <c r="G40" t="s">
        <v>390</v>
      </c>
      <c r="H40" t="s">
        <v>1356</v>
      </c>
      <c r="I40" t="s">
        <v>16</v>
      </c>
      <c r="J40" t="s">
        <v>1534</v>
      </c>
      <c r="K40" t="s">
        <v>117</v>
      </c>
      <c r="L40" t="s">
        <v>1535</v>
      </c>
      <c r="M40" t="s">
        <v>346</v>
      </c>
      <c r="N40" t="s">
        <v>1536</v>
      </c>
      <c r="O40" t="s">
        <v>1537</v>
      </c>
      <c r="P40" t="s">
        <v>1538</v>
      </c>
      <c r="Q40" s="128">
        <v>44383</v>
      </c>
      <c r="R40" s="128">
        <v>44473</v>
      </c>
      <c r="S40" t="s">
        <v>1539</v>
      </c>
      <c r="T40" s="128">
        <v>44420</v>
      </c>
      <c r="U40">
        <v>0</v>
      </c>
      <c r="V40">
        <v>0</v>
      </c>
      <c r="W40" t="s">
        <v>262</v>
      </c>
      <c r="X40" s="99" t="s">
        <v>1540</v>
      </c>
      <c r="AA40" t="s">
        <v>1</v>
      </c>
      <c r="AB40" t="s">
        <v>1541</v>
      </c>
      <c r="AC40" s="128">
        <v>44420</v>
      </c>
      <c r="AD40" t="s">
        <v>349</v>
      </c>
      <c r="AE40" t="s">
        <v>1115</v>
      </c>
      <c r="AF40" t="s">
        <v>1116</v>
      </c>
      <c r="AG40" t="s">
        <v>0</v>
      </c>
      <c r="AH40">
        <v>1</v>
      </c>
      <c r="AI40" t="b">
        <v>0</v>
      </c>
      <c r="AK40" t="b">
        <v>0</v>
      </c>
      <c r="AM40" t="b">
        <v>0</v>
      </c>
      <c r="AN40" t="b">
        <v>0</v>
      </c>
      <c r="AO40" t="b">
        <v>0</v>
      </c>
      <c r="AP40" t="b">
        <v>0</v>
      </c>
      <c r="AQ40" t="b">
        <v>0</v>
      </c>
      <c r="AR40" t="b">
        <v>0</v>
      </c>
      <c r="AS40" t="b">
        <v>0</v>
      </c>
      <c r="AT40" t="s">
        <v>1542</v>
      </c>
      <c r="AU40">
        <v>9228291</v>
      </c>
      <c r="AV40" t="s">
        <v>730</v>
      </c>
      <c r="AW40" t="s">
        <v>951</v>
      </c>
      <c r="AX40" s="128">
        <v>44509</v>
      </c>
      <c r="AY40" t="s">
        <v>1101</v>
      </c>
      <c r="AZ40" t="s">
        <v>16</v>
      </c>
      <c r="BA40" t="s">
        <v>117</v>
      </c>
      <c r="BB40" t="s">
        <v>168</v>
      </c>
      <c r="BD40" t="s">
        <v>757</v>
      </c>
      <c r="BG40" s="128"/>
      <c r="BH40" t="b">
        <v>0</v>
      </c>
      <c r="BK40" t="s">
        <v>1382</v>
      </c>
      <c r="CC40" s="128"/>
      <c r="CE40" s="128"/>
      <c r="CG40" s="128"/>
      <c r="CI40" s="128"/>
      <c r="CK40" s="128"/>
      <c r="CM40" s="128"/>
      <c r="CO40" s="128"/>
      <c r="CT40" s="128"/>
      <c r="CV40" s="128"/>
    </row>
    <row r="41" spans="1:100" x14ac:dyDescent="0.2">
      <c r="A41" t="s">
        <v>1544</v>
      </c>
      <c r="B41" s="128">
        <v>44309</v>
      </c>
      <c r="C41" t="s">
        <v>1543</v>
      </c>
      <c r="D41" t="s">
        <v>364</v>
      </c>
      <c r="E41" t="s">
        <v>1104</v>
      </c>
      <c r="F41" t="s">
        <v>1105</v>
      </c>
      <c r="G41" t="s">
        <v>390</v>
      </c>
      <c r="H41" t="s">
        <v>1356</v>
      </c>
      <c r="I41" t="s">
        <v>582</v>
      </c>
      <c r="J41" t="s">
        <v>1219</v>
      </c>
      <c r="K41" t="s">
        <v>65</v>
      </c>
      <c r="L41" t="s">
        <v>1545</v>
      </c>
      <c r="M41" t="s">
        <v>346</v>
      </c>
      <c r="N41" t="s">
        <v>1546</v>
      </c>
      <c r="O41" t="s">
        <v>1547</v>
      </c>
      <c r="P41" t="s">
        <v>1548</v>
      </c>
      <c r="Q41" s="128">
        <v>44309</v>
      </c>
      <c r="R41" s="128">
        <v>44399</v>
      </c>
      <c r="S41" t="s">
        <v>1549</v>
      </c>
      <c r="T41" s="128">
        <v>44314</v>
      </c>
      <c r="U41">
        <v>0</v>
      </c>
      <c r="V41">
        <v>0</v>
      </c>
      <c r="W41" t="s">
        <v>262</v>
      </c>
      <c r="X41" t="s">
        <v>1550</v>
      </c>
      <c r="AA41" t="s">
        <v>4</v>
      </c>
      <c r="AB41" t="s">
        <v>1551</v>
      </c>
      <c r="AC41" s="128">
        <v>44314</v>
      </c>
      <c r="AD41" t="s">
        <v>349</v>
      </c>
      <c r="AE41" t="s">
        <v>1115</v>
      </c>
      <c r="AF41" t="s">
        <v>1116</v>
      </c>
      <c r="AG41" t="s">
        <v>0</v>
      </c>
      <c r="AH41">
        <v>1</v>
      </c>
      <c r="AI41" t="b">
        <v>0</v>
      </c>
      <c r="AK41" t="b">
        <v>0</v>
      </c>
      <c r="AM41" t="b">
        <v>0</v>
      </c>
      <c r="AN41" t="b">
        <v>0</v>
      </c>
      <c r="AO41" t="b">
        <v>0</v>
      </c>
      <c r="AP41" t="b">
        <v>0</v>
      </c>
      <c r="AQ41" t="b">
        <v>0</v>
      </c>
      <c r="AR41" t="b">
        <v>0</v>
      </c>
      <c r="AS41" t="b">
        <v>0</v>
      </c>
      <c r="AT41" t="s">
        <v>1552</v>
      </c>
      <c r="AU41">
        <v>9228291</v>
      </c>
      <c r="AV41" t="s">
        <v>730</v>
      </c>
      <c r="AW41" t="s">
        <v>951</v>
      </c>
      <c r="AX41" s="128">
        <v>44509</v>
      </c>
      <c r="AY41" t="s">
        <v>1101</v>
      </c>
      <c r="AZ41" t="s">
        <v>582</v>
      </c>
      <c r="BA41" t="s">
        <v>65</v>
      </c>
      <c r="BB41" t="s">
        <v>40</v>
      </c>
      <c r="BD41" t="s">
        <v>30</v>
      </c>
      <c r="BG41" s="128"/>
      <c r="BH41" t="b">
        <v>0</v>
      </c>
      <c r="BK41" t="s">
        <v>1382</v>
      </c>
      <c r="CC41" s="128"/>
      <c r="CE41" s="128"/>
      <c r="CG41" s="128"/>
      <c r="CI41" s="128"/>
      <c r="CK41" s="128"/>
      <c r="CM41" s="128"/>
      <c r="CO41" s="128"/>
      <c r="CT41" s="128"/>
      <c r="CV41" s="128"/>
    </row>
    <row r="42" spans="1:100" ht="130" x14ac:dyDescent="0.2">
      <c r="A42" t="s">
        <v>1554</v>
      </c>
      <c r="B42" s="128">
        <v>44318</v>
      </c>
      <c r="C42" t="s">
        <v>1553</v>
      </c>
      <c r="D42" t="s">
        <v>364</v>
      </c>
      <c r="E42" t="s">
        <v>1104</v>
      </c>
      <c r="F42" t="s">
        <v>1105</v>
      </c>
      <c r="G42" t="s">
        <v>390</v>
      </c>
      <c r="H42" t="s">
        <v>1356</v>
      </c>
      <c r="I42" t="s">
        <v>582</v>
      </c>
      <c r="J42" t="s">
        <v>1219</v>
      </c>
      <c r="K42" t="s">
        <v>65</v>
      </c>
      <c r="L42" t="s">
        <v>1545</v>
      </c>
      <c r="M42" t="s">
        <v>346</v>
      </c>
      <c r="N42" t="s">
        <v>1555</v>
      </c>
      <c r="O42" t="s">
        <v>1547</v>
      </c>
      <c r="P42" s="99" t="s">
        <v>1556</v>
      </c>
      <c r="Q42" s="128">
        <v>44318</v>
      </c>
      <c r="R42" s="128">
        <v>44408</v>
      </c>
      <c r="S42" t="s">
        <v>1549</v>
      </c>
      <c r="T42" s="128">
        <v>44326</v>
      </c>
      <c r="U42">
        <v>0</v>
      </c>
      <c r="V42">
        <v>0</v>
      </c>
      <c r="W42" t="s">
        <v>262</v>
      </c>
      <c r="X42" t="s">
        <v>1557</v>
      </c>
      <c r="AA42" t="s">
        <v>4</v>
      </c>
      <c r="AB42" t="s">
        <v>1551</v>
      </c>
      <c r="AC42" s="128">
        <v>44326</v>
      </c>
      <c r="AD42" t="s">
        <v>349</v>
      </c>
      <c r="AE42" t="s">
        <v>1115</v>
      </c>
      <c r="AF42" t="s">
        <v>1116</v>
      </c>
      <c r="AG42" t="s">
        <v>0</v>
      </c>
      <c r="AH42">
        <v>1</v>
      </c>
      <c r="AI42" t="b">
        <v>0</v>
      </c>
      <c r="AK42" t="b">
        <v>0</v>
      </c>
      <c r="AM42" t="b">
        <v>0</v>
      </c>
      <c r="AN42" t="b">
        <v>0</v>
      </c>
      <c r="AO42" t="b">
        <v>0</v>
      </c>
      <c r="AP42" t="b">
        <v>0</v>
      </c>
      <c r="AQ42" t="b">
        <v>0</v>
      </c>
      <c r="AR42" t="b">
        <v>0</v>
      </c>
      <c r="AS42" t="b">
        <v>0</v>
      </c>
      <c r="AT42" t="s">
        <v>1558</v>
      </c>
      <c r="AU42">
        <v>9228291</v>
      </c>
      <c r="AV42" t="s">
        <v>730</v>
      </c>
      <c r="AW42" t="s">
        <v>951</v>
      </c>
      <c r="AX42" s="128">
        <v>44509</v>
      </c>
      <c r="AY42" t="s">
        <v>1101</v>
      </c>
      <c r="AZ42" t="s">
        <v>582</v>
      </c>
      <c r="BA42" t="s">
        <v>65</v>
      </c>
      <c r="BB42" t="s">
        <v>40</v>
      </c>
      <c r="BD42" t="s">
        <v>30</v>
      </c>
      <c r="BG42" s="128"/>
      <c r="BH42" t="b">
        <v>0</v>
      </c>
      <c r="BK42" t="s">
        <v>1382</v>
      </c>
      <c r="CC42" s="128"/>
      <c r="CE42" s="128"/>
      <c r="CG42" s="128"/>
      <c r="CI42" s="128"/>
      <c r="CK42" s="128"/>
      <c r="CM42" s="128"/>
      <c r="CO42" s="128"/>
      <c r="CT42" s="128"/>
      <c r="CV42" s="128"/>
    </row>
    <row r="43" spans="1:100" x14ac:dyDescent="0.2">
      <c r="A43" t="s">
        <v>1560</v>
      </c>
      <c r="B43" s="128">
        <v>44318</v>
      </c>
      <c r="C43" t="s">
        <v>1559</v>
      </c>
      <c r="D43" t="s">
        <v>364</v>
      </c>
      <c r="E43" t="s">
        <v>1104</v>
      </c>
      <c r="F43" t="s">
        <v>1105</v>
      </c>
      <c r="G43" t="s">
        <v>390</v>
      </c>
      <c r="H43" t="s">
        <v>1356</v>
      </c>
      <c r="I43" t="s">
        <v>582</v>
      </c>
      <c r="J43" t="s">
        <v>1219</v>
      </c>
      <c r="K43" t="s">
        <v>65</v>
      </c>
      <c r="L43" t="s">
        <v>1545</v>
      </c>
      <c r="M43" t="s">
        <v>346</v>
      </c>
      <c r="N43" t="s">
        <v>1561</v>
      </c>
      <c r="O43" t="s">
        <v>1547</v>
      </c>
      <c r="P43" t="s">
        <v>1548</v>
      </c>
      <c r="Q43" s="128">
        <v>44318</v>
      </c>
      <c r="R43" s="128">
        <v>44408</v>
      </c>
      <c r="S43" t="s">
        <v>1549</v>
      </c>
      <c r="T43" s="128">
        <v>44327</v>
      </c>
      <c r="U43">
        <v>0</v>
      </c>
      <c r="V43">
        <v>0</v>
      </c>
      <c r="W43" t="s">
        <v>262</v>
      </c>
      <c r="X43" t="s">
        <v>1562</v>
      </c>
      <c r="AA43" t="s">
        <v>4</v>
      </c>
      <c r="AB43" t="s">
        <v>1551</v>
      </c>
      <c r="AC43" s="128">
        <v>44327</v>
      </c>
      <c r="AD43" t="s">
        <v>349</v>
      </c>
      <c r="AE43" t="s">
        <v>1115</v>
      </c>
      <c r="AF43" t="s">
        <v>1116</v>
      </c>
      <c r="AG43" t="s">
        <v>0</v>
      </c>
      <c r="AH43">
        <v>1</v>
      </c>
      <c r="AI43" t="b">
        <v>0</v>
      </c>
      <c r="AK43" t="b">
        <v>0</v>
      </c>
      <c r="AM43" t="b">
        <v>0</v>
      </c>
      <c r="AN43" t="b">
        <v>0</v>
      </c>
      <c r="AO43" t="b">
        <v>0</v>
      </c>
      <c r="AP43" t="b">
        <v>0</v>
      </c>
      <c r="AQ43" t="b">
        <v>0</v>
      </c>
      <c r="AR43" t="b">
        <v>0</v>
      </c>
      <c r="AS43" t="b">
        <v>0</v>
      </c>
      <c r="AT43" t="s">
        <v>1563</v>
      </c>
      <c r="AU43">
        <v>9228291</v>
      </c>
      <c r="AV43" t="s">
        <v>730</v>
      </c>
      <c r="AW43" t="s">
        <v>951</v>
      </c>
      <c r="AX43" s="128">
        <v>44509</v>
      </c>
      <c r="AY43" t="s">
        <v>1101</v>
      </c>
      <c r="AZ43" t="s">
        <v>582</v>
      </c>
      <c r="BA43" t="s">
        <v>65</v>
      </c>
      <c r="BB43" t="s">
        <v>40</v>
      </c>
      <c r="BD43" t="s">
        <v>30</v>
      </c>
      <c r="BG43" s="128"/>
      <c r="BH43" t="b">
        <v>0</v>
      </c>
      <c r="BK43" t="s">
        <v>1382</v>
      </c>
      <c r="CC43" s="128"/>
      <c r="CE43" s="128"/>
      <c r="CG43" s="128"/>
      <c r="CI43" s="128"/>
      <c r="CK43" s="128"/>
      <c r="CM43" s="128"/>
      <c r="CO43" s="128"/>
      <c r="CT43" s="128"/>
      <c r="CV43" s="128"/>
    </row>
    <row r="44" spans="1:100" x14ac:dyDescent="0.2">
      <c r="A44" t="s">
        <v>1565</v>
      </c>
      <c r="B44" s="128">
        <v>44318</v>
      </c>
      <c r="C44" t="s">
        <v>1564</v>
      </c>
      <c r="D44" t="s">
        <v>364</v>
      </c>
      <c r="E44" t="s">
        <v>1104</v>
      </c>
      <c r="F44" t="s">
        <v>1105</v>
      </c>
      <c r="G44" t="s">
        <v>390</v>
      </c>
      <c r="H44" t="s">
        <v>1356</v>
      </c>
      <c r="I44" t="s">
        <v>582</v>
      </c>
      <c r="J44" t="s">
        <v>1219</v>
      </c>
      <c r="K44" t="s">
        <v>65</v>
      </c>
      <c r="L44" t="s">
        <v>1545</v>
      </c>
      <c r="M44" t="s">
        <v>346</v>
      </c>
      <c r="N44" t="s">
        <v>1566</v>
      </c>
      <c r="O44" t="s">
        <v>1547</v>
      </c>
      <c r="P44" t="s">
        <v>1548</v>
      </c>
      <c r="Q44" s="128">
        <v>44318</v>
      </c>
      <c r="R44" s="128">
        <v>44408</v>
      </c>
      <c r="S44" t="s">
        <v>1549</v>
      </c>
      <c r="T44" s="128">
        <v>44328</v>
      </c>
      <c r="U44">
        <v>0</v>
      </c>
      <c r="V44">
        <v>0</v>
      </c>
      <c r="W44" t="s">
        <v>262</v>
      </c>
      <c r="X44" t="s">
        <v>1562</v>
      </c>
      <c r="AA44" t="s">
        <v>4</v>
      </c>
      <c r="AB44" t="s">
        <v>1551</v>
      </c>
      <c r="AC44" s="128">
        <v>44328</v>
      </c>
      <c r="AD44" t="s">
        <v>349</v>
      </c>
      <c r="AE44" t="s">
        <v>1115</v>
      </c>
      <c r="AF44" t="s">
        <v>1116</v>
      </c>
      <c r="AG44" t="s">
        <v>0</v>
      </c>
      <c r="AH44">
        <v>1</v>
      </c>
      <c r="AI44" t="b">
        <v>0</v>
      </c>
      <c r="AK44" t="b">
        <v>0</v>
      </c>
      <c r="AM44" t="b">
        <v>0</v>
      </c>
      <c r="AN44" t="b">
        <v>0</v>
      </c>
      <c r="AO44" t="b">
        <v>0</v>
      </c>
      <c r="AP44" t="b">
        <v>0</v>
      </c>
      <c r="AQ44" t="b">
        <v>0</v>
      </c>
      <c r="AR44" t="b">
        <v>0</v>
      </c>
      <c r="AS44" t="b">
        <v>0</v>
      </c>
      <c r="AT44" t="s">
        <v>1567</v>
      </c>
      <c r="AU44">
        <v>9228291</v>
      </c>
      <c r="AV44" t="s">
        <v>730</v>
      </c>
      <c r="AW44" t="s">
        <v>951</v>
      </c>
      <c r="AX44" s="128">
        <v>44509</v>
      </c>
      <c r="AY44" t="s">
        <v>1101</v>
      </c>
      <c r="AZ44" t="s">
        <v>582</v>
      </c>
      <c r="BA44" t="s">
        <v>65</v>
      </c>
      <c r="BB44" t="s">
        <v>40</v>
      </c>
      <c r="BD44" t="s">
        <v>576</v>
      </c>
      <c r="BG44" s="128"/>
      <c r="BH44" t="b">
        <v>0</v>
      </c>
      <c r="BK44" t="s">
        <v>1382</v>
      </c>
      <c r="CC44" s="128"/>
      <c r="CE44" s="128"/>
      <c r="CG44" s="128"/>
      <c r="CI44" s="128"/>
      <c r="CK44" s="128"/>
      <c r="CM44" s="128"/>
      <c r="CO44" s="128"/>
      <c r="CT44" s="128"/>
      <c r="CV44" s="128"/>
    </row>
    <row r="45" spans="1:100" x14ac:dyDescent="0.2">
      <c r="A45" t="s">
        <v>1569</v>
      </c>
      <c r="B45" s="128">
        <v>44351</v>
      </c>
      <c r="C45" t="s">
        <v>1568</v>
      </c>
      <c r="D45" t="s">
        <v>364</v>
      </c>
      <c r="E45" t="s">
        <v>1104</v>
      </c>
      <c r="F45" t="s">
        <v>1105</v>
      </c>
      <c r="G45" t="s">
        <v>390</v>
      </c>
      <c r="H45" t="s">
        <v>1356</v>
      </c>
      <c r="I45" t="s">
        <v>582</v>
      </c>
      <c r="J45" t="s">
        <v>1219</v>
      </c>
      <c r="K45" t="s">
        <v>65</v>
      </c>
      <c r="L45" t="s">
        <v>1545</v>
      </c>
      <c r="M45" t="s">
        <v>346</v>
      </c>
      <c r="N45" t="s">
        <v>1570</v>
      </c>
      <c r="O45" t="s">
        <v>1547</v>
      </c>
      <c r="P45" t="s">
        <v>1548</v>
      </c>
      <c r="Q45" s="128">
        <v>44351</v>
      </c>
      <c r="R45" s="128">
        <v>44441</v>
      </c>
      <c r="S45" t="s">
        <v>1549</v>
      </c>
      <c r="T45" s="128">
        <v>44354</v>
      </c>
      <c r="U45">
        <v>0</v>
      </c>
      <c r="V45">
        <v>0</v>
      </c>
      <c r="W45" t="s">
        <v>262</v>
      </c>
      <c r="X45" t="s">
        <v>1571</v>
      </c>
      <c r="AA45" t="s">
        <v>4</v>
      </c>
      <c r="AB45" t="s">
        <v>1551</v>
      </c>
      <c r="AC45" s="128">
        <v>44354</v>
      </c>
      <c r="AD45" t="s">
        <v>349</v>
      </c>
      <c r="AE45" t="s">
        <v>1115</v>
      </c>
      <c r="AF45" t="s">
        <v>1116</v>
      </c>
      <c r="AG45" t="s">
        <v>0</v>
      </c>
      <c r="AH45">
        <v>1</v>
      </c>
      <c r="AI45" t="b">
        <v>0</v>
      </c>
      <c r="AK45" t="b">
        <v>0</v>
      </c>
      <c r="AM45" t="b">
        <v>0</v>
      </c>
      <c r="AN45" t="b">
        <v>0</v>
      </c>
      <c r="AO45" t="b">
        <v>0</v>
      </c>
      <c r="AP45" t="b">
        <v>0</v>
      </c>
      <c r="AQ45" t="b">
        <v>0</v>
      </c>
      <c r="AR45" t="b">
        <v>0</v>
      </c>
      <c r="AS45" t="b">
        <v>0</v>
      </c>
      <c r="AT45" t="s">
        <v>1572</v>
      </c>
      <c r="AU45">
        <v>9228291</v>
      </c>
      <c r="AV45" t="s">
        <v>730</v>
      </c>
      <c r="AW45" t="s">
        <v>951</v>
      </c>
      <c r="AX45" s="128">
        <v>44509</v>
      </c>
      <c r="AY45" t="s">
        <v>1101</v>
      </c>
      <c r="AZ45" t="s">
        <v>582</v>
      </c>
      <c r="BA45" t="s">
        <v>65</v>
      </c>
      <c r="BB45" t="s">
        <v>40</v>
      </c>
      <c r="BD45" t="s">
        <v>30</v>
      </c>
      <c r="BG45" s="128"/>
      <c r="BH45" t="b">
        <v>0</v>
      </c>
      <c r="BK45" t="s">
        <v>1382</v>
      </c>
      <c r="CC45" s="128"/>
      <c r="CE45" s="128"/>
      <c r="CG45" s="128"/>
      <c r="CI45" s="128"/>
      <c r="CK45" s="128"/>
      <c r="CM45" s="128"/>
      <c r="CO45" s="128"/>
      <c r="CT45" s="128"/>
      <c r="CV45" s="128"/>
    </row>
    <row r="46" spans="1:100" x14ac:dyDescent="0.2">
      <c r="A46" t="s">
        <v>1574</v>
      </c>
      <c r="B46" s="128">
        <v>44351</v>
      </c>
      <c r="C46" t="s">
        <v>1573</v>
      </c>
      <c r="D46" t="s">
        <v>364</v>
      </c>
      <c r="E46" t="s">
        <v>1104</v>
      </c>
      <c r="F46" t="s">
        <v>1105</v>
      </c>
      <c r="G46" t="s">
        <v>390</v>
      </c>
      <c r="H46" t="s">
        <v>1356</v>
      </c>
      <c r="I46" t="s">
        <v>582</v>
      </c>
      <c r="J46" t="s">
        <v>1219</v>
      </c>
      <c r="K46" t="s">
        <v>65</v>
      </c>
      <c r="L46" t="s">
        <v>1545</v>
      </c>
      <c r="M46" t="s">
        <v>346</v>
      </c>
      <c r="N46" t="s">
        <v>1575</v>
      </c>
      <c r="O46" t="s">
        <v>1547</v>
      </c>
      <c r="P46" t="s">
        <v>1548</v>
      </c>
      <c r="Q46" s="128">
        <v>44351</v>
      </c>
      <c r="R46" s="128">
        <v>44441</v>
      </c>
      <c r="S46" t="s">
        <v>1549</v>
      </c>
      <c r="T46" s="128">
        <v>44355</v>
      </c>
      <c r="U46">
        <v>0</v>
      </c>
      <c r="V46">
        <v>0</v>
      </c>
      <c r="W46" t="s">
        <v>262</v>
      </c>
      <c r="X46" t="s">
        <v>1571</v>
      </c>
      <c r="AA46" t="s">
        <v>4</v>
      </c>
      <c r="AB46" t="s">
        <v>1551</v>
      </c>
      <c r="AC46" s="128">
        <v>44355</v>
      </c>
      <c r="AD46" t="s">
        <v>349</v>
      </c>
      <c r="AE46" t="s">
        <v>1115</v>
      </c>
      <c r="AF46" t="s">
        <v>1116</v>
      </c>
      <c r="AG46" t="s">
        <v>0</v>
      </c>
      <c r="AH46">
        <v>1</v>
      </c>
      <c r="AI46" t="b">
        <v>0</v>
      </c>
      <c r="AK46" t="b">
        <v>0</v>
      </c>
      <c r="AM46" t="b">
        <v>0</v>
      </c>
      <c r="AN46" t="b">
        <v>0</v>
      </c>
      <c r="AO46" t="b">
        <v>0</v>
      </c>
      <c r="AP46" t="b">
        <v>0</v>
      </c>
      <c r="AQ46" t="b">
        <v>0</v>
      </c>
      <c r="AR46" t="b">
        <v>0</v>
      </c>
      <c r="AS46" t="b">
        <v>0</v>
      </c>
      <c r="AT46" t="s">
        <v>1576</v>
      </c>
      <c r="AU46">
        <v>9228291</v>
      </c>
      <c r="AV46" t="s">
        <v>730</v>
      </c>
      <c r="AW46" t="s">
        <v>951</v>
      </c>
      <c r="AX46" s="128">
        <v>44509</v>
      </c>
      <c r="AY46" t="s">
        <v>1101</v>
      </c>
      <c r="AZ46" t="s">
        <v>582</v>
      </c>
      <c r="BA46" t="s">
        <v>65</v>
      </c>
      <c r="BB46" t="s">
        <v>40</v>
      </c>
      <c r="BD46" t="s">
        <v>30</v>
      </c>
      <c r="BG46" s="128"/>
      <c r="BH46" t="b">
        <v>0</v>
      </c>
      <c r="BK46" t="s">
        <v>1382</v>
      </c>
      <c r="CC46" s="128"/>
      <c r="CE46" s="128"/>
      <c r="CG46" s="128"/>
      <c r="CI46" s="128"/>
      <c r="CK46" s="128"/>
      <c r="CM46" s="128"/>
      <c r="CO46" s="128"/>
      <c r="CT46" s="128"/>
      <c r="CV46" s="128"/>
    </row>
    <row r="47" spans="1:100" x14ac:dyDescent="0.2">
      <c r="A47" t="s">
        <v>1578</v>
      </c>
      <c r="B47" s="128">
        <v>44351</v>
      </c>
      <c r="C47" t="s">
        <v>1577</v>
      </c>
      <c r="D47" t="s">
        <v>364</v>
      </c>
      <c r="E47" t="s">
        <v>1104</v>
      </c>
      <c r="F47" t="s">
        <v>1105</v>
      </c>
      <c r="G47" t="s">
        <v>390</v>
      </c>
      <c r="H47" t="s">
        <v>1356</v>
      </c>
      <c r="I47" t="s">
        <v>582</v>
      </c>
      <c r="J47" t="s">
        <v>1219</v>
      </c>
      <c r="K47" t="s">
        <v>65</v>
      </c>
      <c r="L47" t="s">
        <v>1545</v>
      </c>
      <c r="M47" t="s">
        <v>346</v>
      </c>
      <c r="N47" t="s">
        <v>1579</v>
      </c>
      <c r="O47" t="s">
        <v>1547</v>
      </c>
      <c r="P47" t="s">
        <v>1548</v>
      </c>
      <c r="Q47" s="128">
        <v>44351</v>
      </c>
      <c r="R47" s="128">
        <v>44441</v>
      </c>
      <c r="S47" t="s">
        <v>1549</v>
      </c>
      <c r="T47" s="128">
        <v>44356</v>
      </c>
      <c r="U47">
        <v>0</v>
      </c>
      <c r="V47">
        <v>0</v>
      </c>
      <c r="W47" t="s">
        <v>262</v>
      </c>
      <c r="X47" t="s">
        <v>1571</v>
      </c>
      <c r="AA47" t="s">
        <v>4</v>
      </c>
      <c r="AB47" t="s">
        <v>1551</v>
      </c>
      <c r="AC47" s="128">
        <v>44356</v>
      </c>
      <c r="AD47" t="s">
        <v>349</v>
      </c>
      <c r="AE47" t="s">
        <v>1580</v>
      </c>
      <c r="AF47" t="s">
        <v>1116</v>
      </c>
      <c r="AG47" t="s">
        <v>0</v>
      </c>
      <c r="AH47">
        <v>1</v>
      </c>
      <c r="AI47" t="b">
        <v>0</v>
      </c>
      <c r="AK47" t="b">
        <v>0</v>
      </c>
      <c r="AM47" t="b">
        <v>0</v>
      </c>
      <c r="AN47" t="b">
        <v>0</v>
      </c>
      <c r="AO47" t="b">
        <v>0</v>
      </c>
      <c r="AP47" t="b">
        <v>0</v>
      </c>
      <c r="AQ47" t="b">
        <v>0</v>
      </c>
      <c r="AR47" t="b">
        <v>0</v>
      </c>
      <c r="AS47" t="b">
        <v>0</v>
      </c>
      <c r="AT47" t="s">
        <v>1581</v>
      </c>
      <c r="AU47">
        <v>9228291</v>
      </c>
      <c r="AV47" t="s">
        <v>730</v>
      </c>
      <c r="AW47" t="s">
        <v>951</v>
      </c>
      <c r="AX47" s="128">
        <v>44509</v>
      </c>
      <c r="AY47" t="s">
        <v>1101</v>
      </c>
      <c r="AZ47" t="s">
        <v>582</v>
      </c>
      <c r="BA47" t="s">
        <v>65</v>
      </c>
      <c r="BB47" t="s">
        <v>40</v>
      </c>
      <c r="BD47" t="s">
        <v>30</v>
      </c>
      <c r="BG47" s="128"/>
      <c r="BH47" t="b">
        <v>0</v>
      </c>
      <c r="BK47" t="s">
        <v>1382</v>
      </c>
      <c r="CC47" s="128"/>
      <c r="CE47" s="128"/>
      <c r="CG47" s="128"/>
      <c r="CI47" s="128"/>
      <c r="CK47" s="128"/>
      <c r="CM47" s="128"/>
      <c r="CO47" s="128"/>
      <c r="CT47" s="128"/>
      <c r="CV47" s="128"/>
    </row>
    <row r="48" spans="1:100" ht="390" x14ac:dyDescent="0.2">
      <c r="A48" t="s">
        <v>1583</v>
      </c>
      <c r="B48" s="128">
        <v>44349</v>
      </c>
      <c r="C48" t="s">
        <v>1582</v>
      </c>
      <c r="D48" t="s">
        <v>364</v>
      </c>
      <c r="E48" t="s">
        <v>1104</v>
      </c>
      <c r="F48" t="s">
        <v>1105</v>
      </c>
      <c r="G48" t="s">
        <v>390</v>
      </c>
      <c r="H48" t="s">
        <v>1356</v>
      </c>
      <c r="I48" t="s">
        <v>19</v>
      </c>
      <c r="J48" t="s">
        <v>1484</v>
      </c>
      <c r="K48" t="s">
        <v>150</v>
      </c>
      <c r="L48" t="s">
        <v>1584</v>
      </c>
      <c r="M48" t="s">
        <v>346</v>
      </c>
      <c r="N48" t="s">
        <v>1585</v>
      </c>
      <c r="O48" t="s">
        <v>1586</v>
      </c>
      <c r="P48" t="s">
        <v>1587</v>
      </c>
      <c r="Q48" s="128">
        <v>44390</v>
      </c>
      <c r="R48" s="128">
        <v>44439</v>
      </c>
      <c r="S48" t="s">
        <v>1588</v>
      </c>
      <c r="T48" s="128">
        <v>44434</v>
      </c>
      <c r="U48">
        <v>0</v>
      </c>
      <c r="V48">
        <v>0</v>
      </c>
      <c r="W48" t="s">
        <v>262</v>
      </c>
      <c r="X48" s="99" t="s">
        <v>1589</v>
      </c>
      <c r="AA48" t="s">
        <v>4</v>
      </c>
      <c r="AB48" t="s">
        <v>1590</v>
      </c>
      <c r="AC48" s="128">
        <v>44434</v>
      </c>
      <c r="AD48" t="s">
        <v>349</v>
      </c>
      <c r="AE48" t="s">
        <v>1115</v>
      </c>
      <c r="AF48" t="s">
        <v>1116</v>
      </c>
      <c r="AG48" t="s">
        <v>0</v>
      </c>
      <c r="AH48">
        <v>1</v>
      </c>
      <c r="AI48" t="b">
        <v>0</v>
      </c>
      <c r="AK48" t="b">
        <v>0</v>
      </c>
      <c r="AM48" t="b">
        <v>0</v>
      </c>
      <c r="AN48" t="b">
        <v>0</v>
      </c>
      <c r="AO48" t="b">
        <v>0</v>
      </c>
      <c r="AP48" t="b">
        <v>0</v>
      </c>
      <c r="AQ48" t="b">
        <v>0</v>
      </c>
      <c r="AR48" t="b">
        <v>0</v>
      </c>
      <c r="AS48" t="b">
        <v>0</v>
      </c>
      <c r="AT48" t="s">
        <v>1592</v>
      </c>
      <c r="AU48">
        <v>9228291</v>
      </c>
      <c r="AV48" t="s">
        <v>730</v>
      </c>
      <c r="AW48" t="s">
        <v>951</v>
      </c>
      <c r="AX48" s="128">
        <v>44509</v>
      </c>
      <c r="AY48" t="s">
        <v>1101</v>
      </c>
      <c r="AZ48" t="s">
        <v>19</v>
      </c>
      <c r="BA48" t="s">
        <v>150</v>
      </c>
      <c r="BB48" t="s">
        <v>168</v>
      </c>
      <c r="BD48" t="s">
        <v>757</v>
      </c>
      <c r="BG48" s="128"/>
      <c r="BH48" t="b">
        <v>0</v>
      </c>
      <c r="BI48" t="s">
        <v>1591</v>
      </c>
      <c r="BK48" t="s">
        <v>1382</v>
      </c>
      <c r="CC48" s="128"/>
      <c r="CE48" s="128"/>
      <c r="CG48" s="128"/>
      <c r="CI48" s="128"/>
      <c r="CK48" s="128"/>
      <c r="CM48" s="128"/>
      <c r="CO48" s="128"/>
      <c r="CT48" s="128"/>
      <c r="CV48" s="128"/>
    </row>
    <row r="49" spans="1:100" x14ac:dyDescent="0.2">
      <c r="A49" t="s">
        <v>1594</v>
      </c>
      <c r="B49" s="128">
        <v>44381</v>
      </c>
      <c r="C49" t="s">
        <v>1593</v>
      </c>
      <c r="D49" t="s">
        <v>364</v>
      </c>
      <c r="E49" t="s">
        <v>1104</v>
      </c>
      <c r="F49" t="s">
        <v>1105</v>
      </c>
      <c r="G49" t="s">
        <v>390</v>
      </c>
      <c r="H49" t="s">
        <v>1356</v>
      </c>
      <c r="I49" t="s">
        <v>10</v>
      </c>
      <c r="J49" t="s">
        <v>1301</v>
      </c>
      <c r="K49" t="s">
        <v>80</v>
      </c>
      <c r="L49" t="s">
        <v>1302</v>
      </c>
      <c r="M49" t="s">
        <v>346</v>
      </c>
      <c r="N49" t="s">
        <v>1595</v>
      </c>
      <c r="O49" t="s">
        <v>1596</v>
      </c>
      <c r="P49" t="s">
        <v>1597</v>
      </c>
      <c r="Q49" s="128">
        <v>44381</v>
      </c>
      <c r="R49" s="128">
        <v>44471</v>
      </c>
      <c r="S49" t="s">
        <v>1598</v>
      </c>
      <c r="T49" s="128">
        <v>44385</v>
      </c>
      <c r="U49">
        <v>0</v>
      </c>
      <c r="V49">
        <v>0</v>
      </c>
      <c r="W49" t="s">
        <v>262</v>
      </c>
      <c r="X49" t="s">
        <v>1599</v>
      </c>
      <c r="AA49" t="s">
        <v>4</v>
      </c>
      <c r="AB49" t="s">
        <v>1600</v>
      </c>
      <c r="AC49" s="128">
        <v>44385</v>
      </c>
      <c r="AD49" t="s">
        <v>349</v>
      </c>
      <c r="AE49" t="s">
        <v>1115</v>
      </c>
      <c r="AF49" t="s">
        <v>1116</v>
      </c>
      <c r="AG49" t="s">
        <v>0</v>
      </c>
      <c r="AH49">
        <v>1</v>
      </c>
      <c r="AI49" t="b">
        <v>0</v>
      </c>
      <c r="AK49" t="b">
        <v>0</v>
      </c>
      <c r="AM49" t="b">
        <v>0</v>
      </c>
      <c r="AN49" t="b">
        <v>0</v>
      </c>
      <c r="AO49" t="b">
        <v>0</v>
      </c>
      <c r="AP49" t="b">
        <v>0</v>
      </c>
      <c r="AQ49" t="b">
        <v>0</v>
      </c>
      <c r="AR49" t="b">
        <v>0</v>
      </c>
      <c r="AS49" t="b">
        <v>0</v>
      </c>
      <c r="AT49" t="s">
        <v>1601</v>
      </c>
      <c r="AU49">
        <v>9228291</v>
      </c>
      <c r="AV49" t="s">
        <v>730</v>
      </c>
      <c r="AW49" t="s">
        <v>951</v>
      </c>
      <c r="AX49" s="128">
        <v>44509</v>
      </c>
      <c r="AY49" t="s">
        <v>1101</v>
      </c>
      <c r="AZ49" t="s">
        <v>10</v>
      </c>
      <c r="BA49" t="s">
        <v>80</v>
      </c>
      <c r="BB49" t="s">
        <v>41</v>
      </c>
      <c r="BD49" t="s">
        <v>757</v>
      </c>
      <c r="BG49" s="128"/>
      <c r="BH49" t="b">
        <v>0</v>
      </c>
      <c r="BK49" t="s">
        <v>1382</v>
      </c>
      <c r="CC49" s="128"/>
      <c r="CE49" s="128"/>
      <c r="CG49" s="128"/>
      <c r="CI49" s="128"/>
      <c r="CK49" s="128"/>
      <c r="CM49" s="128"/>
      <c r="CO49" s="128"/>
      <c r="CT49" s="128"/>
      <c r="CV49" s="128"/>
    </row>
    <row r="50" spans="1:100" x14ac:dyDescent="0.2">
      <c r="A50" t="s">
        <v>1603</v>
      </c>
      <c r="B50" s="128">
        <v>44382</v>
      </c>
      <c r="C50" t="s">
        <v>1602</v>
      </c>
      <c r="D50" t="s">
        <v>364</v>
      </c>
      <c r="E50" t="s">
        <v>1104</v>
      </c>
      <c r="F50" t="s">
        <v>1105</v>
      </c>
      <c r="G50" t="s">
        <v>390</v>
      </c>
      <c r="H50" t="s">
        <v>1356</v>
      </c>
      <c r="I50" t="s">
        <v>583</v>
      </c>
      <c r="J50" t="s">
        <v>1604</v>
      </c>
      <c r="K50" t="s">
        <v>143</v>
      </c>
      <c r="L50" t="s">
        <v>1605</v>
      </c>
      <c r="M50" t="s">
        <v>346</v>
      </c>
      <c r="N50" t="s">
        <v>1606</v>
      </c>
      <c r="O50" t="s">
        <v>1607</v>
      </c>
      <c r="P50" t="s">
        <v>1608</v>
      </c>
      <c r="Q50" s="128">
        <v>44382</v>
      </c>
      <c r="R50" s="128">
        <v>44472</v>
      </c>
      <c r="S50" t="s">
        <v>1609</v>
      </c>
      <c r="T50" s="128">
        <v>44385</v>
      </c>
      <c r="U50">
        <v>0</v>
      </c>
      <c r="V50">
        <v>0</v>
      </c>
      <c r="W50" t="s">
        <v>262</v>
      </c>
      <c r="X50" t="s">
        <v>1610</v>
      </c>
      <c r="AA50" t="s">
        <v>4</v>
      </c>
      <c r="AB50" t="s">
        <v>1610</v>
      </c>
      <c r="AC50" s="128">
        <v>44385</v>
      </c>
      <c r="AD50" t="s">
        <v>349</v>
      </c>
      <c r="AE50" t="s">
        <v>1115</v>
      </c>
      <c r="AF50" t="s">
        <v>1116</v>
      </c>
      <c r="AG50" t="s">
        <v>0</v>
      </c>
      <c r="AH50">
        <v>1</v>
      </c>
      <c r="AI50" t="b">
        <v>0</v>
      </c>
      <c r="AK50" t="b">
        <v>0</v>
      </c>
      <c r="AM50" t="b">
        <v>0</v>
      </c>
      <c r="AN50" t="b">
        <v>0</v>
      </c>
      <c r="AO50" t="b">
        <v>0</v>
      </c>
      <c r="AP50" t="b">
        <v>0</v>
      </c>
      <c r="AQ50" t="b">
        <v>0</v>
      </c>
      <c r="AR50" t="b">
        <v>0</v>
      </c>
      <c r="AS50" t="b">
        <v>0</v>
      </c>
      <c r="AT50" t="s">
        <v>1611</v>
      </c>
      <c r="AU50">
        <v>9228291</v>
      </c>
      <c r="AV50" t="s">
        <v>730</v>
      </c>
      <c r="AW50" t="s">
        <v>951</v>
      </c>
      <c r="AX50" s="128">
        <v>44509</v>
      </c>
      <c r="AY50" t="s">
        <v>1101</v>
      </c>
      <c r="AZ50" t="s">
        <v>583</v>
      </c>
      <c r="BA50" t="s">
        <v>143</v>
      </c>
      <c r="BB50" t="s">
        <v>43</v>
      </c>
      <c r="BD50" t="s">
        <v>756</v>
      </c>
      <c r="BG50" s="128"/>
      <c r="BH50" t="b">
        <v>0</v>
      </c>
      <c r="BK50" t="s">
        <v>1382</v>
      </c>
      <c r="CC50" s="128"/>
      <c r="CE50" s="128"/>
      <c r="CG50" s="128"/>
      <c r="CI50" s="128"/>
      <c r="CK50" s="128"/>
      <c r="CM50" s="128"/>
      <c r="CO50" s="128"/>
      <c r="CT50" s="128"/>
      <c r="CV50" s="128"/>
    </row>
    <row r="51" spans="1:100" x14ac:dyDescent="0.2">
      <c r="A51" t="s">
        <v>1613</v>
      </c>
      <c r="B51" s="128">
        <v>44379</v>
      </c>
      <c r="C51" t="s">
        <v>1612</v>
      </c>
      <c r="D51" t="s">
        <v>364</v>
      </c>
      <c r="E51" t="s">
        <v>1104</v>
      </c>
      <c r="F51" t="s">
        <v>1105</v>
      </c>
      <c r="G51" t="s">
        <v>390</v>
      </c>
      <c r="H51" t="s">
        <v>1356</v>
      </c>
      <c r="I51" t="s">
        <v>19</v>
      </c>
      <c r="J51" t="s">
        <v>1484</v>
      </c>
      <c r="K51" t="s">
        <v>150</v>
      </c>
      <c r="L51" t="s">
        <v>1584</v>
      </c>
      <c r="M51" t="s">
        <v>346</v>
      </c>
      <c r="N51" t="s">
        <v>1614</v>
      </c>
      <c r="O51" t="s">
        <v>1615</v>
      </c>
      <c r="P51" t="s">
        <v>1616</v>
      </c>
      <c r="Q51" s="128">
        <v>44379</v>
      </c>
      <c r="R51" s="128">
        <v>44379</v>
      </c>
      <c r="S51" t="s">
        <v>1617</v>
      </c>
      <c r="T51" s="128">
        <v>44387</v>
      </c>
      <c r="U51">
        <v>0</v>
      </c>
      <c r="V51">
        <v>0</v>
      </c>
      <c r="W51" t="s">
        <v>262</v>
      </c>
      <c r="X51" t="s">
        <v>1618</v>
      </c>
      <c r="AA51" t="s">
        <v>4</v>
      </c>
      <c r="AB51" t="s">
        <v>1619</v>
      </c>
      <c r="AC51" s="128">
        <v>44387</v>
      </c>
      <c r="AD51" t="s">
        <v>349</v>
      </c>
      <c r="AE51" t="s">
        <v>1115</v>
      </c>
      <c r="AF51" t="s">
        <v>1116</v>
      </c>
      <c r="AG51" t="s">
        <v>0</v>
      </c>
      <c r="AH51">
        <v>1</v>
      </c>
      <c r="AI51" t="b">
        <v>0</v>
      </c>
      <c r="AK51" t="b">
        <v>0</v>
      </c>
      <c r="AM51" t="b">
        <v>0</v>
      </c>
      <c r="AN51" t="b">
        <v>0</v>
      </c>
      <c r="AO51" t="b">
        <v>0</v>
      </c>
      <c r="AP51" t="b">
        <v>0</v>
      </c>
      <c r="AQ51" t="b">
        <v>0</v>
      </c>
      <c r="AR51" t="b">
        <v>0</v>
      </c>
      <c r="AS51" t="b">
        <v>0</v>
      </c>
      <c r="AT51" t="s">
        <v>1620</v>
      </c>
      <c r="AU51">
        <v>9228291</v>
      </c>
      <c r="AV51" t="s">
        <v>730</v>
      </c>
      <c r="AW51" t="s">
        <v>951</v>
      </c>
      <c r="AX51" s="128">
        <v>44509</v>
      </c>
      <c r="AY51" t="s">
        <v>1101</v>
      </c>
      <c r="AZ51" t="s">
        <v>19</v>
      </c>
      <c r="BA51" t="s">
        <v>150</v>
      </c>
      <c r="BB51" t="s">
        <v>52</v>
      </c>
      <c r="BD51" t="s">
        <v>801</v>
      </c>
      <c r="BG51" s="128"/>
      <c r="BH51" t="b">
        <v>0</v>
      </c>
      <c r="BK51" t="s">
        <v>1382</v>
      </c>
      <c r="CC51" s="128"/>
      <c r="CE51" s="128"/>
      <c r="CG51" s="128"/>
      <c r="CI51" s="128"/>
      <c r="CK51" s="128"/>
      <c r="CM51" s="128"/>
      <c r="CO51" s="128"/>
      <c r="CT51" s="128"/>
      <c r="CV51" s="128"/>
    </row>
    <row r="52" spans="1:100" ht="409.5" x14ac:dyDescent="0.2">
      <c r="A52" t="s">
        <v>1622</v>
      </c>
      <c r="B52" s="128">
        <v>44331</v>
      </c>
      <c r="C52" t="s">
        <v>1621</v>
      </c>
      <c r="D52" t="s">
        <v>364</v>
      </c>
      <c r="E52" t="s">
        <v>1104</v>
      </c>
      <c r="F52" t="s">
        <v>1105</v>
      </c>
      <c r="G52" t="s">
        <v>390</v>
      </c>
      <c r="H52" t="s">
        <v>1218</v>
      </c>
      <c r="I52" t="s">
        <v>13</v>
      </c>
      <c r="J52" t="s">
        <v>1145</v>
      </c>
      <c r="K52" t="s">
        <v>83</v>
      </c>
      <c r="L52" t="s">
        <v>1146</v>
      </c>
      <c r="M52" t="s">
        <v>346</v>
      </c>
      <c r="N52" t="s">
        <v>1623</v>
      </c>
      <c r="O52" t="s">
        <v>1624</v>
      </c>
      <c r="P52" t="s">
        <v>1625</v>
      </c>
      <c r="Q52" s="128">
        <v>44336</v>
      </c>
      <c r="R52" s="128">
        <v>44421</v>
      </c>
      <c r="S52" t="s">
        <v>1626</v>
      </c>
      <c r="T52" s="128">
        <v>44431</v>
      </c>
      <c r="U52">
        <v>0</v>
      </c>
      <c r="V52">
        <v>0</v>
      </c>
      <c r="W52" t="s">
        <v>262</v>
      </c>
      <c r="X52" s="99" t="s">
        <v>1627</v>
      </c>
      <c r="AA52" t="s">
        <v>1</v>
      </c>
      <c r="AB52" t="s">
        <v>1628</v>
      </c>
      <c r="AC52" s="128">
        <v>44431</v>
      </c>
      <c r="AD52" t="s">
        <v>349</v>
      </c>
      <c r="AE52" t="s">
        <v>1115</v>
      </c>
      <c r="AF52" t="s">
        <v>1116</v>
      </c>
      <c r="AG52" t="s">
        <v>0</v>
      </c>
      <c r="AH52">
        <v>1</v>
      </c>
      <c r="AI52" t="b">
        <v>0</v>
      </c>
      <c r="AK52" t="b">
        <v>0</v>
      </c>
      <c r="AM52" t="b">
        <v>0</v>
      </c>
      <c r="AN52" t="b">
        <v>0</v>
      </c>
      <c r="AO52" t="b">
        <v>0</v>
      </c>
      <c r="AP52" t="b">
        <v>0</v>
      </c>
      <c r="AQ52" t="b">
        <v>0</v>
      </c>
      <c r="AR52" t="b">
        <v>0</v>
      </c>
      <c r="AS52" t="b">
        <v>0</v>
      </c>
      <c r="AT52" t="s">
        <v>2229</v>
      </c>
      <c r="AU52">
        <v>9228291</v>
      </c>
      <c r="AV52" t="s">
        <v>730</v>
      </c>
      <c r="AW52" t="s">
        <v>951</v>
      </c>
      <c r="AX52" s="128">
        <v>44617</v>
      </c>
      <c r="AY52" t="s">
        <v>1101</v>
      </c>
      <c r="AZ52" t="s">
        <v>13</v>
      </c>
      <c r="BA52" t="s">
        <v>83</v>
      </c>
      <c r="BB52" t="s">
        <v>42</v>
      </c>
      <c r="BD52" t="s">
        <v>31</v>
      </c>
      <c r="BF52" t="s">
        <v>574</v>
      </c>
      <c r="BG52" s="128">
        <v>44439</v>
      </c>
      <c r="BH52" t="b">
        <v>0</v>
      </c>
      <c r="BJ52" t="s">
        <v>2228</v>
      </c>
      <c r="BK52" t="s">
        <v>1118</v>
      </c>
      <c r="CC52" s="128"/>
      <c r="CE52" s="128"/>
      <c r="CG52" s="128"/>
      <c r="CI52" s="128"/>
      <c r="CK52" s="128"/>
      <c r="CM52" s="128"/>
      <c r="CO52" s="128"/>
      <c r="CT52" s="128"/>
      <c r="CV52" s="128"/>
    </row>
    <row r="53" spans="1:100" ht="208" x14ac:dyDescent="0.2">
      <c r="A53" t="s">
        <v>1630</v>
      </c>
      <c r="B53" s="128">
        <v>44363</v>
      </c>
      <c r="C53" t="s">
        <v>1629</v>
      </c>
      <c r="D53" t="s">
        <v>364</v>
      </c>
      <c r="E53" t="s">
        <v>1104</v>
      </c>
      <c r="F53" t="s">
        <v>1105</v>
      </c>
      <c r="G53" t="s">
        <v>390</v>
      </c>
      <c r="H53" t="s">
        <v>1631</v>
      </c>
      <c r="I53" t="s">
        <v>581</v>
      </c>
      <c r="J53" t="s">
        <v>1123</v>
      </c>
      <c r="K53" t="s">
        <v>173</v>
      </c>
      <c r="L53" t="s">
        <v>1632</v>
      </c>
      <c r="M53" t="s">
        <v>346</v>
      </c>
      <c r="N53" t="s">
        <v>1633</v>
      </c>
      <c r="O53" t="s">
        <v>1634</v>
      </c>
      <c r="P53" t="s">
        <v>1635</v>
      </c>
      <c r="Q53" s="128">
        <v>44363</v>
      </c>
      <c r="R53" s="128">
        <v>44453</v>
      </c>
      <c r="S53" t="s">
        <v>1636</v>
      </c>
      <c r="T53" s="128">
        <v>44435</v>
      </c>
      <c r="U53">
        <v>0</v>
      </c>
      <c r="V53">
        <v>0</v>
      </c>
      <c r="W53" t="s">
        <v>262</v>
      </c>
      <c r="X53" s="99" t="s">
        <v>1637</v>
      </c>
      <c r="AA53" t="s">
        <v>1</v>
      </c>
      <c r="AB53" t="s">
        <v>1638</v>
      </c>
      <c r="AC53" s="128">
        <v>44435</v>
      </c>
      <c r="AD53" t="s">
        <v>349</v>
      </c>
      <c r="AE53" t="s">
        <v>1115</v>
      </c>
      <c r="AF53" t="s">
        <v>1116</v>
      </c>
      <c r="AG53" t="s">
        <v>0</v>
      </c>
      <c r="AH53">
        <v>1</v>
      </c>
      <c r="AI53" t="b">
        <v>0</v>
      </c>
      <c r="AK53" t="b">
        <v>0</v>
      </c>
      <c r="AM53" t="b">
        <v>0</v>
      </c>
      <c r="AN53" t="b">
        <v>0</v>
      </c>
      <c r="AO53" t="b">
        <v>0</v>
      </c>
      <c r="AP53" t="b">
        <v>0</v>
      </c>
      <c r="AQ53" t="b">
        <v>0</v>
      </c>
      <c r="AR53" t="b">
        <v>0</v>
      </c>
      <c r="AS53" t="b">
        <v>0</v>
      </c>
      <c r="AT53" t="s">
        <v>1639</v>
      </c>
      <c r="AU53">
        <v>9228291</v>
      </c>
      <c r="AV53" t="s">
        <v>730</v>
      </c>
      <c r="AW53" t="s">
        <v>951</v>
      </c>
      <c r="AX53" s="128">
        <v>44509</v>
      </c>
      <c r="AY53" t="s">
        <v>1101</v>
      </c>
      <c r="AZ53" t="s">
        <v>581</v>
      </c>
      <c r="BA53" t="s">
        <v>173</v>
      </c>
      <c r="BB53" t="s">
        <v>42</v>
      </c>
      <c r="BD53" t="s">
        <v>31</v>
      </c>
      <c r="BG53" s="128"/>
      <c r="BH53" t="b">
        <v>0</v>
      </c>
      <c r="BK53" t="s">
        <v>1382</v>
      </c>
      <c r="CC53" s="128"/>
      <c r="CE53" s="128"/>
      <c r="CG53" s="128"/>
      <c r="CI53" s="128"/>
      <c r="CK53" s="128"/>
      <c r="CM53" s="128"/>
      <c r="CO53" s="128"/>
      <c r="CT53" s="128"/>
      <c r="CV53" s="128"/>
    </row>
    <row r="54" spans="1:100" ht="195" x14ac:dyDescent="0.2">
      <c r="A54" t="s">
        <v>1641</v>
      </c>
      <c r="B54" s="128">
        <v>44364</v>
      </c>
      <c r="C54" t="s">
        <v>1640</v>
      </c>
      <c r="D54" t="s">
        <v>364</v>
      </c>
      <c r="E54" t="s">
        <v>1104</v>
      </c>
      <c r="F54" t="s">
        <v>1105</v>
      </c>
      <c r="G54" t="s">
        <v>390</v>
      </c>
      <c r="H54" t="s">
        <v>1642</v>
      </c>
      <c r="I54" t="s">
        <v>581</v>
      </c>
      <c r="J54" t="s">
        <v>1123</v>
      </c>
      <c r="K54" t="s">
        <v>63</v>
      </c>
      <c r="L54" t="s">
        <v>1262</v>
      </c>
      <c r="M54" t="s">
        <v>346</v>
      </c>
      <c r="N54" t="s">
        <v>1643</v>
      </c>
      <c r="O54" t="s">
        <v>1644</v>
      </c>
      <c r="P54" t="s">
        <v>1645</v>
      </c>
      <c r="Q54" s="128">
        <v>44446</v>
      </c>
      <c r="R54" s="128">
        <v>44454</v>
      </c>
      <c r="S54" t="s">
        <v>1646</v>
      </c>
      <c r="T54" s="128">
        <v>44434</v>
      </c>
      <c r="U54">
        <v>0</v>
      </c>
      <c r="V54">
        <v>0</v>
      </c>
      <c r="W54" t="s">
        <v>262</v>
      </c>
      <c r="X54" s="99" t="s">
        <v>1647</v>
      </c>
      <c r="AA54" t="s">
        <v>1</v>
      </c>
      <c r="AB54" t="s">
        <v>1648</v>
      </c>
      <c r="AC54" s="128">
        <v>44434</v>
      </c>
      <c r="AD54" t="s">
        <v>349</v>
      </c>
      <c r="AE54" t="s">
        <v>1115</v>
      </c>
      <c r="AF54" t="s">
        <v>1116</v>
      </c>
      <c r="AG54" t="s">
        <v>0</v>
      </c>
      <c r="AH54">
        <v>1</v>
      </c>
      <c r="AI54" t="b">
        <v>0</v>
      </c>
      <c r="AK54" t="b">
        <v>0</v>
      </c>
      <c r="AM54" t="b">
        <v>0</v>
      </c>
      <c r="AN54" t="b">
        <v>0</v>
      </c>
      <c r="AO54" t="b">
        <v>0</v>
      </c>
      <c r="AP54" t="b">
        <v>0</v>
      </c>
      <c r="AQ54" t="b">
        <v>0</v>
      </c>
      <c r="AR54" t="b">
        <v>0</v>
      </c>
      <c r="AS54" t="b">
        <v>0</v>
      </c>
      <c r="AT54" t="s">
        <v>1649</v>
      </c>
      <c r="AU54">
        <v>9228291</v>
      </c>
      <c r="AV54" t="s">
        <v>730</v>
      </c>
      <c r="AW54" t="s">
        <v>951</v>
      </c>
      <c r="AX54" s="128">
        <v>44509</v>
      </c>
      <c r="AY54" t="s">
        <v>1101</v>
      </c>
      <c r="AZ54" t="s">
        <v>581</v>
      </c>
      <c r="BA54" t="s">
        <v>63</v>
      </c>
      <c r="BB54" t="s">
        <v>52</v>
      </c>
      <c r="BD54" t="s">
        <v>757</v>
      </c>
      <c r="BG54" s="128"/>
      <c r="BH54" t="b">
        <v>0</v>
      </c>
      <c r="BK54" t="s">
        <v>1382</v>
      </c>
      <c r="CC54" s="128"/>
      <c r="CE54" s="128"/>
      <c r="CG54" s="128"/>
      <c r="CI54" s="128"/>
      <c r="CK54" s="128"/>
      <c r="CM54" s="128"/>
      <c r="CO54" s="128"/>
      <c r="CT54" s="128"/>
      <c r="CV54" s="128"/>
    </row>
    <row r="55" spans="1:100" x14ac:dyDescent="0.2">
      <c r="A55" t="s">
        <v>1651</v>
      </c>
      <c r="B55" s="128">
        <v>44366</v>
      </c>
      <c r="C55" t="s">
        <v>1650</v>
      </c>
      <c r="D55" t="s">
        <v>364</v>
      </c>
      <c r="E55" t="s">
        <v>1104</v>
      </c>
      <c r="F55" t="s">
        <v>1105</v>
      </c>
      <c r="G55" t="s">
        <v>390</v>
      </c>
      <c r="H55" t="s">
        <v>1652</v>
      </c>
      <c r="I55" t="s">
        <v>13</v>
      </c>
      <c r="J55" t="s">
        <v>1145</v>
      </c>
      <c r="K55" t="s">
        <v>83</v>
      </c>
      <c r="L55" t="s">
        <v>1146</v>
      </c>
      <c r="M55" t="s">
        <v>346</v>
      </c>
      <c r="N55" t="s">
        <v>1653</v>
      </c>
      <c r="O55" t="s">
        <v>1654</v>
      </c>
      <c r="P55" t="s">
        <v>1655</v>
      </c>
      <c r="Q55" s="128">
        <v>44366</v>
      </c>
      <c r="R55" s="128">
        <v>44456</v>
      </c>
      <c r="S55" t="s">
        <v>1656</v>
      </c>
      <c r="T55" s="128">
        <v>44372</v>
      </c>
      <c r="U55">
        <v>0</v>
      </c>
      <c r="V55">
        <v>0</v>
      </c>
      <c r="W55" t="s">
        <v>262</v>
      </c>
      <c r="X55" t="s">
        <v>1657</v>
      </c>
      <c r="AA55" t="s">
        <v>4</v>
      </c>
      <c r="AB55" t="s">
        <v>1656</v>
      </c>
      <c r="AC55" s="128">
        <v>44372</v>
      </c>
      <c r="AD55" t="s">
        <v>349</v>
      </c>
      <c r="AE55" t="s">
        <v>1115</v>
      </c>
      <c r="AF55" t="s">
        <v>1116</v>
      </c>
      <c r="AG55" t="s">
        <v>0</v>
      </c>
      <c r="AH55">
        <v>1</v>
      </c>
      <c r="AI55" t="b">
        <v>0</v>
      </c>
      <c r="AK55" t="b">
        <v>0</v>
      </c>
      <c r="AM55" t="b">
        <v>0</v>
      </c>
      <c r="AN55" t="b">
        <v>0</v>
      </c>
      <c r="AO55" t="b">
        <v>0</v>
      </c>
      <c r="AP55" t="b">
        <v>0</v>
      </c>
      <c r="AQ55" t="b">
        <v>0</v>
      </c>
      <c r="AR55" t="b">
        <v>0</v>
      </c>
      <c r="AS55" t="b">
        <v>0</v>
      </c>
      <c r="AT55" t="s">
        <v>1658</v>
      </c>
      <c r="AU55">
        <v>9228291</v>
      </c>
      <c r="AV55" t="s">
        <v>730</v>
      </c>
      <c r="AW55" t="s">
        <v>951</v>
      </c>
      <c r="AX55" s="128">
        <v>44509</v>
      </c>
      <c r="AY55" t="s">
        <v>1101</v>
      </c>
      <c r="AZ55" t="s">
        <v>13</v>
      </c>
      <c r="BA55" t="s">
        <v>83</v>
      </c>
      <c r="BB55" t="s">
        <v>52</v>
      </c>
      <c r="BD55" t="s">
        <v>757</v>
      </c>
      <c r="BG55" s="128"/>
      <c r="BH55" t="b">
        <v>0</v>
      </c>
      <c r="BK55" t="s">
        <v>1382</v>
      </c>
      <c r="CC55" s="128"/>
      <c r="CE55" s="128"/>
      <c r="CG55" s="128"/>
      <c r="CI55" s="128"/>
      <c r="CK55" s="128"/>
      <c r="CM55" s="128"/>
      <c r="CO55" s="128"/>
      <c r="CT55" s="128"/>
      <c r="CV55" s="128"/>
    </row>
    <row r="56" spans="1:100" x14ac:dyDescent="0.2">
      <c r="A56" t="s">
        <v>1660</v>
      </c>
      <c r="B56" s="128">
        <v>44367</v>
      </c>
      <c r="C56" t="s">
        <v>1659</v>
      </c>
      <c r="D56" t="s">
        <v>364</v>
      </c>
      <c r="E56" t="s">
        <v>1104</v>
      </c>
      <c r="F56" t="s">
        <v>1105</v>
      </c>
      <c r="G56" t="s">
        <v>390</v>
      </c>
      <c r="H56" t="s">
        <v>1642</v>
      </c>
      <c r="I56" t="s">
        <v>584</v>
      </c>
      <c r="J56" t="s">
        <v>1107</v>
      </c>
      <c r="K56" t="s">
        <v>82</v>
      </c>
      <c r="L56" t="s">
        <v>1108</v>
      </c>
      <c r="M56" t="s">
        <v>346</v>
      </c>
      <c r="N56" t="s">
        <v>1661</v>
      </c>
      <c r="O56" t="s">
        <v>1662</v>
      </c>
      <c r="P56" t="s">
        <v>1663</v>
      </c>
      <c r="Q56" s="128">
        <v>44367</v>
      </c>
      <c r="R56" s="128">
        <v>44457</v>
      </c>
      <c r="S56" t="s">
        <v>1664</v>
      </c>
      <c r="T56" s="128">
        <v>44382</v>
      </c>
      <c r="U56">
        <v>0</v>
      </c>
      <c r="V56">
        <v>0</v>
      </c>
      <c r="W56" t="s">
        <v>262</v>
      </c>
      <c r="X56" t="s">
        <v>1665</v>
      </c>
      <c r="AA56" t="s">
        <v>1</v>
      </c>
      <c r="AB56" t="s">
        <v>1664</v>
      </c>
      <c r="AC56" s="128">
        <v>44382</v>
      </c>
      <c r="AD56" t="s">
        <v>349</v>
      </c>
      <c r="AE56" t="s">
        <v>1115</v>
      </c>
      <c r="AF56" t="s">
        <v>1116</v>
      </c>
      <c r="AG56" t="s">
        <v>0</v>
      </c>
      <c r="AH56">
        <v>1</v>
      </c>
      <c r="AI56" t="b">
        <v>0</v>
      </c>
      <c r="AK56" t="b">
        <v>0</v>
      </c>
      <c r="AM56" t="b">
        <v>0</v>
      </c>
      <c r="AN56" t="b">
        <v>0</v>
      </c>
      <c r="AO56" t="b">
        <v>0</v>
      </c>
      <c r="AP56" t="b">
        <v>0</v>
      </c>
      <c r="AQ56" t="b">
        <v>0</v>
      </c>
      <c r="AR56" t="b">
        <v>0</v>
      </c>
      <c r="AS56" t="b">
        <v>0</v>
      </c>
      <c r="AT56" t="s">
        <v>1666</v>
      </c>
      <c r="AU56">
        <v>9228291</v>
      </c>
      <c r="AV56" t="s">
        <v>730</v>
      </c>
      <c r="AW56" t="s">
        <v>951</v>
      </c>
      <c r="AX56" s="128">
        <v>44509</v>
      </c>
      <c r="AY56" t="s">
        <v>1101</v>
      </c>
      <c r="AZ56" t="s">
        <v>584</v>
      </c>
      <c r="BA56" t="s">
        <v>82</v>
      </c>
      <c r="BB56" t="s">
        <v>40</v>
      </c>
      <c r="BD56" t="s">
        <v>30</v>
      </c>
      <c r="BG56" s="128"/>
      <c r="BH56" t="b">
        <v>0</v>
      </c>
      <c r="BK56" t="s">
        <v>1382</v>
      </c>
      <c r="CC56" s="128"/>
      <c r="CE56" s="128"/>
      <c r="CG56" s="128"/>
      <c r="CI56" s="128"/>
      <c r="CK56" s="128"/>
      <c r="CM56" s="128"/>
      <c r="CO56" s="128"/>
      <c r="CT56" s="128"/>
      <c r="CV56" s="128"/>
    </row>
    <row r="57" spans="1:100" x14ac:dyDescent="0.2">
      <c r="A57" t="s">
        <v>1668</v>
      </c>
      <c r="B57" s="128">
        <v>44367</v>
      </c>
      <c r="C57" t="s">
        <v>1667</v>
      </c>
      <c r="D57" t="s">
        <v>364</v>
      </c>
      <c r="E57" t="s">
        <v>1104</v>
      </c>
      <c r="F57" t="s">
        <v>1105</v>
      </c>
      <c r="G57" t="s">
        <v>390</v>
      </c>
      <c r="H57" t="s">
        <v>1652</v>
      </c>
      <c r="I57" t="s">
        <v>584</v>
      </c>
      <c r="J57" t="s">
        <v>1107</v>
      </c>
      <c r="K57" t="s">
        <v>82</v>
      </c>
      <c r="L57" t="s">
        <v>1108</v>
      </c>
      <c r="M57" t="s">
        <v>346</v>
      </c>
      <c r="N57" t="s">
        <v>1669</v>
      </c>
      <c r="O57" t="s">
        <v>1670</v>
      </c>
      <c r="P57" t="s">
        <v>1671</v>
      </c>
      <c r="Q57" s="128">
        <v>44367</v>
      </c>
      <c r="R57" s="128">
        <v>44457</v>
      </c>
      <c r="S57" t="s">
        <v>1672</v>
      </c>
      <c r="T57" s="128">
        <v>44382</v>
      </c>
      <c r="U57">
        <v>0</v>
      </c>
      <c r="V57">
        <v>0</v>
      </c>
      <c r="W57" t="s">
        <v>262</v>
      </c>
      <c r="X57" t="s">
        <v>1673</v>
      </c>
      <c r="AA57" t="s">
        <v>1</v>
      </c>
      <c r="AB57" t="s">
        <v>1672</v>
      </c>
      <c r="AC57" s="128">
        <v>44382</v>
      </c>
      <c r="AD57" t="s">
        <v>349</v>
      </c>
      <c r="AE57" t="s">
        <v>1115</v>
      </c>
      <c r="AF57" t="s">
        <v>1116</v>
      </c>
      <c r="AG57" t="s">
        <v>0</v>
      </c>
      <c r="AH57">
        <v>1</v>
      </c>
      <c r="AI57" t="b">
        <v>0</v>
      </c>
      <c r="AK57" t="b">
        <v>0</v>
      </c>
      <c r="AM57" t="b">
        <v>0</v>
      </c>
      <c r="AN57" t="b">
        <v>0</v>
      </c>
      <c r="AO57" t="b">
        <v>0</v>
      </c>
      <c r="AP57" t="b">
        <v>0</v>
      </c>
      <c r="AQ57" t="b">
        <v>0</v>
      </c>
      <c r="AR57" t="b">
        <v>0</v>
      </c>
      <c r="AS57" t="b">
        <v>0</v>
      </c>
      <c r="AT57" t="s">
        <v>1674</v>
      </c>
      <c r="AU57">
        <v>9228291</v>
      </c>
      <c r="AV57" t="s">
        <v>730</v>
      </c>
      <c r="AW57" t="s">
        <v>951</v>
      </c>
      <c r="AX57" s="128">
        <v>44509</v>
      </c>
      <c r="AY57" t="s">
        <v>1101</v>
      </c>
      <c r="AZ57" t="s">
        <v>584</v>
      </c>
      <c r="BA57" t="s">
        <v>82</v>
      </c>
      <c r="BB57" t="s">
        <v>40</v>
      </c>
      <c r="BD57" t="s">
        <v>30</v>
      </c>
      <c r="BG57" s="128"/>
      <c r="BH57" t="b">
        <v>0</v>
      </c>
      <c r="BK57" t="s">
        <v>1382</v>
      </c>
      <c r="CC57" s="128"/>
      <c r="CE57" s="128"/>
      <c r="CG57" s="128"/>
      <c r="CI57" s="128"/>
      <c r="CK57" s="128"/>
      <c r="CM57" s="128"/>
      <c r="CO57" s="128"/>
      <c r="CT57" s="128"/>
      <c r="CV57" s="128"/>
    </row>
    <row r="58" spans="1:100" x14ac:dyDescent="0.2">
      <c r="A58" t="s">
        <v>1676</v>
      </c>
      <c r="B58" s="128">
        <v>44368</v>
      </c>
      <c r="C58" t="s">
        <v>1675</v>
      </c>
      <c r="D58" t="s">
        <v>364</v>
      </c>
      <c r="E58" t="s">
        <v>1104</v>
      </c>
      <c r="F58" t="s">
        <v>1105</v>
      </c>
      <c r="G58" t="s">
        <v>390</v>
      </c>
      <c r="H58" t="s">
        <v>1652</v>
      </c>
      <c r="I58" t="s">
        <v>584</v>
      </c>
      <c r="J58" t="s">
        <v>1107</v>
      </c>
      <c r="K58" t="s">
        <v>82</v>
      </c>
      <c r="L58" t="s">
        <v>1108</v>
      </c>
      <c r="M58" t="s">
        <v>346</v>
      </c>
      <c r="N58" t="s">
        <v>1677</v>
      </c>
      <c r="O58" t="s">
        <v>1678</v>
      </c>
      <c r="P58" t="s">
        <v>1679</v>
      </c>
      <c r="Q58" s="128">
        <v>44368</v>
      </c>
      <c r="R58" s="128">
        <v>44458</v>
      </c>
      <c r="S58" t="s">
        <v>1679</v>
      </c>
      <c r="T58" s="128">
        <v>44368</v>
      </c>
      <c r="U58">
        <v>0</v>
      </c>
      <c r="V58">
        <v>0</v>
      </c>
      <c r="W58" t="s">
        <v>262</v>
      </c>
      <c r="X58" t="s">
        <v>1679</v>
      </c>
      <c r="AA58" t="s">
        <v>1</v>
      </c>
      <c r="AB58" t="s">
        <v>1679</v>
      </c>
      <c r="AC58" s="128">
        <v>44368</v>
      </c>
      <c r="AD58" t="s">
        <v>349</v>
      </c>
      <c r="AE58" t="s">
        <v>1115</v>
      </c>
      <c r="AF58" t="s">
        <v>1116</v>
      </c>
      <c r="AG58" t="s">
        <v>0</v>
      </c>
      <c r="AH58">
        <v>1</v>
      </c>
      <c r="AI58" t="b">
        <v>0</v>
      </c>
      <c r="AK58" t="b">
        <v>0</v>
      </c>
      <c r="AM58" t="b">
        <v>0</v>
      </c>
      <c r="AN58" t="b">
        <v>0</v>
      </c>
      <c r="AO58" t="b">
        <v>0</v>
      </c>
      <c r="AP58" t="b">
        <v>0</v>
      </c>
      <c r="AQ58" t="b">
        <v>0</v>
      </c>
      <c r="AR58" t="b">
        <v>0</v>
      </c>
      <c r="AS58" t="b">
        <v>0</v>
      </c>
      <c r="AT58" t="s">
        <v>1680</v>
      </c>
      <c r="AU58">
        <v>9228291</v>
      </c>
      <c r="AV58" t="s">
        <v>730</v>
      </c>
      <c r="AW58" t="s">
        <v>951</v>
      </c>
      <c r="AX58" s="128">
        <v>44509</v>
      </c>
      <c r="AY58" t="s">
        <v>1101</v>
      </c>
      <c r="AZ58" t="s">
        <v>584</v>
      </c>
      <c r="BA58" t="s">
        <v>82</v>
      </c>
      <c r="BB58" t="s">
        <v>52</v>
      </c>
      <c r="BD58" t="s">
        <v>801</v>
      </c>
      <c r="BG58" s="128"/>
      <c r="BH58" t="b">
        <v>0</v>
      </c>
      <c r="BK58" t="s">
        <v>1382</v>
      </c>
      <c r="CC58" s="128"/>
      <c r="CE58" s="128"/>
      <c r="CG58" s="128"/>
      <c r="CI58" s="128"/>
      <c r="CK58" s="128"/>
      <c r="CM58" s="128"/>
      <c r="CO58" s="128"/>
      <c r="CT58" s="128"/>
      <c r="CV58" s="128"/>
    </row>
    <row r="59" spans="1:100" x14ac:dyDescent="0.2">
      <c r="A59" t="s">
        <v>1682</v>
      </c>
      <c r="B59" s="128">
        <v>44369</v>
      </c>
      <c r="C59" t="s">
        <v>1681</v>
      </c>
      <c r="D59" t="s">
        <v>364</v>
      </c>
      <c r="E59" t="s">
        <v>1104</v>
      </c>
      <c r="F59" t="s">
        <v>1105</v>
      </c>
      <c r="G59" t="s">
        <v>390</v>
      </c>
      <c r="H59" t="s">
        <v>1652</v>
      </c>
      <c r="I59" t="s">
        <v>10</v>
      </c>
      <c r="J59" t="s">
        <v>1301</v>
      </c>
      <c r="K59" t="s">
        <v>80</v>
      </c>
      <c r="L59" t="s">
        <v>1302</v>
      </c>
      <c r="M59" t="s">
        <v>346</v>
      </c>
      <c r="N59" t="s">
        <v>1683</v>
      </c>
      <c r="O59" t="s">
        <v>1684</v>
      </c>
      <c r="P59" t="s">
        <v>1685</v>
      </c>
      <c r="Q59" s="128">
        <v>44369</v>
      </c>
      <c r="R59" s="128">
        <v>44459</v>
      </c>
      <c r="S59" t="s">
        <v>1685</v>
      </c>
      <c r="T59" s="128">
        <v>44369</v>
      </c>
      <c r="U59">
        <v>0</v>
      </c>
      <c r="V59">
        <v>0</v>
      </c>
      <c r="W59" t="s">
        <v>262</v>
      </c>
      <c r="X59" t="s">
        <v>1685</v>
      </c>
      <c r="AA59" t="s">
        <v>1</v>
      </c>
      <c r="AB59" t="s">
        <v>1685</v>
      </c>
      <c r="AC59" s="128">
        <v>44369</v>
      </c>
      <c r="AD59" t="s">
        <v>349</v>
      </c>
      <c r="AE59" t="s">
        <v>1115</v>
      </c>
      <c r="AF59" t="s">
        <v>1116</v>
      </c>
      <c r="AG59" t="s">
        <v>0</v>
      </c>
      <c r="AH59">
        <v>1</v>
      </c>
      <c r="AI59" t="b">
        <v>0</v>
      </c>
      <c r="AK59" t="b">
        <v>0</v>
      </c>
      <c r="AM59" t="b">
        <v>0</v>
      </c>
      <c r="AN59" t="b">
        <v>0</v>
      </c>
      <c r="AO59" t="b">
        <v>0</v>
      </c>
      <c r="AP59" t="b">
        <v>0</v>
      </c>
      <c r="AQ59" t="b">
        <v>0</v>
      </c>
      <c r="AR59" t="b">
        <v>0</v>
      </c>
      <c r="AS59" t="b">
        <v>0</v>
      </c>
      <c r="AT59" t="s">
        <v>1686</v>
      </c>
      <c r="AU59">
        <v>9228291</v>
      </c>
      <c r="AV59" t="s">
        <v>730</v>
      </c>
      <c r="AW59" t="s">
        <v>951</v>
      </c>
      <c r="AX59" s="128">
        <v>44509</v>
      </c>
      <c r="AY59" t="s">
        <v>1101</v>
      </c>
      <c r="AZ59" t="s">
        <v>10</v>
      </c>
      <c r="BA59" t="s">
        <v>80</v>
      </c>
      <c r="BB59" t="s">
        <v>41</v>
      </c>
      <c r="BD59" t="s">
        <v>30</v>
      </c>
      <c r="BG59" s="128"/>
      <c r="BH59" t="b">
        <v>0</v>
      </c>
      <c r="BK59" t="s">
        <v>1382</v>
      </c>
      <c r="CC59" s="128"/>
      <c r="CE59" s="128"/>
      <c r="CG59" s="128"/>
      <c r="CI59" s="128"/>
      <c r="CK59" s="128"/>
      <c r="CM59" s="128"/>
      <c r="CO59" s="128"/>
      <c r="CT59" s="128"/>
      <c r="CV59" s="128"/>
    </row>
    <row r="60" spans="1:100" x14ac:dyDescent="0.2">
      <c r="A60" t="s">
        <v>1688</v>
      </c>
      <c r="B60" s="128">
        <v>44369</v>
      </c>
      <c r="C60" t="s">
        <v>1687</v>
      </c>
      <c r="D60" t="s">
        <v>364</v>
      </c>
      <c r="E60" t="s">
        <v>1104</v>
      </c>
      <c r="F60" t="s">
        <v>1105</v>
      </c>
      <c r="G60" t="s">
        <v>390</v>
      </c>
      <c r="H60" t="s">
        <v>1652</v>
      </c>
      <c r="I60" t="s">
        <v>10</v>
      </c>
      <c r="J60" t="s">
        <v>1301</v>
      </c>
      <c r="K60" t="s">
        <v>80</v>
      </c>
      <c r="L60" t="s">
        <v>1302</v>
      </c>
      <c r="M60" t="s">
        <v>346</v>
      </c>
      <c r="N60" t="s">
        <v>1689</v>
      </c>
      <c r="O60" t="s">
        <v>1684</v>
      </c>
      <c r="P60" t="s">
        <v>1690</v>
      </c>
      <c r="Q60" s="128">
        <v>44369</v>
      </c>
      <c r="R60" s="128">
        <v>44459</v>
      </c>
      <c r="S60" t="s">
        <v>1690</v>
      </c>
      <c r="T60" s="128">
        <v>44369</v>
      </c>
      <c r="U60">
        <v>0</v>
      </c>
      <c r="V60">
        <v>0</v>
      </c>
      <c r="W60" t="s">
        <v>262</v>
      </c>
      <c r="X60" t="s">
        <v>1690</v>
      </c>
      <c r="AA60" t="s">
        <v>1</v>
      </c>
      <c r="AB60" t="s">
        <v>1690</v>
      </c>
      <c r="AC60" s="128">
        <v>44369</v>
      </c>
      <c r="AD60" t="s">
        <v>349</v>
      </c>
      <c r="AE60" t="s">
        <v>1115</v>
      </c>
      <c r="AF60" t="s">
        <v>1116</v>
      </c>
      <c r="AG60" t="s">
        <v>0</v>
      </c>
      <c r="AH60">
        <v>1</v>
      </c>
      <c r="AI60" t="b">
        <v>0</v>
      </c>
      <c r="AK60" t="b">
        <v>0</v>
      </c>
      <c r="AM60" t="b">
        <v>0</v>
      </c>
      <c r="AN60" t="b">
        <v>0</v>
      </c>
      <c r="AO60" t="b">
        <v>0</v>
      </c>
      <c r="AP60" t="b">
        <v>0</v>
      </c>
      <c r="AQ60" t="b">
        <v>0</v>
      </c>
      <c r="AR60" t="b">
        <v>0</v>
      </c>
      <c r="AS60" t="b">
        <v>0</v>
      </c>
      <c r="AT60" t="s">
        <v>1691</v>
      </c>
      <c r="AU60">
        <v>9228291</v>
      </c>
      <c r="AV60" t="s">
        <v>730</v>
      </c>
      <c r="AW60" t="s">
        <v>951</v>
      </c>
      <c r="AX60" s="128">
        <v>44509</v>
      </c>
      <c r="AY60" t="s">
        <v>1101</v>
      </c>
      <c r="AZ60" t="s">
        <v>10</v>
      </c>
      <c r="BA60" t="s">
        <v>80</v>
      </c>
      <c r="BB60" t="s">
        <v>41</v>
      </c>
      <c r="BD60" t="s">
        <v>30</v>
      </c>
      <c r="BG60" s="128"/>
      <c r="BH60" t="b">
        <v>0</v>
      </c>
      <c r="BK60" t="s">
        <v>1382</v>
      </c>
      <c r="CC60" s="128"/>
      <c r="CE60" s="128"/>
      <c r="CG60" s="128"/>
      <c r="CI60" s="128"/>
      <c r="CK60" s="128"/>
      <c r="CM60" s="128"/>
      <c r="CO60" s="128"/>
      <c r="CT60" s="128"/>
      <c r="CV60" s="128"/>
    </row>
    <row r="61" spans="1:100" ht="247" x14ac:dyDescent="0.2">
      <c r="A61" t="s">
        <v>1693</v>
      </c>
      <c r="B61" s="128">
        <v>44388</v>
      </c>
      <c r="C61" t="s">
        <v>1692</v>
      </c>
      <c r="D61" t="s">
        <v>364</v>
      </c>
      <c r="E61" t="s">
        <v>1104</v>
      </c>
      <c r="F61" t="s">
        <v>1105</v>
      </c>
      <c r="G61" t="s">
        <v>390</v>
      </c>
      <c r="H61" t="s">
        <v>1652</v>
      </c>
      <c r="I61" t="s">
        <v>584</v>
      </c>
      <c r="J61" t="s">
        <v>1107</v>
      </c>
      <c r="K61" t="s">
        <v>82</v>
      </c>
      <c r="L61" t="s">
        <v>1108</v>
      </c>
      <c r="M61" t="s">
        <v>346</v>
      </c>
      <c r="N61" t="s">
        <v>1694</v>
      </c>
      <c r="O61" t="s">
        <v>1695</v>
      </c>
      <c r="P61" t="s">
        <v>1696</v>
      </c>
      <c r="Q61" s="128">
        <v>44388</v>
      </c>
      <c r="R61" s="128">
        <v>44478</v>
      </c>
      <c r="S61" t="s">
        <v>1697</v>
      </c>
      <c r="T61" s="128">
        <v>44407</v>
      </c>
      <c r="U61">
        <v>0</v>
      </c>
      <c r="V61">
        <v>0</v>
      </c>
      <c r="W61" t="s">
        <v>262</v>
      </c>
      <c r="X61" s="99" t="s">
        <v>1698</v>
      </c>
      <c r="AA61" t="s">
        <v>1</v>
      </c>
      <c r="AB61" t="s">
        <v>1699</v>
      </c>
      <c r="AC61" s="128">
        <v>44407</v>
      </c>
      <c r="AD61" t="s">
        <v>349</v>
      </c>
      <c r="AE61" t="s">
        <v>1115</v>
      </c>
      <c r="AF61" t="s">
        <v>1116</v>
      </c>
      <c r="AG61" t="s">
        <v>0</v>
      </c>
      <c r="AH61">
        <v>1</v>
      </c>
      <c r="AI61" t="b">
        <v>0</v>
      </c>
      <c r="AK61" t="b">
        <v>0</v>
      </c>
      <c r="AM61" t="b">
        <v>0</v>
      </c>
      <c r="AN61" t="b">
        <v>0</v>
      </c>
      <c r="AO61" t="b">
        <v>0</v>
      </c>
      <c r="AP61" t="b">
        <v>0</v>
      </c>
      <c r="AQ61" t="b">
        <v>0</v>
      </c>
      <c r="AR61" t="b">
        <v>0</v>
      </c>
      <c r="AS61" t="b">
        <v>0</v>
      </c>
      <c r="AT61" t="s">
        <v>1700</v>
      </c>
      <c r="AU61">
        <v>9228291</v>
      </c>
      <c r="AV61" t="s">
        <v>730</v>
      </c>
      <c r="AW61" t="s">
        <v>951</v>
      </c>
      <c r="AX61" s="128">
        <v>44509</v>
      </c>
      <c r="AY61" t="s">
        <v>1101</v>
      </c>
      <c r="AZ61" t="s">
        <v>584</v>
      </c>
      <c r="BA61" t="s">
        <v>82</v>
      </c>
      <c r="BB61" t="s">
        <v>52</v>
      </c>
      <c r="BD61" t="s">
        <v>30</v>
      </c>
      <c r="BG61" s="128"/>
      <c r="BH61" t="b">
        <v>0</v>
      </c>
      <c r="BK61" t="s">
        <v>1382</v>
      </c>
      <c r="CC61" s="128"/>
      <c r="CE61" s="128"/>
      <c r="CG61" s="128"/>
      <c r="CI61" s="128"/>
      <c r="CK61" s="128"/>
      <c r="CM61" s="128"/>
      <c r="CO61" s="128"/>
      <c r="CT61" s="128"/>
      <c r="CV61" s="128"/>
    </row>
    <row r="62" spans="1:100" x14ac:dyDescent="0.2">
      <c r="A62" t="s">
        <v>1702</v>
      </c>
      <c r="B62" s="128">
        <v>44204</v>
      </c>
      <c r="C62" t="s">
        <v>1701</v>
      </c>
      <c r="D62" t="s">
        <v>364</v>
      </c>
      <c r="E62" t="s">
        <v>1104</v>
      </c>
      <c r="F62" t="s">
        <v>1105</v>
      </c>
      <c r="G62" t="s">
        <v>390</v>
      </c>
      <c r="H62" t="s">
        <v>1703</v>
      </c>
      <c r="I62" t="s">
        <v>14</v>
      </c>
      <c r="J62" t="s">
        <v>1325</v>
      </c>
      <c r="K62" t="s">
        <v>86</v>
      </c>
      <c r="L62" t="s">
        <v>1704</v>
      </c>
      <c r="M62" t="s">
        <v>346</v>
      </c>
      <c r="N62" t="s">
        <v>1705</v>
      </c>
      <c r="O62" t="s">
        <v>1706</v>
      </c>
      <c r="P62" t="s">
        <v>1707</v>
      </c>
      <c r="Q62" s="128">
        <v>44206</v>
      </c>
      <c r="R62" s="128">
        <v>44264</v>
      </c>
      <c r="S62" t="s">
        <v>1707</v>
      </c>
      <c r="T62" s="128">
        <v>44206</v>
      </c>
      <c r="U62">
        <v>0</v>
      </c>
      <c r="V62">
        <v>0</v>
      </c>
      <c r="W62" t="s">
        <v>262</v>
      </c>
      <c r="X62" t="s">
        <v>1708</v>
      </c>
      <c r="AA62" t="s">
        <v>1</v>
      </c>
      <c r="AB62" t="s">
        <v>1709</v>
      </c>
      <c r="AC62" s="128">
        <v>44206</v>
      </c>
      <c r="AD62" t="s">
        <v>349</v>
      </c>
      <c r="AE62" t="s">
        <v>1115</v>
      </c>
      <c r="AF62" t="s">
        <v>1116</v>
      </c>
      <c r="AG62" t="s">
        <v>0</v>
      </c>
      <c r="AH62">
        <v>2</v>
      </c>
      <c r="AI62" t="b">
        <v>0</v>
      </c>
      <c r="AK62" t="b">
        <v>1</v>
      </c>
      <c r="AL62">
        <v>29.5</v>
      </c>
      <c r="AM62" t="b">
        <v>1</v>
      </c>
      <c r="AN62" t="b">
        <v>0</v>
      </c>
      <c r="AO62" t="b">
        <v>0</v>
      </c>
      <c r="AP62" t="b">
        <v>0</v>
      </c>
      <c r="AQ62" t="b">
        <v>0</v>
      </c>
      <c r="AR62" t="b">
        <v>0</v>
      </c>
      <c r="AS62" t="b">
        <v>0</v>
      </c>
      <c r="AT62" t="s">
        <v>1712</v>
      </c>
      <c r="AU62">
        <v>9228291</v>
      </c>
      <c r="AV62" t="s">
        <v>730</v>
      </c>
      <c r="AW62" t="s">
        <v>951</v>
      </c>
      <c r="AX62" s="128">
        <v>44509</v>
      </c>
      <c r="AY62" t="s">
        <v>1101</v>
      </c>
      <c r="AZ62" t="s">
        <v>14</v>
      </c>
      <c r="BA62" t="s">
        <v>86</v>
      </c>
      <c r="BB62" t="s">
        <v>43</v>
      </c>
      <c r="BD62" t="s">
        <v>756</v>
      </c>
      <c r="BG62" s="128"/>
      <c r="BH62" t="b">
        <v>0</v>
      </c>
      <c r="BK62" t="s">
        <v>1382</v>
      </c>
      <c r="CC62" s="128"/>
      <c r="CE62" s="128"/>
      <c r="CG62" s="128"/>
      <c r="CI62" s="128"/>
      <c r="CK62" s="128"/>
      <c r="CM62" s="128"/>
      <c r="CO62" s="128"/>
      <c r="CT62" s="128"/>
      <c r="CV62" s="128"/>
    </row>
    <row r="63" spans="1:100" ht="409.5" x14ac:dyDescent="0.2">
      <c r="A63" t="s">
        <v>1714</v>
      </c>
      <c r="B63" s="128">
        <v>44374</v>
      </c>
      <c r="C63" t="s">
        <v>1713</v>
      </c>
      <c r="D63" t="s">
        <v>337</v>
      </c>
      <c r="E63" t="s">
        <v>1426</v>
      </c>
      <c r="F63" t="s">
        <v>1427</v>
      </c>
      <c r="G63" t="s">
        <v>365</v>
      </c>
      <c r="H63" t="s">
        <v>1715</v>
      </c>
      <c r="I63" t="s">
        <v>339</v>
      </c>
      <c r="J63" t="s">
        <v>1429</v>
      </c>
      <c r="K63" t="s">
        <v>757</v>
      </c>
      <c r="L63" t="s">
        <v>1475</v>
      </c>
      <c r="M63" t="s">
        <v>346</v>
      </c>
      <c r="N63" s="99" t="s">
        <v>1716</v>
      </c>
      <c r="O63" t="s">
        <v>1717</v>
      </c>
      <c r="P63" t="s">
        <v>1718</v>
      </c>
      <c r="Q63" s="128"/>
      <c r="R63" s="128">
        <v>44485</v>
      </c>
      <c r="T63" s="128"/>
      <c r="U63">
        <v>0</v>
      </c>
      <c r="V63">
        <v>0</v>
      </c>
      <c r="W63" t="s">
        <v>262</v>
      </c>
      <c r="X63" s="99" t="s">
        <v>1719</v>
      </c>
      <c r="AB63" t="s">
        <v>1720</v>
      </c>
      <c r="AC63" s="128">
        <v>44374</v>
      </c>
      <c r="AD63" t="s">
        <v>349</v>
      </c>
      <c r="AE63" t="s">
        <v>1721</v>
      </c>
      <c r="AF63" t="s">
        <v>1116</v>
      </c>
      <c r="AG63" t="s">
        <v>0</v>
      </c>
      <c r="AH63">
        <v>1</v>
      </c>
      <c r="AI63" t="b">
        <v>0</v>
      </c>
      <c r="AK63" t="b">
        <v>0</v>
      </c>
      <c r="AM63" t="b">
        <v>0</v>
      </c>
      <c r="AN63" t="b">
        <v>0</v>
      </c>
      <c r="AO63" t="b">
        <v>0</v>
      </c>
      <c r="AP63" t="b">
        <v>0</v>
      </c>
      <c r="AQ63" t="b">
        <v>0</v>
      </c>
      <c r="AR63" t="b">
        <v>1</v>
      </c>
      <c r="AS63" t="b">
        <v>0</v>
      </c>
      <c r="AT63" t="s">
        <v>1729</v>
      </c>
      <c r="AU63">
        <v>9228291</v>
      </c>
      <c r="AV63" t="s">
        <v>730</v>
      </c>
      <c r="AW63" t="s">
        <v>951</v>
      </c>
      <c r="AX63" s="128">
        <v>44509</v>
      </c>
      <c r="AY63" t="s">
        <v>1101</v>
      </c>
      <c r="AZ63" t="s">
        <v>10</v>
      </c>
      <c r="BA63" t="s">
        <v>80</v>
      </c>
      <c r="BB63" t="s">
        <v>41</v>
      </c>
      <c r="BD63" t="s">
        <v>757</v>
      </c>
      <c r="BE63">
        <v>2.7</v>
      </c>
      <c r="BG63" s="128"/>
      <c r="BH63" t="b">
        <v>0</v>
      </c>
      <c r="BK63" t="s">
        <v>1382</v>
      </c>
      <c r="BL63" t="s">
        <v>1723</v>
      </c>
      <c r="BN63" t="s">
        <v>1724</v>
      </c>
      <c r="BO63" t="s">
        <v>1725</v>
      </c>
      <c r="BP63" t="s">
        <v>1439</v>
      </c>
      <c r="BQ63" t="s">
        <v>1440</v>
      </c>
      <c r="BS63" t="s">
        <v>1726</v>
      </c>
      <c r="BT63" t="s">
        <v>1727</v>
      </c>
      <c r="BU63" t="s">
        <v>1443</v>
      </c>
      <c r="CC63" s="128"/>
      <c r="CE63" s="128"/>
      <c r="CG63" s="128"/>
      <c r="CI63" s="128"/>
      <c r="CK63" s="128"/>
      <c r="CM63" s="128"/>
      <c r="CO63" s="128"/>
      <c r="CP63" t="s">
        <v>785</v>
      </c>
      <c r="CQ63" t="s">
        <v>1728</v>
      </c>
      <c r="CR63" t="s">
        <v>1445</v>
      </c>
      <c r="CS63">
        <v>8</v>
      </c>
      <c r="CT63" s="128">
        <v>44393</v>
      </c>
      <c r="CU63" t="s">
        <v>1721</v>
      </c>
      <c r="CV63" s="128">
        <v>44393</v>
      </c>
    </row>
    <row r="64" spans="1:100" ht="409.5" x14ac:dyDescent="0.2">
      <c r="A64" t="s">
        <v>1731</v>
      </c>
      <c r="B64" s="128">
        <v>44374</v>
      </c>
      <c r="C64" t="s">
        <v>1730</v>
      </c>
      <c r="D64" t="s">
        <v>337</v>
      </c>
      <c r="E64" t="s">
        <v>1426</v>
      </c>
      <c r="F64" t="s">
        <v>1427</v>
      </c>
      <c r="G64" t="s">
        <v>365</v>
      </c>
      <c r="H64" t="s">
        <v>1715</v>
      </c>
      <c r="I64" t="s">
        <v>339</v>
      </c>
      <c r="J64" t="s">
        <v>1429</v>
      </c>
      <c r="K64" t="s">
        <v>755</v>
      </c>
      <c r="L64" t="s">
        <v>1732</v>
      </c>
      <c r="M64" t="s">
        <v>346</v>
      </c>
      <c r="N64" t="s">
        <v>1733</v>
      </c>
      <c r="O64" t="s">
        <v>1734</v>
      </c>
      <c r="P64" t="s">
        <v>1735</v>
      </c>
      <c r="Q64" s="128">
        <v>44381</v>
      </c>
      <c r="R64" s="128" t="s">
        <v>1736</v>
      </c>
      <c r="S64" t="s">
        <v>1737</v>
      </c>
      <c r="T64" s="128">
        <v>44393</v>
      </c>
      <c r="U64">
        <v>0</v>
      </c>
      <c r="V64">
        <v>0</v>
      </c>
      <c r="W64" t="s">
        <v>262</v>
      </c>
      <c r="X64" s="99" t="s">
        <v>1738</v>
      </c>
      <c r="AA64" t="s">
        <v>3</v>
      </c>
      <c r="AB64" t="s">
        <v>1739</v>
      </c>
      <c r="AC64" s="128">
        <v>44381</v>
      </c>
      <c r="AD64" t="s">
        <v>349</v>
      </c>
      <c r="AE64" t="s">
        <v>1721</v>
      </c>
      <c r="AF64" t="s">
        <v>1116</v>
      </c>
      <c r="AG64" t="s">
        <v>0</v>
      </c>
      <c r="AH64">
        <v>1</v>
      </c>
      <c r="AI64" t="b">
        <v>0</v>
      </c>
      <c r="AK64" t="b">
        <v>0</v>
      </c>
      <c r="AM64" t="b">
        <v>0</v>
      </c>
      <c r="AN64" t="b">
        <v>0</v>
      </c>
      <c r="AO64" t="b">
        <v>0</v>
      </c>
      <c r="AP64" t="b">
        <v>0</v>
      </c>
      <c r="AQ64" t="b">
        <v>0</v>
      </c>
      <c r="AR64" t="b">
        <v>0</v>
      </c>
      <c r="AS64" t="b">
        <v>0</v>
      </c>
      <c r="AT64" t="s">
        <v>1741</v>
      </c>
      <c r="AU64">
        <v>9228291</v>
      </c>
      <c r="AV64" t="s">
        <v>730</v>
      </c>
      <c r="AW64" t="s">
        <v>951</v>
      </c>
      <c r="AX64" s="128">
        <v>44509</v>
      </c>
      <c r="AY64" t="s">
        <v>1101</v>
      </c>
      <c r="BB64" t="s">
        <v>336</v>
      </c>
      <c r="BD64" t="s">
        <v>755</v>
      </c>
      <c r="BE64">
        <v>4.2</v>
      </c>
      <c r="BG64" s="128"/>
      <c r="BH64" t="b">
        <v>0</v>
      </c>
      <c r="BK64" t="s">
        <v>1382</v>
      </c>
      <c r="BL64" t="s">
        <v>1723</v>
      </c>
      <c r="BN64" t="s">
        <v>1724</v>
      </c>
      <c r="BO64" t="s">
        <v>1725</v>
      </c>
      <c r="BP64" t="s">
        <v>1439</v>
      </c>
      <c r="BQ64" t="s">
        <v>1440</v>
      </c>
      <c r="BS64" t="s">
        <v>1726</v>
      </c>
      <c r="BT64" t="s">
        <v>1727</v>
      </c>
      <c r="BU64" t="s">
        <v>1443</v>
      </c>
      <c r="CC64" s="128"/>
      <c r="CE64" s="128"/>
      <c r="CG64" s="128"/>
      <c r="CI64" s="128"/>
      <c r="CK64" s="128"/>
      <c r="CM64" s="128"/>
      <c r="CO64" s="128"/>
      <c r="CP64" t="s">
        <v>785</v>
      </c>
      <c r="CQ64" t="s">
        <v>1728</v>
      </c>
      <c r="CR64" t="s">
        <v>1445</v>
      </c>
      <c r="CS64">
        <v>5</v>
      </c>
      <c r="CT64" s="128">
        <v>44393</v>
      </c>
      <c r="CU64" t="s">
        <v>1721</v>
      </c>
      <c r="CV64" s="128">
        <v>44393</v>
      </c>
    </row>
    <row r="65" spans="1:100" ht="409.5" x14ac:dyDescent="0.2">
      <c r="A65" t="s">
        <v>1743</v>
      </c>
      <c r="B65" s="128">
        <v>44374</v>
      </c>
      <c r="C65" t="s">
        <v>1742</v>
      </c>
      <c r="D65" t="s">
        <v>337</v>
      </c>
      <c r="E65" t="s">
        <v>1426</v>
      </c>
      <c r="F65" t="s">
        <v>1427</v>
      </c>
      <c r="G65" t="s">
        <v>365</v>
      </c>
      <c r="H65" t="s">
        <v>1715</v>
      </c>
      <c r="I65" t="s">
        <v>339</v>
      </c>
      <c r="J65" t="s">
        <v>1429</v>
      </c>
      <c r="K65" t="s">
        <v>28</v>
      </c>
      <c r="L65" t="s">
        <v>1430</v>
      </c>
      <c r="M65" t="s">
        <v>346</v>
      </c>
      <c r="N65" t="s">
        <v>1744</v>
      </c>
      <c r="O65" t="s">
        <v>1745</v>
      </c>
      <c r="P65" t="s">
        <v>1746</v>
      </c>
      <c r="Q65" s="128">
        <v>44374</v>
      </c>
      <c r="R65" s="128">
        <v>44393</v>
      </c>
      <c r="S65" t="s">
        <v>1747</v>
      </c>
      <c r="T65" s="128">
        <v>44393</v>
      </c>
      <c r="U65">
        <v>0</v>
      </c>
      <c r="V65">
        <v>0</v>
      </c>
      <c r="W65" t="s">
        <v>262</v>
      </c>
      <c r="X65" s="99" t="s">
        <v>1748</v>
      </c>
      <c r="AA65" t="s">
        <v>1</v>
      </c>
      <c r="AB65" t="s">
        <v>1749</v>
      </c>
      <c r="AC65" s="128">
        <v>44374</v>
      </c>
      <c r="AD65" t="s">
        <v>349</v>
      </c>
      <c r="AE65" t="s">
        <v>1721</v>
      </c>
      <c r="AF65" t="s">
        <v>1116</v>
      </c>
      <c r="AG65" t="s">
        <v>0</v>
      </c>
      <c r="AH65">
        <v>1</v>
      </c>
      <c r="AI65" t="b">
        <v>0</v>
      </c>
      <c r="AK65" t="b">
        <v>0</v>
      </c>
      <c r="AM65" t="b">
        <v>0</v>
      </c>
      <c r="AN65" t="b">
        <v>0</v>
      </c>
      <c r="AO65" t="b">
        <v>0</v>
      </c>
      <c r="AP65" t="b">
        <v>0</v>
      </c>
      <c r="AQ65" t="b">
        <v>0</v>
      </c>
      <c r="AR65" t="b">
        <v>0</v>
      </c>
      <c r="AS65" t="b">
        <v>0</v>
      </c>
      <c r="AT65" t="s">
        <v>1751</v>
      </c>
      <c r="AU65">
        <v>9228291</v>
      </c>
      <c r="AV65" t="s">
        <v>730</v>
      </c>
      <c r="AW65" t="s">
        <v>951</v>
      </c>
      <c r="AX65" s="128">
        <v>44509</v>
      </c>
      <c r="AY65" t="s">
        <v>1101</v>
      </c>
      <c r="BB65" t="s">
        <v>36</v>
      </c>
      <c r="BD65" t="s">
        <v>28</v>
      </c>
      <c r="BE65">
        <v>5.4</v>
      </c>
      <c r="BG65" s="128"/>
      <c r="BH65" t="b">
        <v>0</v>
      </c>
      <c r="BK65" t="s">
        <v>1382</v>
      </c>
      <c r="BL65" t="s">
        <v>1723</v>
      </c>
      <c r="BN65" t="s">
        <v>1724</v>
      </c>
      <c r="BO65" t="s">
        <v>1725</v>
      </c>
      <c r="BP65" t="s">
        <v>1439</v>
      </c>
      <c r="BQ65" t="s">
        <v>1440</v>
      </c>
      <c r="BS65" t="s">
        <v>1726</v>
      </c>
      <c r="BT65" t="s">
        <v>1727</v>
      </c>
      <c r="BU65" t="s">
        <v>1443</v>
      </c>
      <c r="CC65" s="128"/>
      <c r="CE65" s="128"/>
      <c r="CG65" s="128"/>
      <c r="CI65" s="128"/>
      <c r="CK65" s="128"/>
      <c r="CM65" s="128"/>
      <c r="CO65" s="128"/>
      <c r="CP65" t="s">
        <v>785</v>
      </c>
      <c r="CQ65" t="s">
        <v>1728</v>
      </c>
      <c r="CR65" t="s">
        <v>1445</v>
      </c>
      <c r="CS65">
        <v>10</v>
      </c>
      <c r="CT65" s="128">
        <v>44393</v>
      </c>
      <c r="CU65" t="s">
        <v>1721</v>
      </c>
      <c r="CV65" s="128">
        <v>44393</v>
      </c>
    </row>
    <row r="66" spans="1:100" ht="409.5" x14ac:dyDescent="0.2">
      <c r="A66" t="s">
        <v>1752</v>
      </c>
      <c r="B66" s="128">
        <v>44374</v>
      </c>
      <c r="C66" t="s">
        <v>1394</v>
      </c>
      <c r="D66" t="s">
        <v>337</v>
      </c>
      <c r="E66" t="s">
        <v>1426</v>
      </c>
      <c r="F66" t="s">
        <v>1427</v>
      </c>
      <c r="G66" t="s">
        <v>365</v>
      </c>
      <c r="H66" t="s">
        <v>1715</v>
      </c>
      <c r="I66" t="s">
        <v>339</v>
      </c>
      <c r="J66" t="s">
        <v>1429</v>
      </c>
      <c r="K66" t="s">
        <v>29</v>
      </c>
      <c r="L66" t="s">
        <v>1753</v>
      </c>
      <c r="M66" t="s">
        <v>346</v>
      </c>
      <c r="N66" t="s">
        <v>1754</v>
      </c>
      <c r="O66" t="s">
        <v>1755</v>
      </c>
      <c r="P66" t="s">
        <v>1718</v>
      </c>
      <c r="Q66" s="128">
        <v>44374</v>
      </c>
      <c r="R66" s="128">
        <v>44374</v>
      </c>
      <c r="S66" t="s">
        <v>1718</v>
      </c>
      <c r="T66" s="128">
        <v>44374</v>
      </c>
      <c r="U66">
        <v>0</v>
      </c>
      <c r="V66">
        <v>0</v>
      </c>
      <c r="W66" t="s">
        <v>262</v>
      </c>
      <c r="X66" s="99" t="s">
        <v>1756</v>
      </c>
      <c r="AA66" t="s">
        <v>5</v>
      </c>
      <c r="AB66" t="s">
        <v>1718</v>
      </c>
      <c r="AC66" s="128">
        <v>44374</v>
      </c>
      <c r="AD66" t="s">
        <v>349</v>
      </c>
      <c r="AE66" t="s">
        <v>1721</v>
      </c>
      <c r="AF66" t="s">
        <v>1116</v>
      </c>
      <c r="AG66" t="s">
        <v>0</v>
      </c>
      <c r="AH66">
        <v>1</v>
      </c>
      <c r="AI66" t="b">
        <v>0</v>
      </c>
      <c r="AK66" t="b">
        <v>0</v>
      </c>
      <c r="AM66" t="b">
        <v>0</v>
      </c>
      <c r="AN66" t="b">
        <v>0</v>
      </c>
      <c r="AO66" t="b">
        <v>0</v>
      </c>
      <c r="AP66" t="b">
        <v>0</v>
      </c>
      <c r="AQ66" t="b">
        <v>0</v>
      </c>
      <c r="AR66" t="b">
        <v>0</v>
      </c>
      <c r="AS66" t="b">
        <v>0</v>
      </c>
      <c r="AT66" t="s">
        <v>1758</v>
      </c>
      <c r="AU66">
        <v>9228291</v>
      </c>
      <c r="AV66" t="s">
        <v>730</v>
      </c>
      <c r="AW66" t="s">
        <v>951</v>
      </c>
      <c r="AX66" s="128">
        <v>44509</v>
      </c>
      <c r="AY66" t="s">
        <v>1101</v>
      </c>
      <c r="BB66" t="s">
        <v>46</v>
      </c>
      <c r="BD66" t="s">
        <v>29</v>
      </c>
      <c r="BE66">
        <v>6.15</v>
      </c>
      <c r="BG66" s="128"/>
      <c r="BH66" t="b">
        <v>0</v>
      </c>
      <c r="BK66" t="s">
        <v>1382</v>
      </c>
      <c r="BL66" t="s">
        <v>1723</v>
      </c>
      <c r="BN66" t="s">
        <v>1724</v>
      </c>
      <c r="BO66" t="s">
        <v>1725</v>
      </c>
      <c r="BP66" t="s">
        <v>1439</v>
      </c>
      <c r="BQ66" t="s">
        <v>1440</v>
      </c>
      <c r="BS66" t="s">
        <v>1726</v>
      </c>
      <c r="BT66" t="s">
        <v>1727</v>
      </c>
      <c r="BU66" t="s">
        <v>1443</v>
      </c>
      <c r="CC66" s="128"/>
      <c r="CE66" s="128"/>
      <c r="CG66" s="128"/>
      <c r="CI66" s="128"/>
      <c r="CK66" s="128"/>
      <c r="CM66" s="128"/>
      <c r="CO66" s="128"/>
      <c r="CP66" t="s">
        <v>785</v>
      </c>
      <c r="CQ66" t="s">
        <v>1728</v>
      </c>
      <c r="CR66" t="s">
        <v>1445</v>
      </c>
      <c r="CS66">
        <v>8</v>
      </c>
      <c r="CT66" s="128">
        <v>44393</v>
      </c>
      <c r="CU66" t="s">
        <v>1721</v>
      </c>
      <c r="CV66" s="128">
        <v>44393</v>
      </c>
    </row>
    <row r="67" spans="1:100" ht="409.5" x14ac:dyDescent="0.2">
      <c r="A67" t="s">
        <v>1759</v>
      </c>
      <c r="B67" s="128">
        <v>44374</v>
      </c>
      <c r="C67" t="s">
        <v>1421</v>
      </c>
      <c r="D67" t="s">
        <v>337</v>
      </c>
      <c r="E67" t="s">
        <v>1426</v>
      </c>
      <c r="F67" t="s">
        <v>1427</v>
      </c>
      <c r="G67" t="s">
        <v>365</v>
      </c>
      <c r="H67" t="s">
        <v>1715</v>
      </c>
      <c r="I67" t="s">
        <v>339</v>
      </c>
      <c r="J67" t="s">
        <v>1429</v>
      </c>
      <c r="K67" t="s">
        <v>30</v>
      </c>
      <c r="L67" t="s">
        <v>1457</v>
      </c>
      <c r="M67" t="s">
        <v>346</v>
      </c>
      <c r="N67" t="s">
        <v>1760</v>
      </c>
      <c r="O67" t="s">
        <v>1761</v>
      </c>
      <c r="P67" t="s">
        <v>1762</v>
      </c>
      <c r="Q67" s="128">
        <v>44382</v>
      </c>
      <c r="R67" s="128"/>
      <c r="S67" t="s">
        <v>1763</v>
      </c>
      <c r="T67" s="128">
        <v>44382</v>
      </c>
      <c r="U67">
        <v>0</v>
      </c>
      <c r="V67">
        <v>0</v>
      </c>
      <c r="W67" t="s">
        <v>262</v>
      </c>
      <c r="X67" s="99" t="s">
        <v>1764</v>
      </c>
      <c r="AA67" t="s">
        <v>2</v>
      </c>
      <c r="AB67" t="s">
        <v>1765</v>
      </c>
      <c r="AC67" s="128">
        <v>44382</v>
      </c>
      <c r="AD67" t="s">
        <v>349</v>
      </c>
      <c r="AE67" t="s">
        <v>1721</v>
      </c>
      <c r="AF67" t="s">
        <v>1116</v>
      </c>
      <c r="AG67" t="s">
        <v>0</v>
      </c>
      <c r="AH67">
        <v>1</v>
      </c>
      <c r="AI67" t="b">
        <v>0</v>
      </c>
      <c r="AK67" t="b">
        <v>0</v>
      </c>
      <c r="AM67" t="b">
        <v>0</v>
      </c>
      <c r="AN67" t="b">
        <v>0</v>
      </c>
      <c r="AO67" t="b">
        <v>0</v>
      </c>
      <c r="AP67" t="b">
        <v>0</v>
      </c>
      <c r="AQ67" t="b">
        <v>0</v>
      </c>
      <c r="AR67" t="b">
        <v>0</v>
      </c>
      <c r="AS67" t="b">
        <v>0</v>
      </c>
      <c r="AT67" t="s">
        <v>1767</v>
      </c>
      <c r="AU67">
        <v>9228291</v>
      </c>
      <c r="AV67" t="s">
        <v>730</v>
      </c>
      <c r="AW67" t="s">
        <v>951</v>
      </c>
      <c r="AX67" s="128">
        <v>44509</v>
      </c>
      <c r="AY67" t="s">
        <v>1101</v>
      </c>
      <c r="AZ67" t="s">
        <v>582</v>
      </c>
      <c r="BB67" t="s">
        <v>40</v>
      </c>
      <c r="BD67" t="s">
        <v>30</v>
      </c>
      <c r="BE67">
        <v>8.17</v>
      </c>
      <c r="BG67" s="128"/>
      <c r="BH67" t="b">
        <v>0</v>
      </c>
      <c r="BK67" t="s">
        <v>1382</v>
      </c>
      <c r="BL67" t="s">
        <v>1723</v>
      </c>
      <c r="BN67" t="s">
        <v>1724</v>
      </c>
      <c r="BO67" t="s">
        <v>1725</v>
      </c>
      <c r="BP67" t="s">
        <v>1439</v>
      </c>
      <c r="BQ67" t="s">
        <v>1440</v>
      </c>
      <c r="BS67" t="s">
        <v>1726</v>
      </c>
      <c r="BT67" t="s">
        <v>1727</v>
      </c>
      <c r="BU67" t="s">
        <v>1443</v>
      </c>
      <c r="CC67" s="128"/>
      <c r="CE67" s="128"/>
      <c r="CG67" s="128"/>
      <c r="CI67" s="128"/>
      <c r="CK67" s="128"/>
      <c r="CM67" s="128"/>
      <c r="CO67" s="128"/>
      <c r="CP67" t="s">
        <v>785</v>
      </c>
      <c r="CQ67" t="s">
        <v>1728</v>
      </c>
      <c r="CR67" t="s">
        <v>1445</v>
      </c>
      <c r="CS67">
        <v>5</v>
      </c>
      <c r="CT67" s="128">
        <v>44393</v>
      </c>
      <c r="CU67" t="s">
        <v>1721</v>
      </c>
      <c r="CV67" s="128">
        <v>44393</v>
      </c>
    </row>
    <row r="68" spans="1:100" ht="409.5" x14ac:dyDescent="0.2">
      <c r="A68" t="s">
        <v>1769</v>
      </c>
      <c r="B68" s="128">
        <v>44374</v>
      </c>
      <c r="C68" t="s">
        <v>1768</v>
      </c>
      <c r="D68" t="s">
        <v>337</v>
      </c>
      <c r="E68" t="s">
        <v>1426</v>
      </c>
      <c r="F68" t="s">
        <v>1427</v>
      </c>
      <c r="G68" t="s">
        <v>365</v>
      </c>
      <c r="H68" t="s">
        <v>1715</v>
      </c>
      <c r="I68" t="s">
        <v>339</v>
      </c>
      <c r="J68" t="s">
        <v>1429</v>
      </c>
      <c r="K68" t="s">
        <v>31</v>
      </c>
      <c r="L68" t="s">
        <v>1449</v>
      </c>
      <c r="M68" t="s">
        <v>346</v>
      </c>
      <c r="N68" t="s">
        <v>1770</v>
      </c>
      <c r="O68" t="s">
        <v>1771</v>
      </c>
      <c r="P68" t="s">
        <v>1772</v>
      </c>
      <c r="Q68" s="128">
        <v>44382</v>
      </c>
      <c r="R68" s="128"/>
      <c r="S68" t="s">
        <v>1773</v>
      </c>
      <c r="T68" s="128">
        <v>44382</v>
      </c>
      <c r="U68">
        <v>0</v>
      </c>
      <c r="V68">
        <v>0</v>
      </c>
      <c r="W68" t="s">
        <v>262</v>
      </c>
      <c r="X68" s="99" t="s">
        <v>1774</v>
      </c>
      <c r="AA68" t="s">
        <v>1</v>
      </c>
      <c r="AB68" t="s">
        <v>1775</v>
      </c>
      <c r="AC68" s="128">
        <v>44382</v>
      </c>
      <c r="AD68" t="s">
        <v>349</v>
      </c>
      <c r="AE68" t="s">
        <v>1721</v>
      </c>
      <c r="AF68" t="s">
        <v>1116</v>
      </c>
      <c r="AG68" t="s">
        <v>0</v>
      </c>
      <c r="AH68">
        <v>1</v>
      </c>
      <c r="AI68" t="b">
        <v>0</v>
      </c>
      <c r="AK68" t="b">
        <v>0</v>
      </c>
      <c r="AM68" t="b">
        <v>0</v>
      </c>
      <c r="AN68" t="b">
        <v>0</v>
      </c>
      <c r="AO68" t="b">
        <v>0</v>
      </c>
      <c r="AP68" t="b">
        <v>0</v>
      </c>
      <c r="AQ68" t="b">
        <v>0</v>
      </c>
      <c r="AR68" t="b">
        <v>0</v>
      </c>
      <c r="AS68" t="b">
        <v>0</v>
      </c>
      <c r="AT68" t="s">
        <v>1777</v>
      </c>
      <c r="AU68">
        <v>9228291</v>
      </c>
      <c r="AV68" t="s">
        <v>730</v>
      </c>
      <c r="AW68" t="s">
        <v>951</v>
      </c>
      <c r="AX68" s="128">
        <v>44509</v>
      </c>
      <c r="AY68" t="s">
        <v>1101</v>
      </c>
      <c r="BB68" t="s">
        <v>42</v>
      </c>
      <c r="BD68" t="s">
        <v>31</v>
      </c>
      <c r="BE68">
        <v>9.19</v>
      </c>
      <c r="BG68" s="128"/>
      <c r="BH68" t="b">
        <v>0</v>
      </c>
      <c r="BK68" t="s">
        <v>1382</v>
      </c>
      <c r="BL68" t="s">
        <v>1723</v>
      </c>
      <c r="BN68" t="s">
        <v>1724</v>
      </c>
      <c r="BO68" t="s">
        <v>1725</v>
      </c>
      <c r="BP68" t="s">
        <v>1439</v>
      </c>
      <c r="BQ68" t="s">
        <v>1440</v>
      </c>
      <c r="BS68" t="s">
        <v>1726</v>
      </c>
      <c r="BT68" t="s">
        <v>1727</v>
      </c>
      <c r="BU68" t="s">
        <v>1443</v>
      </c>
      <c r="CC68" s="128"/>
      <c r="CE68" s="128"/>
      <c r="CG68" s="128"/>
      <c r="CI68" s="128"/>
      <c r="CK68" s="128"/>
      <c r="CM68" s="128"/>
      <c r="CO68" s="128"/>
      <c r="CP68" t="s">
        <v>785</v>
      </c>
      <c r="CQ68" t="s">
        <v>1728</v>
      </c>
      <c r="CR68" t="s">
        <v>1445</v>
      </c>
      <c r="CS68">
        <v>2</v>
      </c>
      <c r="CT68" s="128">
        <v>44393</v>
      </c>
      <c r="CU68" t="s">
        <v>1721</v>
      </c>
      <c r="CV68" s="128">
        <v>44393</v>
      </c>
    </row>
    <row r="69" spans="1:100" x14ac:dyDescent="0.2">
      <c r="A69" t="s">
        <v>1779</v>
      </c>
      <c r="B69" s="128">
        <v>44362</v>
      </c>
      <c r="C69" t="s">
        <v>1778</v>
      </c>
      <c r="D69" t="s">
        <v>358</v>
      </c>
      <c r="E69" t="s">
        <v>1780</v>
      </c>
      <c r="F69" t="s">
        <v>1781</v>
      </c>
      <c r="G69" t="s">
        <v>379</v>
      </c>
      <c r="I69" t="s">
        <v>360</v>
      </c>
      <c r="J69" t="s">
        <v>1782</v>
      </c>
      <c r="K69" t="s">
        <v>168</v>
      </c>
      <c r="L69" t="s">
        <v>1783</v>
      </c>
      <c r="M69" t="s">
        <v>346</v>
      </c>
      <c r="N69" t="s">
        <v>1784</v>
      </c>
      <c r="O69" t="s">
        <v>1785</v>
      </c>
      <c r="P69" t="s">
        <v>1786</v>
      </c>
      <c r="Q69" s="128">
        <v>44362</v>
      </c>
      <c r="R69" s="128"/>
      <c r="T69" s="128"/>
      <c r="U69">
        <v>0</v>
      </c>
      <c r="V69">
        <v>0</v>
      </c>
      <c r="W69" t="s">
        <v>262</v>
      </c>
      <c r="X69" t="s">
        <v>1787</v>
      </c>
      <c r="AA69" t="s">
        <v>1</v>
      </c>
      <c r="AB69" t="s">
        <v>1788</v>
      </c>
      <c r="AC69" s="128">
        <v>44362</v>
      </c>
      <c r="AD69" t="s">
        <v>349</v>
      </c>
      <c r="AE69" t="s">
        <v>1789</v>
      </c>
      <c r="AF69" t="s">
        <v>1116</v>
      </c>
      <c r="AG69" t="s">
        <v>0</v>
      </c>
      <c r="AH69">
        <v>1</v>
      </c>
      <c r="AI69" t="b">
        <v>0</v>
      </c>
      <c r="AK69" t="b">
        <v>0</v>
      </c>
      <c r="AM69" t="b">
        <v>0</v>
      </c>
      <c r="AN69" t="b">
        <v>0</v>
      </c>
      <c r="AO69" t="b">
        <v>0</v>
      </c>
      <c r="AP69" t="b">
        <v>0</v>
      </c>
      <c r="AQ69" t="b">
        <v>0</v>
      </c>
      <c r="AR69" t="b">
        <v>0</v>
      </c>
      <c r="AS69" t="b">
        <v>0</v>
      </c>
      <c r="AT69" t="s">
        <v>1801</v>
      </c>
      <c r="AU69">
        <v>9228291</v>
      </c>
      <c r="AV69" t="s">
        <v>730</v>
      </c>
      <c r="AW69" t="s">
        <v>951</v>
      </c>
      <c r="AX69" s="128">
        <v>44509</v>
      </c>
      <c r="AY69" t="s">
        <v>1101</v>
      </c>
      <c r="BB69" t="s">
        <v>168</v>
      </c>
      <c r="BC69" t="s">
        <v>1790</v>
      </c>
      <c r="BD69" t="s">
        <v>801</v>
      </c>
      <c r="BG69" s="128"/>
      <c r="BH69" t="b">
        <v>0</v>
      </c>
      <c r="BK69" t="s">
        <v>1382</v>
      </c>
      <c r="BL69" t="s">
        <v>1791</v>
      </c>
      <c r="BM69" t="s">
        <v>851</v>
      </c>
      <c r="BN69" t="s">
        <v>1792</v>
      </c>
      <c r="BO69" t="s">
        <v>1793</v>
      </c>
      <c r="BP69" t="s">
        <v>1794</v>
      </c>
      <c r="BQ69" t="s">
        <v>1795</v>
      </c>
      <c r="BR69" s="127">
        <v>7428.8193171296298</v>
      </c>
      <c r="BS69" t="s">
        <v>1796</v>
      </c>
      <c r="BT69" t="s">
        <v>1797</v>
      </c>
      <c r="BU69" t="s">
        <v>1443</v>
      </c>
      <c r="BV69" t="s">
        <v>1798</v>
      </c>
      <c r="BW69" t="s">
        <v>1799</v>
      </c>
      <c r="BX69" t="s">
        <v>1438</v>
      </c>
      <c r="BY69" t="s">
        <v>1800</v>
      </c>
      <c r="BZ69" t="s">
        <v>346</v>
      </c>
      <c r="CA69" t="s">
        <v>262</v>
      </c>
      <c r="CB69" t="s">
        <v>1789</v>
      </c>
      <c r="CC69" s="128"/>
      <c r="CD69" t="s">
        <v>341</v>
      </c>
      <c r="CE69" s="128">
        <v>44363</v>
      </c>
      <c r="CF69" t="s">
        <v>341</v>
      </c>
      <c r="CG69" s="128">
        <v>44363</v>
      </c>
      <c r="CH69" t="s">
        <v>262</v>
      </c>
      <c r="CI69" s="128"/>
      <c r="CJ69" t="s">
        <v>262</v>
      </c>
      <c r="CK69" s="128"/>
      <c r="CL69" t="s">
        <v>341</v>
      </c>
      <c r="CM69" s="128">
        <v>44363</v>
      </c>
      <c r="CO69" s="128"/>
      <c r="CT69" s="128"/>
      <c r="CV69" s="128"/>
    </row>
    <row r="70" spans="1:100" x14ac:dyDescent="0.2">
      <c r="A70" t="s">
        <v>1803</v>
      </c>
      <c r="B70" s="128">
        <v>44362</v>
      </c>
      <c r="C70" t="s">
        <v>1802</v>
      </c>
      <c r="D70" t="s">
        <v>358</v>
      </c>
      <c r="E70" t="s">
        <v>1780</v>
      </c>
      <c r="F70" t="s">
        <v>1781</v>
      </c>
      <c r="G70" t="s">
        <v>379</v>
      </c>
      <c r="I70" t="s">
        <v>360</v>
      </c>
      <c r="J70" t="s">
        <v>1782</v>
      </c>
      <c r="K70" t="s">
        <v>35</v>
      </c>
      <c r="L70" t="s">
        <v>1804</v>
      </c>
      <c r="M70" t="s">
        <v>346</v>
      </c>
      <c r="N70" t="s">
        <v>1805</v>
      </c>
      <c r="O70" t="s">
        <v>1806</v>
      </c>
      <c r="P70" t="s">
        <v>1807</v>
      </c>
      <c r="Q70" s="128">
        <v>44362</v>
      </c>
      <c r="R70" s="128"/>
      <c r="T70" s="128"/>
      <c r="U70">
        <v>0</v>
      </c>
      <c r="V70">
        <v>0</v>
      </c>
      <c r="W70" t="s">
        <v>262</v>
      </c>
      <c r="X70" t="s">
        <v>1808</v>
      </c>
      <c r="AA70" t="s">
        <v>1</v>
      </c>
      <c r="AB70" t="s">
        <v>1809</v>
      </c>
      <c r="AC70" s="128">
        <v>44362</v>
      </c>
      <c r="AD70" t="s">
        <v>349</v>
      </c>
      <c r="AE70" t="s">
        <v>1789</v>
      </c>
      <c r="AF70" t="s">
        <v>1116</v>
      </c>
      <c r="AG70" t="s">
        <v>0</v>
      </c>
      <c r="AH70">
        <v>1</v>
      </c>
      <c r="AI70" t="b">
        <v>0</v>
      </c>
      <c r="AK70" t="b">
        <v>0</v>
      </c>
      <c r="AM70" t="b">
        <v>0</v>
      </c>
      <c r="AN70" t="b">
        <v>0</v>
      </c>
      <c r="AO70" t="b">
        <v>0</v>
      </c>
      <c r="AP70" t="b">
        <v>0</v>
      </c>
      <c r="AQ70" t="b">
        <v>0</v>
      </c>
      <c r="AR70" t="b">
        <v>0</v>
      </c>
      <c r="AS70" t="b">
        <v>0</v>
      </c>
      <c r="AT70" t="s">
        <v>1811</v>
      </c>
      <c r="AU70">
        <v>9228291</v>
      </c>
      <c r="AV70" t="s">
        <v>730</v>
      </c>
      <c r="AW70" t="s">
        <v>951</v>
      </c>
      <c r="AX70" s="128">
        <v>44509</v>
      </c>
      <c r="AY70" t="s">
        <v>1101</v>
      </c>
      <c r="BB70" t="s">
        <v>35</v>
      </c>
      <c r="BC70">
        <v>15</v>
      </c>
      <c r="BD70" t="s">
        <v>757</v>
      </c>
      <c r="BG70" s="128"/>
      <c r="BH70" t="b">
        <v>0</v>
      </c>
      <c r="BK70" t="s">
        <v>1382</v>
      </c>
      <c r="BL70" t="s">
        <v>1791</v>
      </c>
      <c r="BM70" t="s">
        <v>851</v>
      </c>
      <c r="BN70" t="s">
        <v>1792</v>
      </c>
      <c r="BO70" t="s">
        <v>1793</v>
      </c>
      <c r="BP70" t="s">
        <v>1794</v>
      </c>
      <c r="BQ70" t="s">
        <v>1795</v>
      </c>
      <c r="BR70" s="127">
        <v>7428.8193287037038</v>
      </c>
      <c r="BS70" t="s">
        <v>1796</v>
      </c>
      <c r="BT70" t="s">
        <v>1797</v>
      </c>
      <c r="BU70" t="s">
        <v>1443</v>
      </c>
      <c r="BV70" t="s">
        <v>1798</v>
      </c>
      <c r="BW70" t="s">
        <v>1799</v>
      </c>
      <c r="BX70" t="s">
        <v>1438</v>
      </c>
      <c r="BY70" t="s">
        <v>1800</v>
      </c>
      <c r="BZ70" t="s">
        <v>346</v>
      </c>
      <c r="CA70" t="s">
        <v>262</v>
      </c>
      <c r="CB70" t="s">
        <v>1789</v>
      </c>
      <c r="CC70" s="128"/>
      <c r="CD70" t="s">
        <v>341</v>
      </c>
      <c r="CE70" s="128">
        <v>44363</v>
      </c>
      <c r="CF70" t="s">
        <v>341</v>
      </c>
      <c r="CG70" s="128">
        <v>44363</v>
      </c>
      <c r="CH70" t="s">
        <v>262</v>
      </c>
      <c r="CI70" s="128"/>
      <c r="CJ70" t="s">
        <v>262</v>
      </c>
      <c r="CK70" s="128"/>
      <c r="CL70" t="s">
        <v>341</v>
      </c>
      <c r="CM70" s="128">
        <v>44363</v>
      </c>
      <c r="CO70" s="128"/>
      <c r="CT70" s="128"/>
      <c r="CV70" s="128"/>
    </row>
    <row r="71" spans="1:100" x14ac:dyDescent="0.2">
      <c r="A71" t="s">
        <v>1813</v>
      </c>
      <c r="B71" s="128">
        <v>44362</v>
      </c>
      <c r="C71" t="s">
        <v>1812</v>
      </c>
      <c r="D71" t="s">
        <v>358</v>
      </c>
      <c r="E71" t="s">
        <v>1780</v>
      </c>
      <c r="F71" t="s">
        <v>1781</v>
      </c>
      <c r="G71" t="s">
        <v>379</v>
      </c>
      <c r="I71" t="s">
        <v>360</v>
      </c>
      <c r="J71" t="s">
        <v>1782</v>
      </c>
      <c r="K71" t="s">
        <v>41</v>
      </c>
      <c r="L71" t="s">
        <v>1814</v>
      </c>
      <c r="M71" t="s">
        <v>346</v>
      </c>
      <c r="N71" t="s">
        <v>1815</v>
      </c>
      <c r="O71" t="s">
        <v>1816</v>
      </c>
      <c r="P71" t="s">
        <v>1817</v>
      </c>
      <c r="Q71" s="128">
        <v>44362</v>
      </c>
      <c r="R71" s="128"/>
      <c r="T71" s="128"/>
      <c r="U71">
        <v>0</v>
      </c>
      <c r="V71">
        <v>0</v>
      </c>
      <c r="W71" t="s">
        <v>262</v>
      </c>
      <c r="X71" t="s">
        <v>1818</v>
      </c>
      <c r="AA71" t="s">
        <v>167</v>
      </c>
      <c r="AB71" t="s">
        <v>1818</v>
      </c>
      <c r="AC71" s="128">
        <v>44362</v>
      </c>
      <c r="AD71" t="s">
        <v>349</v>
      </c>
      <c r="AE71" t="s">
        <v>1789</v>
      </c>
      <c r="AF71" t="s">
        <v>1116</v>
      </c>
      <c r="AG71" t="s">
        <v>0</v>
      </c>
      <c r="AH71">
        <v>1</v>
      </c>
      <c r="AI71" t="b">
        <v>0</v>
      </c>
      <c r="AK71" t="b">
        <v>0</v>
      </c>
      <c r="AM71" t="b">
        <v>0</v>
      </c>
      <c r="AN71" t="b">
        <v>0</v>
      </c>
      <c r="AO71" t="b">
        <v>0</v>
      </c>
      <c r="AP71" t="b">
        <v>0</v>
      </c>
      <c r="AQ71" t="b">
        <v>0</v>
      </c>
      <c r="AR71" t="b">
        <v>0</v>
      </c>
      <c r="AS71" t="b">
        <v>0</v>
      </c>
      <c r="AT71" t="s">
        <v>1819</v>
      </c>
      <c r="AU71">
        <v>9228291</v>
      </c>
      <c r="AV71" t="s">
        <v>730</v>
      </c>
      <c r="AW71" t="s">
        <v>951</v>
      </c>
      <c r="AX71" s="128">
        <v>44509</v>
      </c>
      <c r="AY71" t="s">
        <v>1101</v>
      </c>
      <c r="BB71" t="s">
        <v>41</v>
      </c>
      <c r="BC71">
        <v>15</v>
      </c>
      <c r="BD71" t="s">
        <v>28</v>
      </c>
      <c r="BG71" s="128"/>
      <c r="BH71" t="b">
        <v>0</v>
      </c>
      <c r="BK71" t="s">
        <v>1382</v>
      </c>
      <c r="BL71" t="s">
        <v>1791</v>
      </c>
      <c r="BM71" t="s">
        <v>851</v>
      </c>
      <c r="BN71" t="s">
        <v>1792</v>
      </c>
      <c r="BO71" t="s">
        <v>1793</v>
      </c>
      <c r="BP71" t="s">
        <v>1794</v>
      </c>
      <c r="BQ71" t="s">
        <v>1795</v>
      </c>
      <c r="BR71" s="127">
        <v>7428.8193402777779</v>
      </c>
      <c r="BS71" t="s">
        <v>1796</v>
      </c>
      <c r="BT71" t="s">
        <v>1797</v>
      </c>
      <c r="BU71" t="s">
        <v>1443</v>
      </c>
      <c r="BV71" t="s">
        <v>1798</v>
      </c>
      <c r="BW71" t="s">
        <v>1799</v>
      </c>
      <c r="BX71" t="s">
        <v>1438</v>
      </c>
      <c r="BY71" t="s">
        <v>1800</v>
      </c>
      <c r="BZ71" t="s">
        <v>346</v>
      </c>
      <c r="CA71" t="s">
        <v>262</v>
      </c>
      <c r="CB71" t="s">
        <v>1789</v>
      </c>
      <c r="CC71" s="128"/>
      <c r="CD71" t="s">
        <v>341</v>
      </c>
      <c r="CE71" s="128">
        <v>44363</v>
      </c>
      <c r="CF71" t="s">
        <v>341</v>
      </c>
      <c r="CG71" s="128">
        <v>44363</v>
      </c>
      <c r="CH71" t="s">
        <v>262</v>
      </c>
      <c r="CI71" s="128"/>
      <c r="CJ71" t="s">
        <v>262</v>
      </c>
      <c r="CK71" s="128"/>
      <c r="CL71" t="s">
        <v>341</v>
      </c>
      <c r="CM71" s="128">
        <v>44363</v>
      </c>
      <c r="CO71" s="128"/>
      <c r="CT71" s="128"/>
      <c r="CV71" s="128"/>
    </row>
    <row r="72" spans="1:100" x14ac:dyDescent="0.2">
      <c r="A72" t="s">
        <v>1821</v>
      </c>
      <c r="B72" s="128">
        <v>44362</v>
      </c>
      <c r="C72" t="s">
        <v>1820</v>
      </c>
      <c r="D72" t="s">
        <v>358</v>
      </c>
      <c r="E72" t="s">
        <v>1780</v>
      </c>
      <c r="F72" t="s">
        <v>1781</v>
      </c>
      <c r="G72" t="s">
        <v>379</v>
      </c>
      <c r="I72" t="s">
        <v>360</v>
      </c>
      <c r="J72" t="s">
        <v>1782</v>
      </c>
      <c r="K72" t="s">
        <v>35</v>
      </c>
      <c r="L72" t="s">
        <v>1804</v>
      </c>
      <c r="M72" t="s">
        <v>346</v>
      </c>
      <c r="N72" t="s">
        <v>1822</v>
      </c>
      <c r="O72" t="s">
        <v>1823</v>
      </c>
      <c r="P72" t="s">
        <v>1824</v>
      </c>
      <c r="Q72" s="128">
        <v>44363</v>
      </c>
      <c r="R72" s="128"/>
      <c r="T72" s="128"/>
      <c r="U72">
        <v>0</v>
      </c>
      <c r="V72">
        <v>0</v>
      </c>
      <c r="W72" t="s">
        <v>262</v>
      </c>
      <c r="X72" t="s">
        <v>1825</v>
      </c>
      <c r="AA72" t="s">
        <v>4</v>
      </c>
      <c r="AB72" t="s">
        <v>1826</v>
      </c>
      <c r="AC72" s="128">
        <v>44363</v>
      </c>
      <c r="AD72" t="s">
        <v>349</v>
      </c>
      <c r="AE72" t="s">
        <v>1789</v>
      </c>
      <c r="AF72" t="s">
        <v>1116</v>
      </c>
      <c r="AG72" t="s">
        <v>0</v>
      </c>
      <c r="AH72">
        <v>1</v>
      </c>
      <c r="AI72" t="b">
        <v>0</v>
      </c>
      <c r="AK72" t="b">
        <v>0</v>
      </c>
      <c r="AM72" t="b">
        <v>0</v>
      </c>
      <c r="AN72" t="b">
        <v>0</v>
      </c>
      <c r="AO72" t="b">
        <v>0</v>
      </c>
      <c r="AP72" t="b">
        <v>0</v>
      </c>
      <c r="AQ72" t="b">
        <v>0</v>
      </c>
      <c r="AR72" t="b">
        <v>0</v>
      </c>
      <c r="AS72" t="b">
        <v>0</v>
      </c>
      <c r="AT72" t="s">
        <v>1827</v>
      </c>
      <c r="AU72">
        <v>9228291</v>
      </c>
      <c r="AV72" t="s">
        <v>730</v>
      </c>
      <c r="AW72" t="s">
        <v>951</v>
      </c>
      <c r="AX72" s="128">
        <v>44509</v>
      </c>
      <c r="AY72" t="s">
        <v>1101</v>
      </c>
      <c r="BB72" t="s">
        <v>35</v>
      </c>
      <c r="BC72" t="s">
        <v>1790</v>
      </c>
      <c r="BD72" t="s">
        <v>28</v>
      </c>
      <c r="BG72" s="128"/>
      <c r="BH72" t="b">
        <v>0</v>
      </c>
      <c r="BK72" t="s">
        <v>1382</v>
      </c>
      <c r="BL72" t="s">
        <v>1791</v>
      </c>
      <c r="BM72" t="s">
        <v>851</v>
      </c>
      <c r="BN72" t="s">
        <v>1792</v>
      </c>
      <c r="BO72" t="s">
        <v>1793</v>
      </c>
      <c r="BP72" t="s">
        <v>1794</v>
      </c>
      <c r="BQ72" t="s">
        <v>1795</v>
      </c>
      <c r="BR72" s="127">
        <v>7428.8193518518519</v>
      </c>
      <c r="BS72" t="s">
        <v>1796</v>
      </c>
      <c r="BT72" t="s">
        <v>1797</v>
      </c>
      <c r="BU72" t="s">
        <v>1443</v>
      </c>
      <c r="BV72" t="s">
        <v>1798</v>
      </c>
      <c r="BW72" t="s">
        <v>1799</v>
      </c>
      <c r="BX72" t="s">
        <v>1438</v>
      </c>
      <c r="BY72" t="s">
        <v>1800</v>
      </c>
      <c r="BZ72" t="s">
        <v>346</v>
      </c>
      <c r="CA72" t="s">
        <v>262</v>
      </c>
      <c r="CB72" t="s">
        <v>1789</v>
      </c>
      <c r="CC72" s="128"/>
      <c r="CD72" t="s">
        <v>341</v>
      </c>
      <c r="CE72" s="128">
        <v>44363</v>
      </c>
      <c r="CF72" t="s">
        <v>341</v>
      </c>
      <c r="CG72" s="128">
        <v>44363</v>
      </c>
      <c r="CH72" t="s">
        <v>262</v>
      </c>
      <c r="CI72" s="128"/>
      <c r="CJ72" t="s">
        <v>262</v>
      </c>
      <c r="CK72" s="128"/>
      <c r="CL72" t="s">
        <v>341</v>
      </c>
      <c r="CM72" s="128">
        <v>44363</v>
      </c>
      <c r="CO72" s="128"/>
      <c r="CT72" s="128"/>
      <c r="CV72" s="128"/>
    </row>
    <row r="73" spans="1:100" x14ac:dyDescent="0.2">
      <c r="A73" t="s">
        <v>1829</v>
      </c>
      <c r="B73" s="128">
        <v>44362</v>
      </c>
      <c r="C73" t="s">
        <v>1828</v>
      </c>
      <c r="D73" t="s">
        <v>358</v>
      </c>
      <c r="E73" t="s">
        <v>1780</v>
      </c>
      <c r="F73" t="s">
        <v>1781</v>
      </c>
      <c r="G73" t="s">
        <v>379</v>
      </c>
      <c r="I73" t="s">
        <v>360</v>
      </c>
      <c r="J73" t="s">
        <v>1782</v>
      </c>
      <c r="K73" t="s">
        <v>38</v>
      </c>
      <c r="L73" t="s">
        <v>1830</v>
      </c>
      <c r="M73" t="s">
        <v>346</v>
      </c>
      <c r="N73" t="s">
        <v>1831</v>
      </c>
      <c r="O73" t="s">
        <v>1832</v>
      </c>
      <c r="P73" t="s">
        <v>1786</v>
      </c>
      <c r="Q73" s="128">
        <v>44362</v>
      </c>
      <c r="R73" s="128"/>
      <c r="T73" s="128"/>
      <c r="U73">
        <v>0</v>
      </c>
      <c r="V73">
        <v>0</v>
      </c>
      <c r="W73" t="s">
        <v>262</v>
      </c>
      <c r="X73" t="s">
        <v>1833</v>
      </c>
      <c r="AA73" t="s">
        <v>1</v>
      </c>
      <c r="AB73" t="s">
        <v>1833</v>
      </c>
      <c r="AC73" s="128">
        <v>44362</v>
      </c>
      <c r="AD73" t="s">
        <v>349</v>
      </c>
      <c r="AE73" t="s">
        <v>1789</v>
      </c>
      <c r="AF73" t="s">
        <v>1116</v>
      </c>
      <c r="AG73" t="s">
        <v>0</v>
      </c>
      <c r="AH73">
        <v>1</v>
      </c>
      <c r="AI73" t="b">
        <v>0</v>
      </c>
      <c r="AK73" t="b">
        <v>0</v>
      </c>
      <c r="AM73" t="b">
        <v>0</v>
      </c>
      <c r="AN73" t="b">
        <v>0</v>
      </c>
      <c r="AO73" t="b">
        <v>0</v>
      </c>
      <c r="AP73" t="b">
        <v>0</v>
      </c>
      <c r="AQ73" t="b">
        <v>0</v>
      </c>
      <c r="AR73" t="b">
        <v>0</v>
      </c>
      <c r="AS73" t="b">
        <v>0</v>
      </c>
      <c r="AT73" t="s">
        <v>1834</v>
      </c>
      <c r="AU73">
        <v>9228291</v>
      </c>
      <c r="AV73" t="s">
        <v>730</v>
      </c>
      <c r="AW73" t="s">
        <v>951</v>
      </c>
      <c r="AX73" s="128">
        <v>44509</v>
      </c>
      <c r="AY73" t="s">
        <v>1101</v>
      </c>
      <c r="BB73" t="s">
        <v>38</v>
      </c>
      <c r="BC73" t="s">
        <v>1790</v>
      </c>
      <c r="BD73" t="s">
        <v>756</v>
      </c>
      <c r="BG73" s="128"/>
      <c r="BH73" t="b">
        <v>0</v>
      </c>
      <c r="BK73" t="s">
        <v>1382</v>
      </c>
      <c r="BL73" t="s">
        <v>1791</v>
      </c>
      <c r="BM73" t="s">
        <v>851</v>
      </c>
      <c r="BN73" t="s">
        <v>1792</v>
      </c>
      <c r="BO73" t="s">
        <v>1793</v>
      </c>
      <c r="BP73" t="s">
        <v>1794</v>
      </c>
      <c r="BQ73" t="s">
        <v>1795</v>
      </c>
      <c r="BR73" s="127">
        <v>7428.819363425926</v>
      </c>
      <c r="BS73" t="s">
        <v>1796</v>
      </c>
      <c r="BT73" t="s">
        <v>1797</v>
      </c>
      <c r="BU73" t="s">
        <v>1443</v>
      </c>
      <c r="BV73" t="s">
        <v>1798</v>
      </c>
      <c r="BW73" t="s">
        <v>1799</v>
      </c>
      <c r="BX73" t="s">
        <v>1438</v>
      </c>
      <c r="BY73" t="s">
        <v>1800</v>
      </c>
      <c r="BZ73" t="s">
        <v>346</v>
      </c>
      <c r="CA73" t="s">
        <v>262</v>
      </c>
      <c r="CB73" t="s">
        <v>1789</v>
      </c>
      <c r="CC73" s="128"/>
      <c r="CD73" t="s">
        <v>341</v>
      </c>
      <c r="CE73" s="128">
        <v>44363</v>
      </c>
      <c r="CF73" t="s">
        <v>341</v>
      </c>
      <c r="CG73" s="128">
        <v>44363</v>
      </c>
      <c r="CH73" t="s">
        <v>262</v>
      </c>
      <c r="CI73" s="128"/>
      <c r="CJ73" t="s">
        <v>262</v>
      </c>
      <c r="CK73" s="128"/>
      <c r="CL73" t="s">
        <v>341</v>
      </c>
      <c r="CM73" s="128">
        <v>44363</v>
      </c>
      <c r="CO73" s="128"/>
      <c r="CT73" s="128"/>
      <c r="CV73" s="128"/>
    </row>
    <row r="74" spans="1:100" x14ac:dyDescent="0.2">
      <c r="A74" t="s">
        <v>1836</v>
      </c>
      <c r="B74" s="128">
        <v>44362</v>
      </c>
      <c r="C74" t="s">
        <v>1835</v>
      </c>
      <c r="D74" t="s">
        <v>358</v>
      </c>
      <c r="E74" t="s">
        <v>1780</v>
      </c>
      <c r="F74" t="s">
        <v>1781</v>
      </c>
      <c r="G74" t="s">
        <v>379</v>
      </c>
      <c r="I74" t="s">
        <v>360</v>
      </c>
      <c r="J74" t="s">
        <v>1782</v>
      </c>
      <c r="K74" t="s">
        <v>38</v>
      </c>
      <c r="L74" t="s">
        <v>1830</v>
      </c>
      <c r="M74" t="s">
        <v>346</v>
      </c>
      <c r="N74" t="s">
        <v>1837</v>
      </c>
      <c r="O74" t="s">
        <v>1838</v>
      </c>
      <c r="P74" t="s">
        <v>1786</v>
      </c>
      <c r="Q74" s="128">
        <v>44362</v>
      </c>
      <c r="R74" s="128"/>
      <c r="T74" s="128"/>
      <c r="U74">
        <v>0</v>
      </c>
      <c r="V74">
        <v>0</v>
      </c>
      <c r="W74" t="s">
        <v>262</v>
      </c>
      <c r="X74" t="s">
        <v>1839</v>
      </c>
      <c r="AA74" t="s">
        <v>1</v>
      </c>
      <c r="AB74" t="s">
        <v>1839</v>
      </c>
      <c r="AC74" s="128">
        <v>44362</v>
      </c>
      <c r="AD74" t="s">
        <v>349</v>
      </c>
      <c r="AE74" t="s">
        <v>1789</v>
      </c>
      <c r="AF74" t="s">
        <v>1116</v>
      </c>
      <c r="AG74" t="s">
        <v>0</v>
      </c>
      <c r="AH74">
        <v>1</v>
      </c>
      <c r="AI74" t="b">
        <v>0</v>
      </c>
      <c r="AK74" t="b">
        <v>0</v>
      </c>
      <c r="AM74" t="b">
        <v>0</v>
      </c>
      <c r="AN74" t="b">
        <v>0</v>
      </c>
      <c r="AO74" t="b">
        <v>0</v>
      </c>
      <c r="AP74" t="b">
        <v>0</v>
      </c>
      <c r="AQ74" t="b">
        <v>0</v>
      </c>
      <c r="AR74" t="b">
        <v>0</v>
      </c>
      <c r="AS74" t="b">
        <v>0</v>
      </c>
      <c r="AT74" t="s">
        <v>1840</v>
      </c>
      <c r="AU74">
        <v>9228291</v>
      </c>
      <c r="AV74" t="s">
        <v>730</v>
      </c>
      <c r="AW74" t="s">
        <v>951</v>
      </c>
      <c r="AX74" s="128">
        <v>44509</v>
      </c>
      <c r="AY74" t="s">
        <v>1101</v>
      </c>
      <c r="BB74" t="s">
        <v>38</v>
      </c>
      <c r="BC74" t="s">
        <v>1790</v>
      </c>
      <c r="BD74" t="s">
        <v>756</v>
      </c>
      <c r="BG74" s="128"/>
      <c r="BH74" t="b">
        <v>0</v>
      </c>
      <c r="BK74" t="s">
        <v>1382</v>
      </c>
      <c r="BL74" t="s">
        <v>1791</v>
      </c>
      <c r="BM74" t="s">
        <v>851</v>
      </c>
      <c r="BN74" t="s">
        <v>1792</v>
      </c>
      <c r="BO74" t="s">
        <v>1793</v>
      </c>
      <c r="BP74" t="s">
        <v>1794</v>
      </c>
      <c r="BQ74" t="s">
        <v>1795</v>
      </c>
      <c r="BR74" s="127">
        <v>7428.819375</v>
      </c>
      <c r="BS74" t="s">
        <v>1796</v>
      </c>
      <c r="BT74" t="s">
        <v>1797</v>
      </c>
      <c r="BU74" t="s">
        <v>1443</v>
      </c>
      <c r="BV74" t="s">
        <v>1798</v>
      </c>
      <c r="BW74" t="s">
        <v>1799</v>
      </c>
      <c r="BX74" t="s">
        <v>1438</v>
      </c>
      <c r="BY74" t="s">
        <v>1800</v>
      </c>
      <c r="BZ74" t="s">
        <v>346</v>
      </c>
      <c r="CA74" t="s">
        <v>262</v>
      </c>
      <c r="CB74" t="s">
        <v>1789</v>
      </c>
      <c r="CC74" s="128"/>
      <c r="CD74" t="s">
        <v>341</v>
      </c>
      <c r="CE74" s="128">
        <v>44363</v>
      </c>
      <c r="CF74" t="s">
        <v>341</v>
      </c>
      <c r="CG74" s="128">
        <v>44363</v>
      </c>
      <c r="CH74" t="s">
        <v>262</v>
      </c>
      <c r="CI74" s="128"/>
      <c r="CJ74" t="s">
        <v>262</v>
      </c>
      <c r="CK74" s="128"/>
      <c r="CL74" t="s">
        <v>341</v>
      </c>
      <c r="CM74" s="128">
        <v>44363</v>
      </c>
      <c r="CO74" s="128"/>
      <c r="CT74" s="128"/>
      <c r="CV74" s="128"/>
    </row>
    <row r="75" spans="1:100" x14ac:dyDescent="0.2">
      <c r="A75" t="s">
        <v>1842</v>
      </c>
      <c r="B75" s="128">
        <v>44362</v>
      </c>
      <c r="C75" t="s">
        <v>1841</v>
      </c>
      <c r="D75" t="s">
        <v>358</v>
      </c>
      <c r="E75" t="s">
        <v>1780</v>
      </c>
      <c r="F75" t="s">
        <v>1781</v>
      </c>
      <c r="G75" t="s">
        <v>379</v>
      </c>
      <c r="I75" t="s">
        <v>360</v>
      </c>
      <c r="J75" t="s">
        <v>1782</v>
      </c>
      <c r="K75" t="s">
        <v>36</v>
      </c>
      <c r="L75" t="s">
        <v>1843</v>
      </c>
      <c r="M75" t="s">
        <v>346</v>
      </c>
      <c r="N75" t="s">
        <v>1844</v>
      </c>
      <c r="O75" t="s">
        <v>1845</v>
      </c>
      <c r="P75" t="s">
        <v>1846</v>
      </c>
      <c r="Q75" s="128">
        <v>44362</v>
      </c>
      <c r="R75" s="128"/>
      <c r="T75" s="128"/>
      <c r="U75">
        <v>0</v>
      </c>
      <c r="V75">
        <v>0</v>
      </c>
      <c r="W75" t="s">
        <v>262</v>
      </c>
      <c r="X75" t="s">
        <v>1847</v>
      </c>
      <c r="AA75" t="s">
        <v>5</v>
      </c>
      <c r="AB75" t="s">
        <v>1847</v>
      </c>
      <c r="AC75" s="128">
        <v>44362</v>
      </c>
      <c r="AD75" t="s">
        <v>349</v>
      </c>
      <c r="AE75" t="s">
        <v>1789</v>
      </c>
      <c r="AF75" t="s">
        <v>1116</v>
      </c>
      <c r="AG75" t="s">
        <v>0</v>
      </c>
      <c r="AH75">
        <v>1</v>
      </c>
      <c r="AI75" t="b">
        <v>0</v>
      </c>
      <c r="AK75" t="b">
        <v>0</v>
      </c>
      <c r="AM75" t="b">
        <v>0</v>
      </c>
      <c r="AN75" t="b">
        <v>0</v>
      </c>
      <c r="AO75" t="b">
        <v>0</v>
      </c>
      <c r="AP75" t="b">
        <v>0</v>
      </c>
      <c r="AQ75" t="b">
        <v>0</v>
      </c>
      <c r="AR75" t="b">
        <v>0</v>
      </c>
      <c r="AS75" t="b">
        <v>0</v>
      </c>
      <c r="AT75" t="s">
        <v>1848</v>
      </c>
      <c r="AU75">
        <v>9228291</v>
      </c>
      <c r="AV75" t="s">
        <v>730</v>
      </c>
      <c r="AW75" t="s">
        <v>951</v>
      </c>
      <c r="AX75" s="128">
        <v>44509</v>
      </c>
      <c r="AY75" t="s">
        <v>1101</v>
      </c>
      <c r="BB75" t="s">
        <v>36</v>
      </c>
      <c r="BC75" t="s">
        <v>1790</v>
      </c>
      <c r="BD75" t="s">
        <v>340</v>
      </c>
      <c r="BG75" s="128"/>
      <c r="BH75" t="b">
        <v>0</v>
      </c>
      <c r="BK75" t="s">
        <v>1382</v>
      </c>
      <c r="BL75" t="s">
        <v>1791</v>
      </c>
      <c r="BM75" t="s">
        <v>851</v>
      </c>
      <c r="BN75" t="s">
        <v>1792</v>
      </c>
      <c r="BO75" t="s">
        <v>1793</v>
      </c>
      <c r="BP75" t="s">
        <v>1794</v>
      </c>
      <c r="BQ75" t="s">
        <v>1795</v>
      </c>
      <c r="BR75" s="127">
        <v>7428.8193865740741</v>
      </c>
      <c r="BS75" t="s">
        <v>1796</v>
      </c>
      <c r="BT75" t="s">
        <v>1797</v>
      </c>
      <c r="BU75" t="s">
        <v>1443</v>
      </c>
      <c r="BV75" t="s">
        <v>1798</v>
      </c>
      <c r="BW75" t="s">
        <v>1799</v>
      </c>
      <c r="BX75" t="s">
        <v>1438</v>
      </c>
      <c r="BY75" t="s">
        <v>1800</v>
      </c>
      <c r="BZ75" t="s">
        <v>346</v>
      </c>
      <c r="CA75" t="s">
        <v>262</v>
      </c>
      <c r="CB75" t="s">
        <v>1789</v>
      </c>
      <c r="CC75" s="128"/>
      <c r="CD75" t="s">
        <v>341</v>
      </c>
      <c r="CE75" s="128">
        <v>44363</v>
      </c>
      <c r="CF75" t="s">
        <v>341</v>
      </c>
      <c r="CG75" s="128">
        <v>44363</v>
      </c>
      <c r="CH75" t="s">
        <v>262</v>
      </c>
      <c r="CI75" s="128"/>
      <c r="CJ75" t="s">
        <v>262</v>
      </c>
      <c r="CK75" s="128"/>
      <c r="CL75" t="s">
        <v>341</v>
      </c>
      <c r="CM75" s="128">
        <v>44363</v>
      </c>
      <c r="CO75" s="128"/>
      <c r="CT75" s="128"/>
      <c r="CV75" s="128"/>
    </row>
    <row r="76" spans="1:100" x14ac:dyDescent="0.2">
      <c r="A76" t="s">
        <v>1850</v>
      </c>
      <c r="B76" s="128">
        <v>44362</v>
      </c>
      <c r="C76" t="s">
        <v>1849</v>
      </c>
      <c r="D76" t="s">
        <v>358</v>
      </c>
      <c r="E76" t="s">
        <v>1780</v>
      </c>
      <c r="F76" t="s">
        <v>1781</v>
      </c>
      <c r="G76" t="s">
        <v>379</v>
      </c>
      <c r="I76" t="s">
        <v>360</v>
      </c>
      <c r="J76" t="s">
        <v>1782</v>
      </c>
      <c r="K76" t="s">
        <v>52</v>
      </c>
      <c r="L76" t="s">
        <v>1851</v>
      </c>
      <c r="M76" t="s">
        <v>346</v>
      </c>
      <c r="N76" t="s">
        <v>1852</v>
      </c>
      <c r="O76" t="s">
        <v>1853</v>
      </c>
      <c r="P76" t="s">
        <v>1854</v>
      </c>
      <c r="Q76" s="128"/>
      <c r="R76" s="128"/>
      <c r="T76" s="128"/>
      <c r="U76">
        <v>0</v>
      </c>
      <c r="V76">
        <v>0</v>
      </c>
      <c r="W76" t="s">
        <v>262</v>
      </c>
      <c r="X76" t="s">
        <v>1855</v>
      </c>
      <c r="AA76" t="s">
        <v>5</v>
      </c>
      <c r="AB76" t="s">
        <v>1855</v>
      </c>
      <c r="AC76" s="128">
        <v>44362</v>
      </c>
      <c r="AD76" t="s">
        <v>349</v>
      </c>
      <c r="AE76" t="s">
        <v>1789</v>
      </c>
      <c r="AF76" t="s">
        <v>1116</v>
      </c>
      <c r="AG76" t="s">
        <v>0</v>
      </c>
      <c r="AH76">
        <v>1</v>
      </c>
      <c r="AI76" t="b">
        <v>0</v>
      </c>
      <c r="AK76" t="b">
        <v>0</v>
      </c>
      <c r="AM76" t="b">
        <v>0</v>
      </c>
      <c r="AN76" t="b">
        <v>0</v>
      </c>
      <c r="AO76" t="b">
        <v>0</v>
      </c>
      <c r="AP76" t="b">
        <v>0</v>
      </c>
      <c r="AQ76" t="b">
        <v>0</v>
      </c>
      <c r="AR76" t="b">
        <v>0</v>
      </c>
      <c r="AS76" t="b">
        <v>0</v>
      </c>
      <c r="AT76" t="s">
        <v>1856</v>
      </c>
      <c r="AU76">
        <v>9228291</v>
      </c>
      <c r="AV76" t="s">
        <v>730</v>
      </c>
      <c r="AW76" t="s">
        <v>951</v>
      </c>
      <c r="AX76" s="128">
        <v>44509</v>
      </c>
      <c r="AY76" t="s">
        <v>1101</v>
      </c>
      <c r="BB76" t="s">
        <v>52</v>
      </c>
      <c r="BC76" t="s">
        <v>1790</v>
      </c>
      <c r="BD76" t="s">
        <v>801</v>
      </c>
      <c r="BG76" s="128"/>
      <c r="BH76" t="b">
        <v>0</v>
      </c>
      <c r="BK76" t="s">
        <v>1382</v>
      </c>
      <c r="BL76" t="s">
        <v>1791</v>
      </c>
      <c r="BM76" t="s">
        <v>851</v>
      </c>
      <c r="BN76" t="s">
        <v>1792</v>
      </c>
      <c r="BO76" t="s">
        <v>1793</v>
      </c>
      <c r="BP76" t="s">
        <v>1794</v>
      </c>
      <c r="BQ76" t="s">
        <v>1795</v>
      </c>
      <c r="BR76" s="127">
        <v>7428.8193981481481</v>
      </c>
      <c r="BS76" t="s">
        <v>1796</v>
      </c>
      <c r="BT76" t="s">
        <v>1797</v>
      </c>
      <c r="BU76" t="s">
        <v>1443</v>
      </c>
      <c r="BV76" t="s">
        <v>1798</v>
      </c>
      <c r="BW76" t="s">
        <v>1799</v>
      </c>
      <c r="BX76" t="s">
        <v>1438</v>
      </c>
      <c r="BY76" t="s">
        <v>1800</v>
      </c>
      <c r="BZ76" t="s">
        <v>346</v>
      </c>
      <c r="CA76" t="s">
        <v>262</v>
      </c>
      <c r="CB76" t="s">
        <v>1789</v>
      </c>
      <c r="CC76" s="128"/>
      <c r="CD76" t="s">
        <v>341</v>
      </c>
      <c r="CE76" s="128">
        <v>44363</v>
      </c>
      <c r="CF76" t="s">
        <v>341</v>
      </c>
      <c r="CG76" s="128">
        <v>44363</v>
      </c>
      <c r="CH76" t="s">
        <v>262</v>
      </c>
      <c r="CI76" s="128"/>
      <c r="CJ76" t="s">
        <v>262</v>
      </c>
      <c r="CK76" s="128"/>
      <c r="CL76" t="s">
        <v>341</v>
      </c>
      <c r="CM76" s="128">
        <v>44363</v>
      </c>
      <c r="CO76" s="128"/>
      <c r="CT76" s="128"/>
      <c r="CV76" s="128"/>
    </row>
    <row r="77" spans="1:100" x14ac:dyDescent="0.2">
      <c r="A77" t="s">
        <v>1858</v>
      </c>
      <c r="B77" s="128">
        <v>44241</v>
      </c>
      <c r="C77" t="s">
        <v>1857</v>
      </c>
      <c r="D77" t="s">
        <v>364</v>
      </c>
      <c r="E77" t="s">
        <v>1104</v>
      </c>
      <c r="F77" t="s">
        <v>1105</v>
      </c>
      <c r="G77" t="s">
        <v>390</v>
      </c>
      <c r="H77" t="s">
        <v>1703</v>
      </c>
      <c r="I77" t="s">
        <v>15</v>
      </c>
      <c r="J77" t="s">
        <v>1412</v>
      </c>
      <c r="K77" t="s">
        <v>101</v>
      </c>
      <c r="L77" t="s">
        <v>1859</v>
      </c>
      <c r="M77" t="s">
        <v>346</v>
      </c>
      <c r="N77" t="s">
        <v>1860</v>
      </c>
      <c r="O77" t="s">
        <v>1861</v>
      </c>
      <c r="P77" t="s">
        <v>1862</v>
      </c>
      <c r="Q77" s="128">
        <v>44422</v>
      </c>
      <c r="R77" s="128">
        <v>44331</v>
      </c>
      <c r="S77" t="s">
        <v>1863</v>
      </c>
      <c r="T77" s="128">
        <v>44243</v>
      </c>
      <c r="U77">
        <v>0</v>
      </c>
      <c r="V77">
        <v>0</v>
      </c>
      <c r="W77" t="s">
        <v>262</v>
      </c>
      <c r="X77" t="s">
        <v>1864</v>
      </c>
      <c r="AA77" t="s">
        <v>1</v>
      </c>
      <c r="AB77" t="s">
        <v>1865</v>
      </c>
      <c r="AC77" s="128">
        <v>44243</v>
      </c>
      <c r="AD77" t="s">
        <v>349</v>
      </c>
      <c r="AE77" t="s">
        <v>1115</v>
      </c>
      <c r="AF77" t="s">
        <v>1116</v>
      </c>
      <c r="AG77" t="s">
        <v>0</v>
      </c>
      <c r="AH77">
        <v>1</v>
      </c>
      <c r="AI77" t="b">
        <v>0</v>
      </c>
      <c r="AK77" t="b">
        <v>0</v>
      </c>
      <c r="AM77" t="b">
        <v>0</v>
      </c>
      <c r="AN77" t="b">
        <v>0</v>
      </c>
      <c r="AO77" t="b">
        <v>0</v>
      </c>
      <c r="AP77" t="b">
        <v>0</v>
      </c>
      <c r="AQ77" t="b">
        <v>0</v>
      </c>
      <c r="AR77" t="b">
        <v>0</v>
      </c>
      <c r="AS77" t="b">
        <v>0</v>
      </c>
      <c r="AT77" t="s">
        <v>1866</v>
      </c>
      <c r="AU77">
        <v>9228291</v>
      </c>
      <c r="AV77" t="s">
        <v>730</v>
      </c>
      <c r="AW77" t="s">
        <v>951</v>
      </c>
      <c r="AX77" s="128">
        <v>44509</v>
      </c>
      <c r="AY77" t="s">
        <v>1101</v>
      </c>
      <c r="AZ77" t="s">
        <v>15</v>
      </c>
      <c r="BA77" t="s">
        <v>101</v>
      </c>
      <c r="BB77" t="s">
        <v>43</v>
      </c>
      <c r="BD77" t="s">
        <v>756</v>
      </c>
      <c r="BG77" s="128"/>
      <c r="BH77" t="b">
        <v>0</v>
      </c>
      <c r="BK77" t="s">
        <v>1382</v>
      </c>
      <c r="CC77" s="128"/>
      <c r="CE77" s="128"/>
      <c r="CG77" s="128"/>
      <c r="CI77" s="128"/>
      <c r="CK77" s="128"/>
      <c r="CM77" s="128"/>
      <c r="CO77" s="128"/>
      <c r="CT77" s="128"/>
      <c r="CV77" s="128"/>
    </row>
    <row r="78" spans="1:100" x14ac:dyDescent="0.2">
      <c r="A78" t="s">
        <v>1868</v>
      </c>
      <c r="B78" s="128">
        <v>44377</v>
      </c>
      <c r="C78" t="s">
        <v>1867</v>
      </c>
      <c r="D78" t="s">
        <v>364</v>
      </c>
      <c r="E78" t="s">
        <v>1104</v>
      </c>
      <c r="F78" t="s">
        <v>1105</v>
      </c>
      <c r="G78" t="s">
        <v>390</v>
      </c>
      <c r="H78" t="s">
        <v>1356</v>
      </c>
      <c r="I78" t="s">
        <v>21</v>
      </c>
      <c r="J78" t="s">
        <v>1869</v>
      </c>
      <c r="K78" t="s">
        <v>332</v>
      </c>
      <c r="L78" t="s">
        <v>1870</v>
      </c>
      <c r="M78" t="s">
        <v>346</v>
      </c>
      <c r="N78" t="s">
        <v>1871</v>
      </c>
      <c r="O78" t="s">
        <v>1872</v>
      </c>
      <c r="P78" t="s">
        <v>1873</v>
      </c>
      <c r="Q78" s="128">
        <v>44391</v>
      </c>
      <c r="R78" s="128">
        <v>44467</v>
      </c>
      <c r="S78" t="s">
        <v>1874</v>
      </c>
      <c r="T78" s="128">
        <v>44424</v>
      </c>
      <c r="U78">
        <v>0</v>
      </c>
      <c r="V78">
        <v>0</v>
      </c>
      <c r="W78" t="s">
        <v>262</v>
      </c>
      <c r="X78" t="s">
        <v>1875</v>
      </c>
      <c r="AA78" t="s">
        <v>4</v>
      </c>
      <c r="AB78" t="s">
        <v>1876</v>
      </c>
      <c r="AC78" s="128">
        <v>44424</v>
      </c>
      <c r="AD78" t="s">
        <v>349</v>
      </c>
      <c r="AE78" t="s">
        <v>1115</v>
      </c>
      <c r="AF78" t="s">
        <v>1116</v>
      </c>
      <c r="AG78" t="s">
        <v>0</v>
      </c>
      <c r="AH78">
        <v>1</v>
      </c>
      <c r="AI78" t="b">
        <v>0</v>
      </c>
      <c r="AK78" t="b">
        <v>0</v>
      </c>
      <c r="AM78" t="b">
        <v>0</v>
      </c>
      <c r="AN78" t="b">
        <v>0</v>
      </c>
      <c r="AO78" t="b">
        <v>0</v>
      </c>
      <c r="AP78" t="b">
        <v>0</v>
      </c>
      <c r="AQ78" t="b">
        <v>0</v>
      </c>
      <c r="AR78" t="b">
        <v>0</v>
      </c>
      <c r="AS78" t="b">
        <v>0</v>
      </c>
      <c r="AT78" t="s">
        <v>1877</v>
      </c>
      <c r="AU78">
        <v>9228291</v>
      </c>
      <c r="AV78" t="s">
        <v>730</v>
      </c>
      <c r="AW78" t="s">
        <v>951</v>
      </c>
      <c r="AX78" s="128">
        <v>44509</v>
      </c>
      <c r="AY78" t="s">
        <v>1101</v>
      </c>
      <c r="AZ78" t="s">
        <v>21</v>
      </c>
      <c r="BA78" t="s">
        <v>332</v>
      </c>
      <c r="BB78" t="s">
        <v>43</v>
      </c>
      <c r="BD78" t="s">
        <v>756</v>
      </c>
      <c r="BG78" s="128"/>
      <c r="BH78" t="b">
        <v>0</v>
      </c>
      <c r="BK78" t="s">
        <v>1382</v>
      </c>
      <c r="CC78" s="128"/>
      <c r="CE78" s="128"/>
      <c r="CG78" s="128"/>
      <c r="CI78" s="128"/>
      <c r="CK78" s="128"/>
      <c r="CM78" s="128"/>
      <c r="CO78" s="128"/>
      <c r="CT78" s="128"/>
      <c r="CV78" s="128"/>
    </row>
    <row r="79" spans="1:100" x14ac:dyDescent="0.2">
      <c r="A79" t="s">
        <v>1879</v>
      </c>
      <c r="B79" s="128">
        <v>44432</v>
      </c>
      <c r="C79" t="s">
        <v>1878</v>
      </c>
      <c r="D79" t="s">
        <v>364</v>
      </c>
      <c r="E79" t="s">
        <v>1104</v>
      </c>
      <c r="F79" t="s">
        <v>1105</v>
      </c>
      <c r="G79" t="s">
        <v>390</v>
      </c>
      <c r="H79" t="s">
        <v>1356</v>
      </c>
      <c r="I79" t="s">
        <v>15</v>
      </c>
      <c r="J79" t="s">
        <v>1412</v>
      </c>
      <c r="K79" t="s">
        <v>114</v>
      </c>
      <c r="L79" t="s">
        <v>1413</v>
      </c>
      <c r="M79" t="s">
        <v>346</v>
      </c>
      <c r="N79" t="s">
        <v>1880</v>
      </c>
      <c r="O79" t="s">
        <v>1881</v>
      </c>
      <c r="P79" t="s">
        <v>1882</v>
      </c>
      <c r="Q79" s="128">
        <v>44432</v>
      </c>
      <c r="R79" s="128">
        <v>44522</v>
      </c>
      <c r="S79" t="s">
        <v>1883</v>
      </c>
      <c r="T79" s="128">
        <v>44441</v>
      </c>
      <c r="U79">
        <v>0</v>
      </c>
      <c r="V79">
        <v>0</v>
      </c>
      <c r="W79" t="s">
        <v>262</v>
      </c>
      <c r="X79" t="s">
        <v>1884</v>
      </c>
      <c r="AA79" t="s">
        <v>2</v>
      </c>
      <c r="AB79" t="s">
        <v>1885</v>
      </c>
      <c r="AC79" s="128">
        <v>44441</v>
      </c>
      <c r="AD79" t="s">
        <v>349</v>
      </c>
      <c r="AE79" t="s">
        <v>1115</v>
      </c>
      <c r="AF79" t="s">
        <v>1116</v>
      </c>
      <c r="AG79" t="s">
        <v>0</v>
      </c>
      <c r="AH79">
        <v>1</v>
      </c>
      <c r="AI79" t="b">
        <v>0</v>
      </c>
      <c r="AK79" t="b">
        <v>0</v>
      </c>
      <c r="AM79" t="b">
        <v>0</v>
      </c>
      <c r="AN79" t="b">
        <v>0</v>
      </c>
      <c r="AO79" t="b">
        <v>0</v>
      </c>
      <c r="AP79" t="b">
        <v>0</v>
      </c>
      <c r="AQ79" t="b">
        <v>0</v>
      </c>
      <c r="AR79" t="b">
        <v>0</v>
      </c>
      <c r="AS79" t="b">
        <v>0</v>
      </c>
      <c r="AT79" t="s">
        <v>1886</v>
      </c>
      <c r="AU79">
        <v>9228291</v>
      </c>
      <c r="AV79" t="s">
        <v>730</v>
      </c>
      <c r="AW79" t="s">
        <v>951</v>
      </c>
      <c r="AX79" s="128">
        <v>44509</v>
      </c>
      <c r="AY79" t="s">
        <v>1101</v>
      </c>
      <c r="AZ79" t="s">
        <v>15</v>
      </c>
      <c r="BA79" t="s">
        <v>114</v>
      </c>
      <c r="BB79" t="s">
        <v>43</v>
      </c>
      <c r="BD79" t="s">
        <v>756</v>
      </c>
      <c r="BG79" s="128"/>
      <c r="BH79" t="b">
        <v>0</v>
      </c>
      <c r="BK79" t="s">
        <v>1382</v>
      </c>
      <c r="CC79" s="128"/>
      <c r="CE79" s="128"/>
      <c r="CG79" s="128"/>
      <c r="CI79" s="128"/>
      <c r="CK79" s="128"/>
      <c r="CM79" s="128"/>
      <c r="CO79" s="128"/>
      <c r="CT79" s="128"/>
      <c r="CV79" s="128"/>
    </row>
    <row r="80" spans="1:100" ht="409.5" x14ac:dyDescent="0.2">
      <c r="A80" t="s">
        <v>1888</v>
      </c>
      <c r="B80" s="128">
        <v>44432</v>
      </c>
      <c r="C80" t="s">
        <v>1887</v>
      </c>
      <c r="D80" t="s">
        <v>364</v>
      </c>
      <c r="E80" t="s">
        <v>1104</v>
      </c>
      <c r="F80" t="s">
        <v>1105</v>
      </c>
      <c r="G80" t="s">
        <v>390</v>
      </c>
      <c r="H80" t="s">
        <v>1356</v>
      </c>
      <c r="I80" t="s">
        <v>12</v>
      </c>
      <c r="J80" t="s">
        <v>1363</v>
      </c>
      <c r="K80" t="s">
        <v>177</v>
      </c>
      <c r="L80" t="s">
        <v>1364</v>
      </c>
      <c r="M80" t="s">
        <v>346</v>
      </c>
      <c r="N80" t="s">
        <v>1889</v>
      </c>
      <c r="O80" t="s">
        <v>1890</v>
      </c>
      <c r="P80" t="s">
        <v>1891</v>
      </c>
      <c r="Q80" s="128">
        <v>44432</v>
      </c>
      <c r="R80" s="128">
        <v>44523</v>
      </c>
      <c r="T80" s="128"/>
      <c r="U80">
        <v>0</v>
      </c>
      <c r="V80">
        <v>0</v>
      </c>
      <c r="W80" t="s">
        <v>262</v>
      </c>
      <c r="X80" s="99" t="s">
        <v>2141</v>
      </c>
      <c r="AA80" t="s">
        <v>4</v>
      </c>
      <c r="AC80" s="128"/>
      <c r="AD80" t="s">
        <v>261</v>
      </c>
      <c r="AE80" t="s">
        <v>1115</v>
      </c>
      <c r="AF80" t="s">
        <v>1116</v>
      </c>
      <c r="AG80" t="s">
        <v>0</v>
      </c>
      <c r="AH80">
        <v>1</v>
      </c>
      <c r="AI80" t="b">
        <v>0</v>
      </c>
      <c r="AK80" t="b">
        <v>0</v>
      </c>
      <c r="AM80" t="b">
        <v>0</v>
      </c>
      <c r="AN80" t="b">
        <v>0</v>
      </c>
      <c r="AO80" t="b">
        <v>0</v>
      </c>
      <c r="AP80" t="b">
        <v>0</v>
      </c>
      <c r="AQ80" t="b">
        <v>0</v>
      </c>
      <c r="AR80" t="b">
        <v>0</v>
      </c>
      <c r="AS80" t="b">
        <v>0</v>
      </c>
      <c r="AT80" t="s">
        <v>2207</v>
      </c>
      <c r="AU80">
        <v>9228291</v>
      </c>
      <c r="AV80" t="s">
        <v>730</v>
      </c>
      <c r="AW80" t="s">
        <v>951</v>
      </c>
      <c r="AX80" s="128">
        <v>44567</v>
      </c>
      <c r="AY80" t="s">
        <v>1101</v>
      </c>
      <c r="AZ80" t="s">
        <v>12</v>
      </c>
      <c r="BA80" t="s">
        <v>177</v>
      </c>
      <c r="BB80" t="s">
        <v>36</v>
      </c>
      <c r="BD80" t="s">
        <v>28</v>
      </c>
      <c r="BF80" t="s">
        <v>575</v>
      </c>
      <c r="BG80" s="128">
        <v>44614</v>
      </c>
      <c r="BH80" t="b">
        <v>0</v>
      </c>
      <c r="BI80" t="s">
        <v>2014</v>
      </c>
      <c r="BJ80" t="s">
        <v>2142</v>
      </c>
      <c r="BK80" t="s">
        <v>1118</v>
      </c>
      <c r="CC80" s="128"/>
      <c r="CE80" s="128"/>
      <c r="CG80" s="128"/>
      <c r="CI80" s="128"/>
      <c r="CK80" s="128"/>
      <c r="CM80" s="128"/>
      <c r="CO80" s="128"/>
      <c r="CT80" s="128"/>
      <c r="CV80" s="128"/>
    </row>
    <row r="81" spans="1:100" x14ac:dyDescent="0.2">
      <c r="A81" t="s">
        <v>1893</v>
      </c>
      <c r="B81" s="128">
        <v>44435</v>
      </c>
      <c r="C81" t="s">
        <v>1892</v>
      </c>
      <c r="D81" t="s">
        <v>364</v>
      </c>
      <c r="E81" t="s">
        <v>1104</v>
      </c>
      <c r="F81" t="s">
        <v>1105</v>
      </c>
      <c r="G81" t="s">
        <v>390</v>
      </c>
      <c r="H81" t="s">
        <v>1356</v>
      </c>
      <c r="I81" t="s">
        <v>19</v>
      </c>
      <c r="J81" t="s">
        <v>1484</v>
      </c>
      <c r="K81" t="s">
        <v>149</v>
      </c>
      <c r="L81" t="s">
        <v>1495</v>
      </c>
      <c r="M81" t="s">
        <v>346</v>
      </c>
      <c r="N81" t="s">
        <v>1894</v>
      </c>
      <c r="O81" t="s">
        <v>1895</v>
      </c>
      <c r="P81" t="s">
        <v>1896</v>
      </c>
      <c r="Q81" s="128">
        <v>44435</v>
      </c>
      <c r="R81" s="128">
        <v>44525</v>
      </c>
      <c r="S81" t="s">
        <v>1897</v>
      </c>
      <c r="T81" s="128">
        <v>44453</v>
      </c>
      <c r="U81">
        <v>0</v>
      </c>
      <c r="V81">
        <v>0</v>
      </c>
      <c r="W81" t="s">
        <v>262</v>
      </c>
      <c r="X81" t="s">
        <v>1898</v>
      </c>
      <c r="AA81" t="s">
        <v>4</v>
      </c>
      <c r="AB81" t="s">
        <v>1899</v>
      </c>
      <c r="AC81" s="128">
        <v>44453</v>
      </c>
      <c r="AD81" t="s">
        <v>349</v>
      </c>
      <c r="AE81" t="s">
        <v>1115</v>
      </c>
      <c r="AF81" t="s">
        <v>1116</v>
      </c>
      <c r="AG81" t="s">
        <v>0</v>
      </c>
      <c r="AH81">
        <v>1</v>
      </c>
      <c r="AI81" t="b">
        <v>0</v>
      </c>
      <c r="AK81" t="b">
        <v>0</v>
      </c>
      <c r="AM81" t="b">
        <v>0</v>
      </c>
      <c r="AN81" t="b">
        <v>0</v>
      </c>
      <c r="AO81" t="b">
        <v>0</v>
      </c>
      <c r="AP81" t="b">
        <v>0</v>
      </c>
      <c r="AQ81" t="b">
        <v>0</v>
      </c>
      <c r="AR81" t="b">
        <v>0</v>
      </c>
      <c r="AS81" t="b">
        <v>0</v>
      </c>
      <c r="AT81" t="s">
        <v>1900</v>
      </c>
      <c r="AU81">
        <v>9228291</v>
      </c>
      <c r="AV81" t="s">
        <v>730</v>
      </c>
      <c r="AW81" t="s">
        <v>951</v>
      </c>
      <c r="AX81" s="128">
        <v>44509</v>
      </c>
      <c r="AY81" t="s">
        <v>1101</v>
      </c>
      <c r="AZ81" t="s">
        <v>19</v>
      </c>
      <c r="BA81" t="s">
        <v>149</v>
      </c>
      <c r="BB81" t="s">
        <v>43</v>
      </c>
      <c r="BD81" t="s">
        <v>756</v>
      </c>
      <c r="BG81" s="128"/>
      <c r="BH81" t="b">
        <v>0</v>
      </c>
      <c r="BK81" t="s">
        <v>1382</v>
      </c>
      <c r="CC81" s="128"/>
      <c r="CE81" s="128"/>
      <c r="CG81" s="128"/>
      <c r="CI81" s="128"/>
      <c r="CK81" s="128"/>
      <c r="CM81" s="128"/>
      <c r="CO81" s="128"/>
      <c r="CT81" s="128"/>
      <c r="CV81" s="128"/>
    </row>
    <row r="82" spans="1:100" x14ac:dyDescent="0.2">
      <c r="A82" t="s">
        <v>1902</v>
      </c>
      <c r="B82" s="128">
        <v>44288</v>
      </c>
      <c r="C82" t="s">
        <v>1901</v>
      </c>
      <c r="D82" t="s">
        <v>352</v>
      </c>
      <c r="E82" t="s">
        <v>1179</v>
      </c>
      <c r="F82" t="s">
        <v>1180</v>
      </c>
      <c r="G82" t="s">
        <v>374</v>
      </c>
      <c r="H82" t="s">
        <v>1903</v>
      </c>
      <c r="I82" t="s">
        <v>354</v>
      </c>
      <c r="J82" t="s">
        <v>1182</v>
      </c>
      <c r="K82" t="s">
        <v>412</v>
      </c>
      <c r="L82" t="s">
        <v>1904</v>
      </c>
      <c r="M82" t="s">
        <v>346</v>
      </c>
      <c r="N82" t="s">
        <v>1905</v>
      </c>
      <c r="O82" t="s">
        <v>1906</v>
      </c>
      <c r="P82" t="s">
        <v>1907</v>
      </c>
      <c r="Q82" s="128">
        <v>44231</v>
      </c>
      <c r="R82" s="128">
        <v>44203</v>
      </c>
      <c r="S82" t="s">
        <v>1908</v>
      </c>
      <c r="T82" s="128">
        <v>44303</v>
      </c>
      <c r="U82">
        <v>0</v>
      </c>
      <c r="V82">
        <v>0</v>
      </c>
      <c r="W82" t="s">
        <v>262</v>
      </c>
      <c r="X82" t="s">
        <v>1909</v>
      </c>
      <c r="AA82" t="s">
        <v>804</v>
      </c>
      <c r="AB82" t="s">
        <v>1910</v>
      </c>
      <c r="AC82" s="128">
        <v>44303</v>
      </c>
      <c r="AD82" t="s">
        <v>349</v>
      </c>
      <c r="AE82" t="s">
        <v>1115</v>
      </c>
      <c r="AF82" t="s">
        <v>1116</v>
      </c>
      <c r="AG82" t="s">
        <v>0</v>
      </c>
      <c r="AH82">
        <v>1</v>
      </c>
      <c r="AI82" t="b">
        <v>0</v>
      </c>
      <c r="AK82" t="b">
        <v>0</v>
      </c>
      <c r="AM82" t="b">
        <v>0</v>
      </c>
      <c r="AN82" t="b">
        <v>0</v>
      </c>
      <c r="AO82" t="b">
        <v>0</v>
      </c>
      <c r="AP82" t="b">
        <v>0</v>
      </c>
      <c r="AQ82" t="b">
        <v>0</v>
      </c>
      <c r="AR82" t="b">
        <v>0</v>
      </c>
      <c r="AS82" t="b">
        <v>0</v>
      </c>
      <c r="AT82" t="s">
        <v>1912</v>
      </c>
      <c r="AU82">
        <v>9228291</v>
      </c>
      <c r="AV82" t="s">
        <v>730</v>
      </c>
      <c r="AW82" t="s">
        <v>951</v>
      </c>
      <c r="AX82" s="128">
        <v>44509</v>
      </c>
      <c r="AY82" t="s">
        <v>1101</v>
      </c>
      <c r="AZ82" t="s">
        <v>11</v>
      </c>
      <c r="BA82" t="s">
        <v>81</v>
      </c>
      <c r="BB82" t="s">
        <v>38</v>
      </c>
      <c r="BD82" t="s">
        <v>28</v>
      </c>
      <c r="BG82" s="128"/>
      <c r="BH82" t="b">
        <v>0</v>
      </c>
      <c r="BK82" t="s">
        <v>1382</v>
      </c>
      <c r="BL82" t="s">
        <v>1911</v>
      </c>
      <c r="CC82" s="128"/>
      <c r="CE82" s="128"/>
      <c r="CG82" s="128"/>
      <c r="CI82" s="128"/>
      <c r="CK82" s="128"/>
      <c r="CM82" s="128"/>
      <c r="CO82" s="128"/>
      <c r="CT82" s="128"/>
      <c r="CV82" s="128"/>
    </row>
    <row r="83" spans="1:100" x14ac:dyDescent="0.2">
      <c r="A83" t="s">
        <v>1914</v>
      </c>
      <c r="B83" s="128">
        <v>44288</v>
      </c>
      <c r="C83" t="s">
        <v>1913</v>
      </c>
      <c r="D83" t="s">
        <v>352</v>
      </c>
      <c r="E83" t="s">
        <v>1179</v>
      </c>
      <c r="F83" t="s">
        <v>1180</v>
      </c>
      <c r="G83" t="s">
        <v>374</v>
      </c>
      <c r="H83" t="s">
        <v>1903</v>
      </c>
      <c r="I83" t="s">
        <v>354</v>
      </c>
      <c r="J83" t="s">
        <v>1182</v>
      </c>
      <c r="K83" t="s">
        <v>409</v>
      </c>
      <c r="L83" t="s">
        <v>1915</v>
      </c>
      <c r="M83" t="s">
        <v>346</v>
      </c>
      <c r="N83" t="s">
        <v>1916</v>
      </c>
      <c r="O83" t="s">
        <v>1917</v>
      </c>
      <c r="P83" t="s">
        <v>1918</v>
      </c>
      <c r="Q83" s="128">
        <v>44443</v>
      </c>
      <c r="R83" s="128">
        <v>44378</v>
      </c>
      <c r="S83" t="s">
        <v>1919</v>
      </c>
      <c r="T83" s="128">
        <v>44377</v>
      </c>
      <c r="U83">
        <v>0</v>
      </c>
      <c r="V83">
        <v>0</v>
      </c>
      <c r="W83" t="s">
        <v>262</v>
      </c>
      <c r="X83" t="s">
        <v>1920</v>
      </c>
      <c r="AA83" t="s">
        <v>3</v>
      </c>
      <c r="AB83" t="s">
        <v>1920</v>
      </c>
      <c r="AC83" s="128">
        <v>44377</v>
      </c>
      <c r="AD83" t="s">
        <v>349</v>
      </c>
      <c r="AE83" t="s">
        <v>1115</v>
      </c>
      <c r="AF83" t="s">
        <v>1116</v>
      </c>
      <c r="AG83" t="s">
        <v>0</v>
      </c>
      <c r="AH83">
        <v>1</v>
      </c>
      <c r="AI83" t="b">
        <v>0</v>
      </c>
      <c r="AK83" t="b">
        <v>0</v>
      </c>
      <c r="AM83" t="b">
        <v>0</v>
      </c>
      <c r="AN83" t="b">
        <v>0</v>
      </c>
      <c r="AO83" t="b">
        <v>0</v>
      </c>
      <c r="AP83" t="b">
        <v>0</v>
      </c>
      <c r="AQ83" t="b">
        <v>0</v>
      </c>
      <c r="AR83" t="b">
        <v>0</v>
      </c>
      <c r="AS83" t="b">
        <v>0</v>
      </c>
      <c r="AT83" t="s">
        <v>1921</v>
      </c>
      <c r="AU83">
        <v>9228291</v>
      </c>
      <c r="AV83" t="s">
        <v>730</v>
      </c>
      <c r="AW83" t="s">
        <v>951</v>
      </c>
      <c r="AX83" s="128">
        <v>44509</v>
      </c>
      <c r="AY83" t="s">
        <v>1101</v>
      </c>
      <c r="AZ83" t="s">
        <v>12</v>
      </c>
      <c r="BA83" t="s">
        <v>177</v>
      </c>
      <c r="BB83" t="s">
        <v>36</v>
      </c>
      <c r="BD83" t="s">
        <v>28</v>
      </c>
      <c r="BG83" s="128"/>
      <c r="BH83" t="b">
        <v>0</v>
      </c>
      <c r="BK83" t="s">
        <v>1382</v>
      </c>
      <c r="BL83" t="s">
        <v>1911</v>
      </c>
      <c r="CC83" s="128"/>
      <c r="CE83" s="128"/>
      <c r="CG83" s="128"/>
      <c r="CI83" s="128"/>
      <c r="CK83" s="128"/>
      <c r="CM83" s="128"/>
      <c r="CO83" s="128"/>
      <c r="CT83" s="128"/>
      <c r="CV83" s="128"/>
    </row>
    <row r="84" spans="1:100" x14ac:dyDescent="0.2">
      <c r="A84" t="s">
        <v>1923</v>
      </c>
      <c r="B84" s="128">
        <v>44288</v>
      </c>
      <c r="C84" t="s">
        <v>1922</v>
      </c>
      <c r="D84" t="s">
        <v>352</v>
      </c>
      <c r="E84" t="s">
        <v>1179</v>
      </c>
      <c r="F84" t="s">
        <v>1180</v>
      </c>
      <c r="G84" t="s">
        <v>374</v>
      </c>
      <c r="H84" t="s">
        <v>1903</v>
      </c>
      <c r="I84" t="s">
        <v>354</v>
      </c>
      <c r="J84" t="s">
        <v>1182</v>
      </c>
      <c r="K84" t="s">
        <v>424</v>
      </c>
      <c r="L84" t="s">
        <v>1924</v>
      </c>
      <c r="M84" t="s">
        <v>346</v>
      </c>
      <c r="N84" t="s">
        <v>1925</v>
      </c>
      <c r="O84" t="s">
        <v>1926</v>
      </c>
      <c r="P84" t="s">
        <v>1927</v>
      </c>
      <c r="Q84" s="128">
        <v>44323</v>
      </c>
      <c r="R84" s="128">
        <v>44378</v>
      </c>
      <c r="S84" t="s">
        <v>1928</v>
      </c>
      <c r="T84" s="128">
        <v>44404</v>
      </c>
      <c r="U84">
        <v>0</v>
      </c>
      <c r="V84">
        <v>0</v>
      </c>
      <c r="W84" t="s">
        <v>262</v>
      </c>
      <c r="X84" t="s">
        <v>1929</v>
      </c>
      <c r="AA84" t="s">
        <v>3</v>
      </c>
      <c r="AB84" t="s">
        <v>1929</v>
      </c>
      <c r="AC84" s="128">
        <v>44404</v>
      </c>
      <c r="AD84" t="s">
        <v>349</v>
      </c>
      <c r="AE84" t="s">
        <v>1115</v>
      </c>
      <c r="AF84" t="s">
        <v>1116</v>
      </c>
      <c r="AG84" t="s">
        <v>0</v>
      </c>
      <c r="AH84">
        <v>1</v>
      </c>
      <c r="AI84" t="b">
        <v>0</v>
      </c>
      <c r="AK84" t="b">
        <v>0</v>
      </c>
      <c r="AM84" t="b">
        <v>0</v>
      </c>
      <c r="AN84" t="b">
        <v>0</v>
      </c>
      <c r="AO84" t="b">
        <v>0</v>
      </c>
      <c r="AP84" t="b">
        <v>0</v>
      </c>
      <c r="AQ84" t="b">
        <v>0</v>
      </c>
      <c r="AR84" t="b">
        <v>0</v>
      </c>
      <c r="AS84" t="b">
        <v>0</v>
      </c>
      <c r="AT84" t="s">
        <v>1931</v>
      </c>
      <c r="AU84">
        <v>9228291</v>
      </c>
      <c r="AV84" t="s">
        <v>730</v>
      </c>
      <c r="AW84" t="s">
        <v>951</v>
      </c>
      <c r="AX84" s="128">
        <v>44509</v>
      </c>
      <c r="AY84" t="s">
        <v>1101</v>
      </c>
      <c r="AZ84" t="s">
        <v>391</v>
      </c>
      <c r="BB84" t="s">
        <v>50</v>
      </c>
      <c r="BD84" t="s">
        <v>29</v>
      </c>
      <c r="BF84" t="s">
        <v>575</v>
      </c>
      <c r="BG84" s="128">
        <v>44408</v>
      </c>
      <c r="BH84" t="b">
        <v>0</v>
      </c>
      <c r="BJ84" t="s">
        <v>1930</v>
      </c>
      <c r="BK84" t="s">
        <v>1118</v>
      </c>
      <c r="BL84" t="s">
        <v>1911</v>
      </c>
      <c r="CC84" s="128"/>
      <c r="CE84" s="128"/>
      <c r="CG84" s="128"/>
      <c r="CI84" s="128"/>
      <c r="CK84" s="128"/>
      <c r="CM84" s="128"/>
      <c r="CO84" s="128"/>
      <c r="CT84" s="128"/>
      <c r="CV84" s="128"/>
    </row>
    <row r="85" spans="1:100" x14ac:dyDescent="0.2">
      <c r="A85" t="s">
        <v>1933</v>
      </c>
      <c r="B85" s="128">
        <v>44438</v>
      </c>
      <c r="C85" t="s">
        <v>1932</v>
      </c>
      <c r="D85" t="s">
        <v>364</v>
      </c>
      <c r="E85" t="s">
        <v>1104</v>
      </c>
      <c r="F85" t="s">
        <v>1105</v>
      </c>
      <c r="G85" t="s">
        <v>390</v>
      </c>
      <c r="H85" t="s">
        <v>1652</v>
      </c>
      <c r="I85" t="s">
        <v>17</v>
      </c>
      <c r="J85" t="s">
        <v>1338</v>
      </c>
      <c r="K85" t="s">
        <v>126</v>
      </c>
      <c r="L85" t="s">
        <v>1934</v>
      </c>
      <c r="M85" t="s">
        <v>346</v>
      </c>
      <c r="N85" t="s">
        <v>1935</v>
      </c>
      <c r="O85" t="s">
        <v>1936</v>
      </c>
      <c r="P85" t="s">
        <v>1937</v>
      </c>
      <c r="Q85" s="128">
        <v>44438</v>
      </c>
      <c r="R85" s="128">
        <v>44528</v>
      </c>
      <c r="S85" t="s">
        <v>1938</v>
      </c>
      <c r="T85" s="128">
        <v>44438</v>
      </c>
      <c r="U85">
        <v>0</v>
      </c>
      <c r="V85">
        <v>0</v>
      </c>
      <c r="W85" t="s">
        <v>262</v>
      </c>
      <c r="X85" t="s">
        <v>1939</v>
      </c>
      <c r="AA85" t="s">
        <v>1</v>
      </c>
      <c r="AB85" t="s">
        <v>1939</v>
      </c>
      <c r="AC85" s="128">
        <v>44438</v>
      </c>
      <c r="AD85" t="s">
        <v>349</v>
      </c>
      <c r="AE85" t="s">
        <v>1115</v>
      </c>
      <c r="AF85" t="s">
        <v>1116</v>
      </c>
      <c r="AG85" t="s">
        <v>0</v>
      </c>
      <c r="AH85">
        <v>1</v>
      </c>
      <c r="AI85" t="b">
        <v>0</v>
      </c>
      <c r="AK85" t="b">
        <v>0</v>
      </c>
      <c r="AM85" t="b">
        <v>0</v>
      </c>
      <c r="AN85" t="b">
        <v>0</v>
      </c>
      <c r="AO85" t="b">
        <v>0</v>
      </c>
      <c r="AP85" t="b">
        <v>0</v>
      </c>
      <c r="AQ85" t="b">
        <v>0</v>
      </c>
      <c r="AR85" t="b">
        <v>0</v>
      </c>
      <c r="AS85" t="b">
        <v>0</v>
      </c>
      <c r="AT85" t="s">
        <v>1940</v>
      </c>
      <c r="AU85">
        <v>9228291</v>
      </c>
      <c r="AV85" t="s">
        <v>730</v>
      </c>
      <c r="AW85" t="s">
        <v>951</v>
      </c>
      <c r="AX85" s="128">
        <v>44509</v>
      </c>
      <c r="AY85" t="s">
        <v>1101</v>
      </c>
      <c r="AZ85" t="s">
        <v>17</v>
      </c>
      <c r="BA85" t="s">
        <v>126</v>
      </c>
      <c r="BB85" t="s">
        <v>43</v>
      </c>
      <c r="BD85" t="s">
        <v>756</v>
      </c>
      <c r="BG85" s="128"/>
      <c r="BH85" t="b">
        <v>0</v>
      </c>
      <c r="BK85" t="s">
        <v>1382</v>
      </c>
      <c r="CC85" s="128"/>
      <c r="CE85" s="128"/>
      <c r="CG85" s="128"/>
      <c r="CI85" s="128"/>
      <c r="CK85" s="128"/>
      <c r="CM85" s="128"/>
      <c r="CO85" s="128"/>
      <c r="CT85" s="128"/>
      <c r="CV85" s="128"/>
    </row>
    <row r="86" spans="1:100" x14ac:dyDescent="0.2">
      <c r="A86" t="s">
        <v>1942</v>
      </c>
      <c r="B86" s="128">
        <v>44438</v>
      </c>
      <c r="C86" t="s">
        <v>1941</v>
      </c>
      <c r="D86" t="s">
        <v>364</v>
      </c>
      <c r="E86" t="s">
        <v>1104</v>
      </c>
      <c r="F86" t="s">
        <v>1105</v>
      </c>
      <c r="G86" t="s">
        <v>390</v>
      </c>
      <c r="H86" t="s">
        <v>1631</v>
      </c>
      <c r="I86" t="s">
        <v>12</v>
      </c>
      <c r="J86" t="s">
        <v>1363</v>
      </c>
      <c r="K86" t="s">
        <v>177</v>
      </c>
      <c r="L86" t="s">
        <v>1364</v>
      </c>
      <c r="M86" t="s">
        <v>346</v>
      </c>
      <c r="N86" t="s">
        <v>1943</v>
      </c>
      <c r="O86" t="s">
        <v>1944</v>
      </c>
      <c r="P86" t="s">
        <v>1945</v>
      </c>
      <c r="Q86" s="128">
        <v>44236</v>
      </c>
      <c r="R86" s="128">
        <v>44528</v>
      </c>
      <c r="S86" t="s">
        <v>1946</v>
      </c>
      <c r="T86" s="128">
        <v>44236</v>
      </c>
      <c r="U86">
        <v>0</v>
      </c>
      <c r="V86">
        <v>0</v>
      </c>
      <c r="W86" t="s">
        <v>262</v>
      </c>
      <c r="X86" t="s">
        <v>1947</v>
      </c>
      <c r="AA86" t="s">
        <v>1</v>
      </c>
      <c r="AB86" t="s">
        <v>1948</v>
      </c>
      <c r="AC86" s="128">
        <v>44441</v>
      </c>
      <c r="AD86" t="s">
        <v>349</v>
      </c>
      <c r="AE86" t="s">
        <v>1949</v>
      </c>
      <c r="AF86" t="s">
        <v>1116</v>
      </c>
      <c r="AG86" t="s">
        <v>0</v>
      </c>
      <c r="AH86">
        <v>1</v>
      </c>
      <c r="AI86" t="b">
        <v>0</v>
      </c>
      <c r="AK86" t="b">
        <v>0</v>
      </c>
      <c r="AM86" t="b">
        <v>0</v>
      </c>
      <c r="AN86" t="b">
        <v>0</v>
      </c>
      <c r="AO86" t="b">
        <v>0</v>
      </c>
      <c r="AP86" t="b">
        <v>0</v>
      </c>
      <c r="AQ86" t="b">
        <v>0</v>
      </c>
      <c r="AR86" t="b">
        <v>0</v>
      </c>
      <c r="AS86" t="b">
        <v>0</v>
      </c>
      <c r="AT86" t="s">
        <v>1950</v>
      </c>
      <c r="AU86">
        <v>9228291</v>
      </c>
      <c r="AV86" t="s">
        <v>730</v>
      </c>
      <c r="AW86" t="s">
        <v>951</v>
      </c>
      <c r="AX86" s="128">
        <v>44509</v>
      </c>
      <c r="AY86" t="s">
        <v>1101</v>
      </c>
      <c r="AZ86" t="s">
        <v>12</v>
      </c>
      <c r="BA86" t="s">
        <v>177</v>
      </c>
      <c r="BB86" t="s">
        <v>36</v>
      </c>
      <c r="BD86" t="s">
        <v>28</v>
      </c>
      <c r="BG86" s="128"/>
      <c r="BH86" t="b">
        <v>0</v>
      </c>
      <c r="BK86" t="s">
        <v>1382</v>
      </c>
      <c r="CC86" s="128"/>
      <c r="CE86" s="128"/>
      <c r="CG86" s="128"/>
      <c r="CI86" s="128"/>
      <c r="CK86" s="128"/>
      <c r="CM86" s="128"/>
      <c r="CO86" s="128"/>
      <c r="CT86" s="128"/>
      <c r="CV86" s="128"/>
    </row>
    <row r="87" spans="1:100" ht="409.5" x14ac:dyDescent="0.2">
      <c r="A87" t="s">
        <v>1952</v>
      </c>
      <c r="B87" s="128">
        <v>44451</v>
      </c>
      <c r="C87" t="s">
        <v>1951</v>
      </c>
      <c r="D87" t="s">
        <v>337</v>
      </c>
      <c r="E87" t="s">
        <v>1426</v>
      </c>
      <c r="F87" t="s">
        <v>1427</v>
      </c>
      <c r="G87" t="s">
        <v>370</v>
      </c>
      <c r="H87" t="s">
        <v>1953</v>
      </c>
      <c r="I87" t="s">
        <v>339</v>
      </c>
      <c r="J87" t="s">
        <v>1429</v>
      </c>
      <c r="K87" t="s">
        <v>28</v>
      </c>
      <c r="L87" t="s">
        <v>1430</v>
      </c>
      <c r="M87" t="s">
        <v>346</v>
      </c>
      <c r="N87" s="99" t="s">
        <v>1954</v>
      </c>
      <c r="O87" t="s">
        <v>1955</v>
      </c>
      <c r="P87" t="s">
        <v>1718</v>
      </c>
      <c r="Q87" s="128">
        <v>44451</v>
      </c>
      <c r="R87" s="128"/>
      <c r="T87" s="128">
        <v>44451</v>
      </c>
      <c r="U87">
        <v>0</v>
      </c>
      <c r="V87">
        <v>0</v>
      </c>
      <c r="W87" t="s">
        <v>262</v>
      </c>
      <c r="X87" s="99" t="s">
        <v>1719</v>
      </c>
      <c r="AA87" t="s">
        <v>2</v>
      </c>
      <c r="AB87" s="99" t="s">
        <v>2230</v>
      </c>
      <c r="AC87" s="128">
        <v>44451</v>
      </c>
      <c r="AD87" t="s">
        <v>349</v>
      </c>
      <c r="AE87" t="s">
        <v>1721</v>
      </c>
      <c r="AF87" t="s">
        <v>1116</v>
      </c>
      <c r="AG87" t="s">
        <v>0</v>
      </c>
      <c r="AH87">
        <v>1</v>
      </c>
      <c r="AI87" t="b">
        <v>0</v>
      </c>
      <c r="AK87" t="b">
        <v>0</v>
      </c>
      <c r="AM87" t="b">
        <v>0</v>
      </c>
      <c r="AN87" t="b">
        <v>0</v>
      </c>
      <c r="AO87" t="b">
        <v>0</v>
      </c>
      <c r="AP87" t="b">
        <v>0</v>
      </c>
      <c r="AQ87" t="b">
        <v>0</v>
      </c>
      <c r="AR87" t="b">
        <v>0</v>
      </c>
      <c r="AS87" t="b">
        <v>0</v>
      </c>
      <c r="AT87" t="s">
        <v>2232</v>
      </c>
      <c r="AU87">
        <v>9228291</v>
      </c>
      <c r="AV87" t="s">
        <v>730</v>
      </c>
      <c r="AW87" t="s">
        <v>951</v>
      </c>
      <c r="AX87" s="128">
        <v>44617</v>
      </c>
      <c r="AY87" t="s">
        <v>1101</v>
      </c>
      <c r="BB87" t="s">
        <v>38</v>
      </c>
      <c r="BD87" t="s">
        <v>28</v>
      </c>
      <c r="BF87" t="s">
        <v>575</v>
      </c>
      <c r="BG87" s="128">
        <v>44561</v>
      </c>
      <c r="BH87" t="b">
        <v>0</v>
      </c>
      <c r="BJ87" t="s">
        <v>2231</v>
      </c>
      <c r="BK87" t="s">
        <v>1382</v>
      </c>
      <c r="BL87" t="s">
        <v>1956</v>
      </c>
      <c r="BN87" t="s">
        <v>1957</v>
      </c>
      <c r="BO87" t="s">
        <v>1958</v>
      </c>
      <c r="BP87" t="s">
        <v>1439</v>
      </c>
      <c r="BQ87" t="s">
        <v>1440</v>
      </c>
      <c r="BS87" t="s">
        <v>1726</v>
      </c>
      <c r="BT87" t="s">
        <v>1727</v>
      </c>
      <c r="BU87" t="s">
        <v>1959</v>
      </c>
      <c r="CC87" s="128"/>
      <c r="CE87" s="128"/>
      <c r="CG87" s="128"/>
      <c r="CI87" s="128"/>
      <c r="CK87" s="128"/>
      <c r="CM87" s="128"/>
      <c r="CO87" s="128"/>
      <c r="CP87" t="s">
        <v>771</v>
      </c>
      <c r="CR87" t="s">
        <v>1721</v>
      </c>
      <c r="CS87">
        <v>8</v>
      </c>
      <c r="CT87" s="128">
        <v>44469</v>
      </c>
      <c r="CU87" t="s">
        <v>1721</v>
      </c>
      <c r="CV87" s="128">
        <v>44469</v>
      </c>
    </row>
    <row r="88" spans="1:100" ht="409.5" x14ac:dyDescent="0.2">
      <c r="A88" t="s">
        <v>1961</v>
      </c>
      <c r="B88" s="128">
        <v>44451</v>
      </c>
      <c r="C88" t="s">
        <v>1960</v>
      </c>
      <c r="D88" t="s">
        <v>337</v>
      </c>
      <c r="E88" t="s">
        <v>1426</v>
      </c>
      <c r="F88" t="s">
        <v>1427</v>
      </c>
      <c r="G88" t="s">
        <v>370</v>
      </c>
      <c r="H88" t="s">
        <v>1953</v>
      </c>
      <c r="I88" t="s">
        <v>339</v>
      </c>
      <c r="J88" t="s">
        <v>1429</v>
      </c>
      <c r="K88" t="s">
        <v>28</v>
      </c>
      <c r="L88" t="s">
        <v>1430</v>
      </c>
      <c r="M88" t="s">
        <v>346</v>
      </c>
      <c r="N88" t="s">
        <v>1962</v>
      </c>
      <c r="O88" t="s">
        <v>1963</v>
      </c>
      <c r="P88" t="s">
        <v>1964</v>
      </c>
      <c r="Q88" s="128">
        <v>44451</v>
      </c>
      <c r="R88" s="128"/>
      <c r="S88" t="s">
        <v>1965</v>
      </c>
      <c r="T88" s="128">
        <v>44451</v>
      </c>
      <c r="U88">
        <v>0</v>
      </c>
      <c r="V88">
        <v>0</v>
      </c>
      <c r="W88" t="s">
        <v>262</v>
      </c>
      <c r="X88" s="99" t="s">
        <v>1966</v>
      </c>
      <c r="AA88" t="s">
        <v>2</v>
      </c>
      <c r="AB88" t="s">
        <v>1967</v>
      </c>
      <c r="AC88" s="128">
        <v>44451</v>
      </c>
      <c r="AD88" t="s">
        <v>349</v>
      </c>
      <c r="AE88" t="s">
        <v>1721</v>
      </c>
      <c r="AF88" t="s">
        <v>1116</v>
      </c>
      <c r="AG88" t="s">
        <v>0</v>
      </c>
      <c r="AH88">
        <v>1</v>
      </c>
      <c r="AI88" t="b">
        <v>0</v>
      </c>
      <c r="AK88" t="b">
        <v>0</v>
      </c>
      <c r="AM88" t="b">
        <v>0</v>
      </c>
      <c r="AN88" t="b">
        <v>0</v>
      </c>
      <c r="AO88" t="b">
        <v>0</v>
      </c>
      <c r="AP88" t="b">
        <v>0</v>
      </c>
      <c r="AQ88" t="b">
        <v>0</v>
      </c>
      <c r="AR88" t="b">
        <v>0</v>
      </c>
      <c r="AS88" t="b">
        <v>0</v>
      </c>
      <c r="AT88" t="s">
        <v>1969</v>
      </c>
      <c r="AU88">
        <v>9228291</v>
      </c>
      <c r="AV88" t="s">
        <v>730</v>
      </c>
      <c r="AW88" t="s">
        <v>951</v>
      </c>
      <c r="AX88" s="128">
        <v>44509</v>
      </c>
      <c r="AY88" t="s">
        <v>1101</v>
      </c>
      <c r="BD88" t="s">
        <v>28</v>
      </c>
      <c r="BE88">
        <v>5.43</v>
      </c>
      <c r="BG88" s="128"/>
      <c r="BH88" t="b">
        <v>0</v>
      </c>
      <c r="BK88" t="s">
        <v>1382</v>
      </c>
      <c r="BL88" t="s">
        <v>1956</v>
      </c>
      <c r="BN88" t="s">
        <v>1957</v>
      </c>
      <c r="BO88" t="s">
        <v>1958</v>
      </c>
      <c r="BP88" t="s">
        <v>1439</v>
      </c>
      <c r="BQ88" t="s">
        <v>1440</v>
      </c>
      <c r="BS88" t="s">
        <v>1726</v>
      </c>
      <c r="BT88" t="s">
        <v>1727</v>
      </c>
      <c r="BU88" t="s">
        <v>1959</v>
      </c>
      <c r="CC88" s="128"/>
      <c r="CE88" s="128"/>
      <c r="CG88" s="128"/>
      <c r="CI88" s="128"/>
      <c r="CK88" s="128"/>
      <c r="CM88" s="128"/>
      <c r="CO88" s="128"/>
      <c r="CP88" t="s">
        <v>771</v>
      </c>
      <c r="CR88" t="s">
        <v>1721</v>
      </c>
      <c r="CS88">
        <v>8</v>
      </c>
      <c r="CT88" s="128">
        <v>44469</v>
      </c>
      <c r="CU88" t="s">
        <v>1721</v>
      </c>
      <c r="CV88" s="128">
        <v>44469</v>
      </c>
    </row>
    <row r="89" spans="1:100" ht="409.5" x14ac:dyDescent="0.2">
      <c r="A89" t="s">
        <v>1971</v>
      </c>
      <c r="B89" s="128">
        <v>44451</v>
      </c>
      <c r="C89" t="s">
        <v>1970</v>
      </c>
      <c r="D89" t="s">
        <v>337</v>
      </c>
      <c r="E89" t="s">
        <v>1426</v>
      </c>
      <c r="F89" t="s">
        <v>1427</v>
      </c>
      <c r="G89" t="s">
        <v>370</v>
      </c>
      <c r="H89" t="s">
        <v>1953</v>
      </c>
      <c r="I89" t="s">
        <v>339</v>
      </c>
      <c r="J89" t="s">
        <v>1429</v>
      </c>
      <c r="K89" t="s">
        <v>757</v>
      </c>
      <c r="L89" t="s">
        <v>1475</v>
      </c>
      <c r="M89" t="s">
        <v>346</v>
      </c>
      <c r="N89" t="s">
        <v>1972</v>
      </c>
      <c r="O89" t="s">
        <v>1973</v>
      </c>
      <c r="P89" t="s">
        <v>1974</v>
      </c>
      <c r="Q89" s="128">
        <v>44459</v>
      </c>
      <c r="R89" s="128"/>
      <c r="S89" t="s">
        <v>1975</v>
      </c>
      <c r="T89" s="128">
        <v>44459</v>
      </c>
      <c r="U89">
        <v>0</v>
      </c>
      <c r="V89">
        <v>0</v>
      </c>
      <c r="W89" t="s">
        <v>262</v>
      </c>
      <c r="X89" s="99" t="s">
        <v>1976</v>
      </c>
      <c r="AA89" t="s">
        <v>1</v>
      </c>
      <c r="AB89" t="s">
        <v>1977</v>
      </c>
      <c r="AC89" s="128">
        <v>44459</v>
      </c>
      <c r="AD89" t="s">
        <v>349</v>
      </c>
      <c r="AE89" t="s">
        <v>1721</v>
      </c>
      <c r="AF89" t="s">
        <v>1116</v>
      </c>
      <c r="AG89" t="s">
        <v>0</v>
      </c>
      <c r="AH89">
        <v>1</v>
      </c>
      <c r="AI89" t="b">
        <v>0</v>
      </c>
      <c r="AK89" t="b">
        <v>0</v>
      </c>
      <c r="AM89" t="b">
        <v>0</v>
      </c>
      <c r="AN89" t="b">
        <v>0</v>
      </c>
      <c r="AO89" t="b">
        <v>0</v>
      </c>
      <c r="AP89" t="b">
        <v>0</v>
      </c>
      <c r="AQ89" t="b">
        <v>0</v>
      </c>
      <c r="AR89" t="b">
        <v>0</v>
      </c>
      <c r="AS89" t="b">
        <v>0</v>
      </c>
      <c r="AT89" t="s">
        <v>1979</v>
      </c>
      <c r="AU89">
        <v>9228291</v>
      </c>
      <c r="AV89" t="s">
        <v>730</v>
      </c>
      <c r="AW89" t="s">
        <v>951</v>
      </c>
      <c r="AX89" s="128">
        <v>44509</v>
      </c>
      <c r="AY89" t="s">
        <v>1101</v>
      </c>
      <c r="BD89" t="s">
        <v>757</v>
      </c>
      <c r="BE89">
        <v>11.3</v>
      </c>
      <c r="BG89" s="128"/>
      <c r="BH89" t="b">
        <v>0</v>
      </c>
      <c r="BK89" t="s">
        <v>1382</v>
      </c>
      <c r="BL89" t="s">
        <v>1956</v>
      </c>
      <c r="BN89" t="s">
        <v>1957</v>
      </c>
      <c r="BO89" t="s">
        <v>1958</v>
      </c>
      <c r="BP89" t="s">
        <v>1439</v>
      </c>
      <c r="BQ89" t="s">
        <v>1440</v>
      </c>
      <c r="BS89" t="s">
        <v>1726</v>
      </c>
      <c r="BT89" t="s">
        <v>1727</v>
      </c>
      <c r="BU89" t="s">
        <v>1959</v>
      </c>
      <c r="CC89" s="128"/>
      <c r="CE89" s="128"/>
      <c r="CG89" s="128"/>
      <c r="CI89" s="128"/>
      <c r="CK89" s="128"/>
      <c r="CM89" s="128"/>
      <c r="CO89" s="128"/>
      <c r="CP89" t="s">
        <v>771</v>
      </c>
      <c r="CR89" t="s">
        <v>1721</v>
      </c>
      <c r="CS89">
        <v>5</v>
      </c>
      <c r="CT89" s="128">
        <v>44469</v>
      </c>
      <c r="CU89" t="s">
        <v>1721</v>
      </c>
      <c r="CV89" s="128">
        <v>44469</v>
      </c>
    </row>
    <row r="90" spans="1:100" x14ac:dyDescent="0.2">
      <c r="A90" t="s">
        <v>1981</v>
      </c>
      <c r="B90" s="128">
        <v>44453</v>
      </c>
      <c r="C90" t="s">
        <v>1980</v>
      </c>
      <c r="D90" t="s">
        <v>364</v>
      </c>
      <c r="E90" t="s">
        <v>1104</v>
      </c>
      <c r="F90" t="s">
        <v>1105</v>
      </c>
      <c r="G90" t="s">
        <v>390</v>
      </c>
      <c r="H90" t="s">
        <v>1356</v>
      </c>
      <c r="I90" t="s">
        <v>584</v>
      </c>
      <c r="J90" t="s">
        <v>1107</v>
      </c>
      <c r="K90" t="s">
        <v>82</v>
      </c>
      <c r="L90" t="s">
        <v>1108</v>
      </c>
      <c r="M90" t="s">
        <v>346</v>
      </c>
      <c r="N90" t="s">
        <v>1982</v>
      </c>
      <c r="O90" t="s">
        <v>1983</v>
      </c>
      <c r="P90" t="s">
        <v>1984</v>
      </c>
      <c r="Q90" s="128">
        <v>44453</v>
      </c>
      <c r="R90" s="128">
        <v>44543</v>
      </c>
      <c r="S90" t="s">
        <v>1985</v>
      </c>
      <c r="T90" s="128">
        <v>44457</v>
      </c>
      <c r="U90">
        <v>0</v>
      </c>
      <c r="V90">
        <v>0</v>
      </c>
      <c r="W90" t="s">
        <v>262</v>
      </c>
      <c r="X90" t="s">
        <v>1986</v>
      </c>
      <c r="AA90" t="s">
        <v>4</v>
      </c>
      <c r="AB90" t="s">
        <v>1987</v>
      </c>
      <c r="AC90" s="128">
        <v>44457</v>
      </c>
      <c r="AD90" t="s">
        <v>349</v>
      </c>
      <c r="AE90" t="s">
        <v>1115</v>
      </c>
      <c r="AF90" t="s">
        <v>1116</v>
      </c>
      <c r="AG90" t="s">
        <v>0</v>
      </c>
      <c r="AH90">
        <v>1</v>
      </c>
      <c r="AI90" t="b">
        <v>0</v>
      </c>
      <c r="AK90" t="b">
        <v>0</v>
      </c>
      <c r="AM90" t="b">
        <v>1</v>
      </c>
      <c r="AN90" t="b">
        <v>0</v>
      </c>
      <c r="AO90" t="b">
        <v>0</v>
      </c>
      <c r="AP90" t="b">
        <v>0</v>
      </c>
      <c r="AQ90" t="b">
        <v>0</v>
      </c>
      <c r="AR90" t="b">
        <v>0</v>
      </c>
      <c r="AS90" t="b">
        <v>0</v>
      </c>
      <c r="AT90" t="s">
        <v>1988</v>
      </c>
      <c r="AU90">
        <v>9228291</v>
      </c>
      <c r="AV90" t="s">
        <v>730</v>
      </c>
      <c r="AW90" t="s">
        <v>951</v>
      </c>
      <c r="AX90" s="128">
        <v>44509</v>
      </c>
      <c r="AY90" t="s">
        <v>1101</v>
      </c>
      <c r="AZ90" t="s">
        <v>584</v>
      </c>
      <c r="BA90" t="s">
        <v>82</v>
      </c>
      <c r="BB90" t="s">
        <v>38</v>
      </c>
      <c r="BD90" t="s">
        <v>28</v>
      </c>
      <c r="BG90" s="128"/>
      <c r="BH90" t="b">
        <v>0</v>
      </c>
      <c r="BK90" t="s">
        <v>1382</v>
      </c>
      <c r="CC90" s="128"/>
      <c r="CE90" s="128"/>
      <c r="CG90" s="128"/>
      <c r="CI90" s="128"/>
      <c r="CK90" s="128"/>
      <c r="CM90" s="128"/>
      <c r="CO90" s="128"/>
      <c r="CT90" s="128"/>
      <c r="CV90" s="128"/>
    </row>
    <row r="91" spans="1:100" x14ac:dyDescent="0.2">
      <c r="A91" t="s">
        <v>1990</v>
      </c>
      <c r="B91" s="128">
        <v>44454</v>
      </c>
      <c r="C91" t="s">
        <v>1989</v>
      </c>
      <c r="D91" t="s">
        <v>364</v>
      </c>
      <c r="E91" t="s">
        <v>1104</v>
      </c>
      <c r="F91" t="s">
        <v>1105</v>
      </c>
      <c r="G91" t="s">
        <v>390</v>
      </c>
      <c r="H91" t="s">
        <v>1356</v>
      </c>
      <c r="I91" t="s">
        <v>583</v>
      </c>
      <c r="J91" t="s">
        <v>1604</v>
      </c>
      <c r="K91" t="s">
        <v>143</v>
      </c>
      <c r="L91" t="s">
        <v>1605</v>
      </c>
      <c r="M91" t="s">
        <v>346</v>
      </c>
      <c r="N91" t="s">
        <v>1991</v>
      </c>
      <c r="O91" t="s">
        <v>1992</v>
      </c>
      <c r="P91" t="s">
        <v>1993</v>
      </c>
      <c r="Q91" s="128">
        <v>44454</v>
      </c>
      <c r="R91" s="128">
        <v>44544</v>
      </c>
      <c r="S91" t="s">
        <v>1994</v>
      </c>
      <c r="T91" s="128">
        <v>44455</v>
      </c>
      <c r="U91">
        <v>0</v>
      </c>
      <c r="V91">
        <v>0</v>
      </c>
      <c r="W91" t="s">
        <v>262</v>
      </c>
      <c r="X91" t="s">
        <v>1995</v>
      </c>
      <c r="AA91" t="s">
        <v>1</v>
      </c>
      <c r="AB91" t="s">
        <v>1996</v>
      </c>
      <c r="AC91" s="128">
        <v>44455</v>
      </c>
      <c r="AD91" t="s">
        <v>349</v>
      </c>
      <c r="AE91" t="s">
        <v>1115</v>
      </c>
      <c r="AF91" t="s">
        <v>1116</v>
      </c>
      <c r="AG91" t="s">
        <v>0</v>
      </c>
      <c r="AH91">
        <v>1</v>
      </c>
      <c r="AI91" t="b">
        <v>0</v>
      </c>
      <c r="AK91" t="b">
        <v>0</v>
      </c>
      <c r="AM91" t="b">
        <v>1</v>
      </c>
      <c r="AN91" t="b">
        <v>0</v>
      </c>
      <c r="AO91" t="b">
        <v>0</v>
      </c>
      <c r="AP91" t="b">
        <v>0</v>
      </c>
      <c r="AQ91" t="b">
        <v>0</v>
      </c>
      <c r="AR91" t="b">
        <v>0</v>
      </c>
      <c r="AS91" t="b">
        <v>0</v>
      </c>
      <c r="AT91" t="s">
        <v>1998</v>
      </c>
      <c r="AU91">
        <v>9228291</v>
      </c>
      <c r="AV91" t="s">
        <v>730</v>
      </c>
      <c r="AW91" t="s">
        <v>951</v>
      </c>
      <c r="AX91" s="128">
        <v>44509</v>
      </c>
      <c r="AY91" t="s">
        <v>1101</v>
      </c>
      <c r="AZ91" t="s">
        <v>583</v>
      </c>
      <c r="BA91" t="s">
        <v>143</v>
      </c>
      <c r="BB91" t="s">
        <v>38</v>
      </c>
      <c r="BD91" t="s">
        <v>28</v>
      </c>
      <c r="BG91" s="128"/>
      <c r="BH91" t="b">
        <v>0</v>
      </c>
      <c r="BI91" t="s">
        <v>1997</v>
      </c>
      <c r="BK91" t="s">
        <v>1382</v>
      </c>
      <c r="CC91" s="128"/>
      <c r="CE91" s="128"/>
      <c r="CG91" s="128"/>
      <c r="CI91" s="128"/>
      <c r="CK91" s="128"/>
      <c r="CM91" s="128"/>
      <c r="CO91" s="128"/>
      <c r="CT91" s="128"/>
      <c r="CV91" s="128"/>
    </row>
    <row r="92" spans="1:100" x14ac:dyDescent="0.2">
      <c r="A92" t="s">
        <v>2000</v>
      </c>
      <c r="B92" s="128">
        <v>44460</v>
      </c>
      <c r="C92" t="s">
        <v>1999</v>
      </c>
      <c r="D92" t="s">
        <v>364</v>
      </c>
      <c r="E92" t="s">
        <v>1104</v>
      </c>
      <c r="F92" t="s">
        <v>1105</v>
      </c>
      <c r="G92" t="s">
        <v>390</v>
      </c>
      <c r="H92" t="s">
        <v>1356</v>
      </c>
      <c r="I92" t="s">
        <v>19</v>
      </c>
      <c r="J92" t="s">
        <v>1484</v>
      </c>
      <c r="K92" t="s">
        <v>150</v>
      </c>
      <c r="L92" t="s">
        <v>1584</v>
      </c>
      <c r="M92" t="s">
        <v>346</v>
      </c>
      <c r="N92" t="s">
        <v>2001</v>
      </c>
      <c r="O92" t="s">
        <v>2002</v>
      </c>
      <c r="P92" t="s">
        <v>2003</v>
      </c>
      <c r="Q92" s="128">
        <v>44460</v>
      </c>
      <c r="R92" s="128">
        <v>44550</v>
      </c>
      <c r="S92" t="s">
        <v>2004</v>
      </c>
      <c r="T92" s="128">
        <v>44482</v>
      </c>
      <c r="U92">
        <v>0</v>
      </c>
      <c r="V92">
        <v>0</v>
      </c>
      <c r="W92" t="s">
        <v>262</v>
      </c>
      <c r="X92" t="s">
        <v>2005</v>
      </c>
      <c r="AA92" t="s">
        <v>4</v>
      </c>
      <c r="AB92" t="s">
        <v>2006</v>
      </c>
      <c r="AC92" s="128">
        <v>44482</v>
      </c>
      <c r="AD92" t="s">
        <v>349</v>
      </c>
      <c r="AE92" t="s">
        <v>1115</v>
      </c>
      <c r="AF92" t="s">
        <v>1116</v>
      </c>
      <c r="AG92" t="s">
        <v>0</v>
      </c>
      <c r="AH92">
        <v>1</v>
      </c>
      <c r="AI92" t="b">
        <v>0</v>
      </c>
      <c r="AK92" t="b">
        <v>0</v>
      </c>
      <c r="AM92" t="b">
        <v>1</v>
      </c>
      <c r="AN92" t="b">
        <v>0</v>
      </c>
      <c r="AO92" t="b">
        <v>0</v>
      </c>
      <c r="AP92" t="b">
        <v>0</v>
      </c>
      <c r="AQ92" t="b">
        <v>0</v>
      </c>
      <c r="AR92" t="b">
        <v>0</v>
      </c>
      <c r="AS92" t="b">
        <v>0</v>
      </c>
      <c r="AT92" t="s">
        <v>2007</v>
      </c>
      <c r="AU92">
        <v>9228291</v>
      </c>
      <c r="AV92" t="s">
        <v>730</v>
      </c>
      <c r="AW92" t="s">
        <v>951</v>
      </c>
      <c r="AX92" s="128">
        <v>44509</v>
      </c>
      <c r="AY92" t="s">
        <v>1101</v>
      </c>
      <c r="AZ92" t="s">
        <v>19</v>
      </c>
      <c r="BA92" t="s">
        <v>150</v>
      </c>
      <c r="BB92" t="s">
        <v>38</v>
      </c>
      <c r="BD92" t="s">
        <v>28</v>
      </c>
      <c r="BG92" s="128"/>
      <c r="BH92" t="b">
        <v>0</v>
      </c>
      <c r="BI92" t="s">
        <v>1997</v>
      </c>
      <c r="BK92" t="s">
        <v>1382</v>
      </c>
      <c r="CC92" s="128"/>
      <c r="CE92" s="128"/>
      <c r="CG92" s="128"/>
      <c r="CI92" s="128"/>
      <c r="CK92" s="128"/>
      <c r="CM92" s="128"/>
      <c r="CO92" s="128"/>
      <c r="CT92" s="128"/>
      <c r="CV92" s="128"/>
    </row>
    <row r="93" spans="1:100" ht="409.5" x14ac:dyDescent="0.2">
      <c r="A93" t="s">
        <v>2009</v>
      </c>
      <c r="B93" s="128">
        <v>44471</v>
      </c>
      <c r="C93" t="s">
        <v>2008</v>
      </c>
      <c r="D93" t="s">
        <v>364</v>
      </c>
      <c r="E93" t="s">
        <v>1104</v>
      </c>
      <c r="F93" t="s">
        <v>1105</v>
      </c>
      <c r="G93" t="s">
        <v>389</v>
      </c>
      <c r="H93" t="s">
        <v>1101</v>
      </c>
      <c r="I93" t="s">
        <v>581</v>
      </c>
      <c r="J93" t="s">
        <v>1123</v>
      </c>
      <c r="K93" t="s">
        <v>62</v>
      </c>
      <c r="L93" t="s">
        <v>2010</v>
      </c>
      <c r="M93" t="s">
        <v>346</v>
      </c>
      <c r="N93" t="s">
        <v>2011</v>
      </c>
      <c r="O93" t="s">
        <v>2012</v>
      </c>
      <c r="P93" t="s">
        <v>2013</v>
      </c>
      <c r="Q93" s="128">
        <v>44471</v>
      </c>
      <c r="R93" s="128">
        <v>44562</v>
      </c>
      <c r="S93" t="s">
        <v>2083</v>
      </c>
      <c r="T93" s="128">
        <v>44521</v>
      </c>
      <c r="U93">
        <v>0</v>
      </c>
      <c r="V93">
        <v>0</v>
      </c>
      <c r="W93" t="s">
        <v>262</v>
      </c>
      <c r="X93" s="99" t="s">
        <v>2143</v>
      </c>
      <c r="AA93" t="s">
        <v>1</v>
      </c>
      <c r="AB93" t="s">
        <v>2144</v>
      </c>
      <c r="AC93" s="128">
        <v>44521</v>
      </c>
      <c r="AD93" t="s">
        <v>349</v>
      </c>
      <c r="AE93" t="s">
        <v>1115</v>
      </c>
      <c r="AF93" t="s">
        <v>1116</v>
      </c>
      <c r="AG93" t="s">
        <v>0</v>
      </c>
      <c r="AH93">
        <v>1</v>
      </c>
      <c r="AI93" t="b">
        <v>0</v>
      </c>
      <c r="AK93" t="b">
        <v>0</v>
      </c>
      <c r="AM93" t="b">
        <v>1</v>
      </c>
      <c r="AN93" t="b">
        <v>0</v>
      </c>
      <c r="AO93" t="b">
        <v>0</v>
      </c>
      <c r="AP93" t="b">
        <v>0</v>
      </c>
      <c r="AQ93" t="b">
        <v>0</v>
      </c>
      <c r="AR93" t="b">
        <v>0</v>
      </c>
      <c r="AS93" t="b">
        <v>0</v>
      </c>
      <c r="AT93" t="s">
        <v>2145</v>
      </c>
      <c r="AU93">
        <v>9228291</v>
      </c>
      <c r="AV93" t="s">
        <v>730</v>
      </c>
      <c r="AW93" t="s">
        <v>951</v>
      </c>
      <c r="AX93" s="128">
        <v>44538</v>
      </c>
      <c r="AY93" t="s">
        <v>1101</v>
      </c>
      <c r="AZ93" t="s">
        <v>581</v>
      </c>
      <c r="BA93" t="s">
        <v>62</v>
      </c>
      <c r="BB93" t="s">
        <v>40</v>
      </c>
      <c r="BD93" t="s">
        <v>30</v>
      </c>
      <c r="BG93" s="128"/>
      <c r="BH93" t="b">
        <v>0</v>
      </c>
      <c r="BI93" t="s">
        <v>2014</v>
      </c>
      <c r="BK93" t="s">
        <v>1382</v>
      </c>
      <c r="CC93" s="128"/>
      <c r="CE93" s="128"/>
      <c r="CG93" s="128"/>
      <c r="CI93" s="128"/>
      <c r="CK93" s="128"/>
      <c r="CM93" s="128"/>
      <c r="CO93" s="128"/>
      <c r="CT93" s="128"/>
      <c r="CV93" s="128"/>
    </row>
    <row r="94" spans="1:100" x14ac:dyDescent="0.2">
      <c r="A94" t="s">
        <v>2015</v>
      </c>
      <c r="B94" s="128">
        <v>44451</v>
      </c>
      <c r="C94" t="s">
        <v>2016</v>
      </c>
      <c r="D94" t="s">
        <v>352</v>
      </c>
      <c r="E94" t="s">
        <v>1179</v>
      </c>
      <c r="F94" t="s">
        <v>1180</v>
      </c>
      <c r="G94" t="s">
        <v>374</v>
      </c>
      <c r="H94" t="s">
        <v>2018</v>
      </c>
      <c r="I94" t="s">
        <v>354</v>
      </c>
      <c r="J94" t="s">
        <v>1182</v>
      </c>
      <c r="K94" t="s">
        <v>335</v>
      </c>
      <c r="L94" t="s">
        <v>1183</v>
      </c>
      <c r="M94" t="s">
        <v>346</v>
      </c>
      <c r="N94" t="s">
        <v>2019</v>
      </c>
      <c r="O94" t="s">
        <v>2084</v>
      </c>
      <c r="P94" t="s">
        <v>2085</v>
      </c>
      <c r="Q94" s="128">
        <v>44451</v>
      </c>
      <c r="R94" s="128">
        <v>44542</v>
      </c>
      <c r="S94" t="s">
        <v>2085</v>
      </c>
      <c r="T94" s="128">
        <v>44451</v>
      </c>
      <c r="U94">
        <v>0</v>
      </c>
      <c r="V94">
        <v>0</v>
      </c>
      <c r="W94" t="s">
        <v>262</v>
      </c>
      <c r="X94" t="s">
        <v>2146</v>
      </c>
      <c r="AA94" t="s">
        <v>804</v>
      </c>
      <c r="AB94" t="s">
        <v>2147</v>
      </c>
      <c r="AC94" s="128">
        <v>44451</v>
      </c>
      <c r="AD94" t="s">
        <v>349</v>
      </c>
      <c r="AE94" t="s">
        <v>1115</v>
      </c>
      <c r="AF94" t="s">
        <v>1116</v>
      </c>
      <c r="AG94" t="s">
        <v>0</v>
      </c>
      <c r="AH94">
        <v>1</v>
      </c>
      <c r="AI94" t="b">
        <v>0</v>
      </c>
      <c r="AK94" t="b">
        <v>0</v>
      </c>
      <c r="AM94" t="b">
        <v>0</v>
      </c>
      <c r="AN94" t="b">
        <v>0</v>
      </c>
      <c r="AO94" t="b">
        <v>0</v>
      </c>
      <c r="AP94" t="b">
        <v>0</v>
      </c>
      <c r="AQ94" t="b">
        <v>0</v>
      </c>
      <c r="AR94" t="b">
        <v>0</v>
      </c>
      <c r="AS94" t="b">
        <v>0</v>
      </c>
      <c r="AT94" t="s">
        <v>2148</v>
      </c>
      <c r="AU94">
        <v>9228291</v>
      </c>
      <c r="AV94" t="s">
        <v>730</v>
      </c>
      <c r="AW94" t="s">
        <v>951</v>
      </c>
      <c r="AX94" s="128">
        <v>44538</v>
      </c>
      <c r="AY94" t="s">
        <v>1101</v>
      </c>
      <c r="AZ94" t="s">
        <v>23</v>
      </c>
      <c r="BA94" t="s">
        <v>164</v>
      </c>
      <c r="BB94" t="s">
        <v>336</v>
      </c>
      <c r="BD94" t="s">
        <v>26</v>
      </c>
      <c r="BG94" s="128"/>
      <c r="BH94" t="b">
        <v>1</v>
      </c>
      <c r="BK94" t="s">
        <v>1382</v>
      </c>
      <c r="BL94" t="s">
        <v>2017</v>
      </c>
      <c r="CC94" s="128"/>
      <c r="CE94" s="128"/>
      <c r="CG94" s="128"/>
      <c r="CI94" s="128"/>
      <c r="CK94" s="128"/>
      <c r="CM94" s="128"/>
      <c r="CO94" s="128"/>
      <c r="CT94" s="128"/>
      <c r="CV94" s="128"/>
    </row>
    <row r="95" spans="1:100" ht="364" x14ac:dyDescent="0.2">
      <c r="A95" t="s">
        <v>2020</v>
      </c>
      <c r="B95" s="128">
        <v>44451</v>
      </c>
      <c r="C95" t="s">
        <v>2021</v>
      </c>
      <c r="D95" t="s">
        <v>352</v>
      </c>
      <c r="E95" t="s">
        <v>1179</v>
      </c>
      <c r="F95" t="s">
        <v>1180</v>
      </c>
      <c r="G95" t="s">
        <v>374</v>
      </c>
      <c r="H95" t="s">
        <v>2018</v>
      </c>
      <c r="I95" t="s">
        <v>354</v>
      </c>
      <c r="J95" t="s">
        <v>1182</v>
      </c>
      <c r="K95" t="s">
        <v>426</v>
      </c>
      <c r="L95" t="s">
        <v>2181</v>
      </c>
      <c r="M95" t="s">
        <v>346</v>
      </c>
      <c r="N95" t="s">
        <v>2204</v>
      </c>
      <c r="O95" t="s">
        <v>2086</v>
      </c>
      <c r="P95" t="s">
        <v>2087</v>
      </c>
      <c r="Q95" s="128">
        <v>44451</v>
      </c>
      <c r="R95" s="128">
        <v>44542</v>
      </c>
      <c r="T95" s="128"/>
      <c r="U95">
        <v>0</v>
      </c>
      <c r="V95">
        <v>0</v>
      </c>
      <c r="W95" t="s">
        <v>262</v>
      </c>
      <c r="X95" s="99" t="s">
        <v>2208</v>
      </c>
      <c r="AC95" s="128"/>
      <c r="AD95" t="s">
        <v>261</v>
      </c>
      <c r="AE95" t="s">
        <v>1115</v>
      </c>
      <c r="AF95" t="s">
        <v>1116</v>
      </c>
      <c r="AG95" t="s">
        <v>0</v>
      </c>
      <c r="AH95">
        <v>1</v>
      </c>
      <c r="AI95" t="b">
        <v>0</v>
      </c>
      <c r="AK95" t="b">
        <v>0</v>
      </c>
      <c r="AM95" t="b">
        <v>0</v>
      </c>
      <c r="AN95" t="b">
        <v>0</v>
      </c>
      <c r="AO95" t="b">
        <v>0</v>
      </c>
      <c r="AP95" t="b">
        <v>0</v>
      </c>
      <c r="AQ95" t="b">
        <v>0</v>
      </c>
      <c r="AR95" t="b">
        <v>0</v>
      </c>
      <c r="AS95" t="b">
        <v>0</v>
      </c>
      <c r="AT95" t="s">
        <v>2209</v>
      </c>
      <c r="AU95">
        <v>9228291</v>
      </c>
      <c r="AV95" t="s">
        <v>730</v>
      </c>
      <c r="AW95" t="s">
        <v>951</v>
      </c>
      <c r="AX95" s="128">
        <v>44567</v>
      </c>
      <c r="AY95" t="s">
        <v>1101</v>
      </c>
      <c r="AZ95" t="s">
        <v>13</v>
      </c>
      <c r="BA95" t="s">
        <v>83</v>
      </c>
      <c r="BB95" t="s">
        <v>52</v>
      </c>
      <c r="BD95" t="s">
        <v>757</v>
      </c>
      <c r="BF95" t="s">
        <v>575</v>
      </c>
      <c r="BG95" s="128">
        <v>44632</v>
      </c>
      <c r="BH95" t="b">
        <v>0</v>
      </c>
      <c r="BJ95" t="s">
        <v>2206</v>
      </c>
      <c r="BK95" t="s">
        <v>1118</v>
      </c>
      <c r="BL95" t="s">
        <v>2017</v>
      </c>
      <c r="CC95" s="128"/>
      <c r="CE95" s="128"/>
      <c r="CG95" s="128"/>
      <c r="CI95" s="128"/>
      <c r="CK95" s="128"/>
      <c r="CM95" s="128"/>
      <c r="CO95" s="128"/>
      <c r="CT95" s="128"/>
      <c r="CV95" s="128"/>
    </row>
    <row r="96" spans="1:100" x14ac:dyDescent="0.2">
      <c r="A96" t="s">
        <v>2022</v>
      </c>
      <c r="B96" s="128">
        <v>44451</v>
      </c>
      <c r="C96" t="s">
        <v>1591</v>
      </c>
      <c r="D96" t="s">
        <v>352</v>
      </c>
      <c r="E96" t="s">
        <v>1179</v>
      </c>
      <c r="F96" t="s">
        <v>1180</v>
      </c>
      <c r="G96" t="s">
        <v>374</v>
      </c>
      <c r="H96" t="s">
        <v>2018</v>
      </c>
      <c r="I96" t="s">
        <v>354</v>
      </c>
      <c r="J96" t="s">
        <v>1182</v>
      </c>
      <c r="K96" t="s">
        <v>415</v>
      </c>
      <c r="L96" t="s">
        <v>2182</v>
      </c>
      <c r="M96" t="s">
        <v>346</v>
      </c>
      <c r="N96" t="s">
        <v>2023</v>
      </c>
      <c r="O96" t="s">
        <v>2088</v>
      </c>
      <c r="P96" t="s">
        <v>2089</v>
      </c>
      <c r="Q96" s="128">
        <v>44451</v>
      </c>
      <c r="R96" s="128">
        <v>44542</v>
      </c>
      <c r="S96" t="s">
        <v>2090</v>
      </c>
      <c r="T96" s="128">
        <v>44494</v>
      </c>
      <c r="U96">
        <v>0</v>
      </c>
      <c r="V96">
        <v>0</v>
      </c>
      <c r="W96" t="s">
        <v>262</v>
      </c>
      <c r="X96" t="s">
        <v>2149</v>
      </c>
      <c r="AA96" t="s">
        <v>1</v>
      </c>
      <c r="AB96" t="s">
        <v>2150</v>
      </c>
      <c r="AC96" s="128">
        <v>44494</v>
      </c>
      <c r="AD96" t="s">
        <v>349</v>
      </c>
      <c r="AE96" t="s">
        <v>1115</v>
      </c>
      <c r="AF96" t="s">
        <v>1116</v>
      </c>
      <c r="AG96" t="s">
        <v>0</v>
      </c>
      <c r="AH96">
        <v>1</v>
      </c>
      <c r="AI96" t="b">
        <v>0</v>
      </c>
      <c r="AK96" t="b">
        <v>0</v>
      </c>
      <c r="AM96" t="b">
        <v>0</v>
      </c>
      <c r="AN96" t="b">
        <v>0</v>
      </c>
      <c r="AO96" t="b">
        <v>0</v>
      </c>
      <c r="AP96" t="b">
        <v>0</v>
      </c>
      <c r="AQ96" t="b">
        <v>0</v>
      </c>
      <c r="AR96" t="b">
        <v>0</v>
      </c>
      <c r="AS96" t="b">
        <v>0</v>
      </c>
      <c r="AT96" t="s">
        <v>2151</v>
      </c>
      <c r="AU96">
        <v>9228291</v>
      </c>
      <c r="AV96" t="s">
        <v>730</v>
      </c>
      <c r="AW96" t="s">
        <v>951</v>
      </c>
      <c r="AX96" s="128">
        <v>44538</v>
      </c>
      <c r="AY96" t="s">
        <v>1101</v>
      </c>
      <c r="AZ96" t="s">
        <v>10</v>
      </c>
      <c r="BA96" t="s">
        <v>80</v>
      </c>
      <c r="BB96" t="s">
        <v>41</v>
      </c>
      <c r="BD96" t="s">
        <v>28</v>
      </c>
      <c r="BG96" s="128"/>
      <c r="BH96" t="b">
        <v>0</v>
      </c>
      <c r="BK96" t="s">
        <v>1382</v>
      </c>
      <c r="BL96" t="s">
        <v>2017</v>
      </c>
      <c r="CC96" s="128"/>
      <c r="CE96" s="128"/>
      <c r="CG96" s="128"/>
      <c r="CI96" s="128"/>
      <c r="CK96" s="128"/>
      <c r="CM96" s="128"/>
      <c r="CO96" s="128"/>
      <c r="CT96" s="128"/>
      <c r="CV96" s="128"/>
    </row>
    <row r="97" spans="1:100" x14ac:dyDescent="0.2">
      <c r="A97" t="s">
        <v>2024</v>
      </c>
      <c r="B97" s="128">
        <v>44451</v>
      </c>
      <c r="C97" t="s">
        <v>2025</v>
      </c>
      <c r="D97" t="s">
        <v>352</v>
      </c>
      <c r="E97" t="s">
        <v>1179</v>
      </c>
      <c r="F97" t="s">
        <v>1180</v>
      </c>
      <c r="G97" t="s">
        <v>374</v>
      </c>
      <c r="H97" t="s">
        <v>2018</v>
      </c>
      <c r="I97" t="s">
        <v>354</v>
      </c>
      <c r="J97" t="s">
        <v>1182</v>
      </c>
      <c r="K97" t="s">
        <v>412</v>
      </c>
      <c r="L97" t="s">
        <v>1904</v>
      </c>
      <c r="M97" t="s">
        <v>346</v>
      </c>
      <c r="N97" t="s">
        <v>2026</v>
      </c>
      <c r="O97" t="s">
        <v>2152</v>
      </c>
      <c r="P97" t="s">
        <v>2091</v>
      </c>
      <c r="Q97" s="128">
        <v>44452</v>
      </c>
      <c r="R97" s="128">
        <v>44542</v>
      </c>
      <c r="S97" t="s">
        <v>2091</v>
      </c>
      <c r="T97" s="128">
        <v>44452</v>
      </c>
      <c r="U97">
        <v>0</v>
      </c>
      <c r="V97">
        <v>0</v>
      </c>
      <c r="W97" t="s">
        <v>262</v>
      </c>
      <c r="X97" t="s">
        <v>2153</v>
      </c>
      <c r="AA97" t="s">
        <v>1</v>
      </c>
      <c r="AB97" t="s">
        <v>2153</v>
      </c>
      <c r="AC97" s="128">
        <v>44452</v>
      </c>
      <c r="AD97" t="s">
        <v>349</v>
      </c>
      <c r="AE97" t="s">
        <v>1115</v>
      </c>
      <c r="AF97" t="s">
        <v>1116</v>
      </c>
      <c r="AG97" t="s">
        <v>0</v>
      </c>
      <c r="AH97">
        <v>1</v>
      </c>
      <c r="AI97" t="b">
        <v>0</v>
      </c>
      <c r="AK97" t="b">
        <v>0</v>
      </c>
      <c r="AM97" t="b">
        <v>0</v>
      </c>
      <c r="AN97" t="b">
        <v>0</v>
      </c>
      <c r="AO97" t="b">
        <v>0</v>
      </c>
      <c r="AP97" t="b">
        <v>0</v>
      </c>
      <c r="AQ97" t="b">
        <v>0</v>
      </c>
      <c r="AR97" t="b">
        <v>0</v>
      </c>
      <c r="AS97" t="b">
        <v>0</v>
      </c>
      <c r="AT97" t="s">
        <v>2154</v>
      </c>
      <c r="AU97">
        <v>9228291</v>
      </c>
      <c r="AV97" t="s">
        <v>730</v>
      </c>
      <c r="AW97" t="s">
        <v>951</v>
      </c>
      <c r="AX97" s="128">
        <v>44538</v>
      </c>
      <c r="AY97" t="s">
        <v>1101</v>
      </c>
      <c r="AZ97" t="s">
        <v>581</v>
      </c>
      <c r="BA97" t="s">
        <v>62</v>
      </c>
      <c r="BB97" t="s">
        <v>38</v>
      </c>
      <c r="BD97" t="s">
        <v>757</v>
      </c>
      <c r="BG97" s="128"/>
      <c r="BH97" t="b">
        <v>0</v>
      </c>
      <c r="BK97" t="s">
        <v>1382</v>
      </c>
      <c r="BL97" t="s">
        <v>2017</v>
      </c>
      <c r="CC97" s="128"/>
      <c r="CE97" s="128"/>
      <c r="CG97" s="128"/>
      <c r="CI97" s="128"/>
      <c r="CK97" s="128"/>
      <c r="CM97" s="128"/>
      <c r="CO97" s="128"/>
      <c r="CT97" s="128"/>
      <c r="CV97" s="128"/>
    </row>
    <row r="98" spans="1:100" x14ac:dyDescent="0.2">
      <c r="A98" t="s">
        <v>2027</v>
      </c>
      <c r="B98" s="128">
        <v>44451</v>
      </c>
      <c r="C98" t="s">
        <v>2028</v>
      </c>
      <c r="D98" t="s">
        <v>352</v>
      </c>
      <c r="E98" t="s">
        <v>1179</v>
      </c>
      <c r="F98" t="s">
        <v>1180</v>
      </c>
      <c r="G98" t="s">
        <v>374</v>
      </c>
      <c r="H98" t="s">
        <v>2018</v>
      </c>
      <c r="I98" t="s">
        <v>354</v>
      </c>
      <c r="J98" t="s">
        <v>1182</v>
      </c>
      <c r="K98" t="s">
        <v>412</v>
      </c>
      <c r="L98" t="s">
        <v>1904</v>
      </c>
      <c r="M98" t="s">
        <v>346</v>
      </c>
      <c r="N98" t="s">
        <v>2029</v>
      </c>
      <c r="O98" t="s">
        <v>2092</v>
      </c>
      <c r="P98" t="s">
        <v>2093</v>
      </c>
      <c r="Q98" s="128">
        <v>44452</v>
      </c>
      <c r="R98" s="128">
        <v>44542</v>
      </c>
      <c r="S98" t="s">
        <v>2093</v>
      </c>
      <c r="T98" s="128">
        <v>44452</v>
      </c>
      <c r="U98">
        <v>0</v>
      </c>
      <c r="V98">
        <v>0</v>
      </c>
      <c r="W98" t="s">
        <v>262</v>
      </c>
      <c r="X98" t="s">
        <v>2155</v>
      </c>
      <c r="AA98" t="s">
        <v>1</v>
      </c>
      <c r="AB98" t="s">
        <v>2155</v>
      </c>
      <c r="AC98" s="128">
        <v>44452</v>
      </c>
      <c r="AD98" t="s">
        <v>349</v>
      </c>
      <c r="AE98" t="s">
        <v>1115</v>
      </c>
      <c r="AF98" t="s">
        <v>1116</v>
      </c>
      <c r="AG98" t="s">
        <v>0</v>
      </c>
      <c r="AH98">
        <v>1</v>
      </c>
      <c r="AI98" t="b">
        <v>0</v>
      </c>
      <c r="AK98" t="b">
        <v>0</v>
      </c>
      <c r="AM98" t="b">
        <v>0</v>
      </c>
      <c r="AN98" t="b">
        <v>0</v>
      </c>
      <c r="AO98" t="b">
        <v>0</v>
      </c>
      <c r="AP98" t="b">
        <v>0</v>
      </c>
      <c r="AQ98" t="b">
        <v>0</v>
      </c>
      <c r="AR98" t="b">
        <v>0</v>
      </c>
      <c r="AS98" t="b">
        <v>0</v>
      </c>
      <c r="AT98" t="s">
        <v>2156</v>
      </c>
      <c r="AU98">
        <v>9228291</v>
      </c>
      <c r="AV98" t="s">
        <v>730</v>
      </c>
      <c r="AW98" t="s">
        <v>951</v>
      </c>
      <c r="AX98" s="128">
        <v>44538</v>
      </c>
      <c r="AY98" t="s">
        <v>1101</v>
      </c>
      <c r="AZ98" t="s">
        <v>11</v>
      </c>
      <c r="BA98" t="s">
        <v>81</v>
      </c>
      <c r="BB98" t="s">
        <v>38</v>
      </c>
      <c r="BD98" t="s">
        <v>757</v>
      </c>
      <c r="BG98" s="128"/>
      <c r="BH98" t="b">
        <v>0</v>
      </c>
      <c r="BK98" t="s">
        <v>1382</v>
      </c>
      <c r="BL98" t="s">
        <v>2017</v>
      </c>
      <c r="CC98" s="128"/>
      <c r="CE98" s="128"/>
      <c r="CG98" s="128"/>
      <c r="CI98" s="128"/>
      <c r="CK98" s="128"/>
      <c r="CM98" s="128"/>
      <c r="CO98" s="128"/>
      <c r="CT98" s="128"/>
      <c r="CV98" s="128"/>
    </row>
    <row r="99" spans="1:100" x14ac:dyDescent="0.2">
      <c r="A99" t="s">
        <v>2030</v>
      </c>
      <c r="B99" s="128">
        <v>44451</v>
      </c>
      <c r="C99" t="s">
        <v>2031</v>
      </c>
      <c r="D99" t="s">
        <v>352</v>
      </c>
      <c r="E99" t="s">
        <v>1179</v>
      </c>
      <c r="F99" t="s">
        <v>1180</v>
      </c>
      <c r="G99" t="s">
        <v>374</v>
      </c>
      <c r="H99" t="s">
        <v>2018</v>
      </c>
      <c r="I99" t="s">
        <v>354</v>
      </c>
      <c r="J99" t="s">
        <v>1182</v>
      </c>
      <c r="K99" t="s">
        <v>424</v>
      </c>
      <c r="L99" t="s">
        <v>1924</v>
      </c>
      <c r="M99" t="s">
        <v>346</v>
      </c>
      <c r="N99" t="s">
        <v>2032</v>
      </c>
      <c r="O99" t="s">
        <v>2094</v>
      </c>
      <c r="P99" t="s">
        <v>2095</v>
      </c>
      <c r="Q99" s="128">
        <v>44451</v>
      </c>
      <c r="R99" s="128">
        <v>44542</v>
      </c>
      <c r="S99" t="s">
        <v>2191</v>
      </c>
      <c r="T99" s="128">
        <v>44530</v>
      </c>
      <c r="U99">
        <v>0</v>
      </c>
      <c r="V99">
        <v>0</v>
      </c>
      <c r="W99" t="s">
        <v>262</v>
      </c>
      <c r="X99" t="s">
        <v>2157</v>
      </c>
      <c r="AA99" t="s">
        <v>1</v>
      </c>
      <c r="AB99" t="s">
        <v>2191</v>
      </c>
      <c r="AC99" s="128">
        <v>44530</v>
      </c>
      <c r="AD99" t="s">
        <v>349</v>
      </c>
      <c r="AE99" t="s">
        <v>1115</v>
      </c>
      <c r="AF99" t="s">
        <v>1116</v>
      </c>
      <c r="AG99" t="s">
        <v>0</v>
      </c>
      <c r="AH99">
        <v>1</v>
      </c>
      <c r="AI99" t="b">
        <v>0</v>
      </c>
      <c r="AK99" t="b">
        <v>0</v>
      </c>
      <c r="AM99" t="b">
        <v>0</v>
      </c>
      <c r="AN99" t="b">
        <v>0</v>
      </c>
      <c r="AO99" t="b">
        <v>0</v>
      </c>
      <c r="AP99" t="b">
        <v>0</v>
      </c>
      <c r="AQ99" t="b">
        <v>0</v>
      </c>
      <c r="AR99" t="b">
        <v>0</v>
      </c>
      <c r="AS99" t="b">
        <v>0</v>
      </c>
      <c r="AT99" t="s">
        <v>2205</v>
      </c>
      <c r="AU99">
        <v>9228291</v>
      </c>
      <c r="AV99" t="s">
        <v>730</v>
      </c>
      <c r="AW99" t="s">
        <v>951</v>
      </c>
      <c r="AX99" s="128">
        <v>44567</v>
      </c>
      <c r="AY99" t="s">
        <v>1101</v>
      </c>
      <c r="AZ99" t="s">
        <v>13</v>
      </c>
      <c r="BA99" t="s">
        <v>83</v>
      </c>
      <c r="BB99" t="s">
        <v>50</v>
      </c>
      <c r="BD99" t="s">
        <v>29</v>
      </c>
      <c r="BG99" s="128"/>
      <c r="BH99" t="b">
        <v>0</v>
      </c>
      <c r="BK99" t="s">
        <v>1382</v>
      </c>
      <c r="BL99" t="s">
        <v>2017</v>
      </c>
      <c r="CC99" s="128"/>
      <c r="CE99" s="128"/>
      <c r="CG99" s="128"/>
      <c r="CI99" s="128"/>
      <c r="CK99" s="128"/>
      <c r="CM99" s="128"/>
      <c r="CO99" s="128"/>
      <c r="CT99" s="128"/>
      <c r="CV99" s="128"/>
    </row>
    <row r="100" spans="1:100" x14ac:dyDescent="0.2">
      <c r="A100" t="s">
        <v>2033</v>
      </c>
      <c r="B100" s="128">
        <v>44451</v>
      </c>
      <c r="C100" t="s">
        <v>2034</v>
      </c>
      <c r="D100" t="s">
        <v>352</v>
      </c>
      <c r="E100" t="s">
        <v>1179</v>
      </c>
      <c r="F100" t="s">
        <v>1180</v>
      </c>
      <c r="G100" t="s">
        <v>374</v>
      </c>
      <c r="H100" t="s">
        <v>2018</v>
      </c>
      <c r="I100" t="s">
        <v>354</v>
      </c>
      <c r="J100" t="s">
        <v>1182</v>
      </c>
      <c r="K100" t="s">
        <v>416</v>
      </c>
      <c r="L100" t="s">
        <v>2183</v>
      </c>
      <c r="M100" t="s">
        <v>346</v>
      </c>
      <c r="N100" t="s">
        <v>2035</v>
      </c>
      <c r="O100" t="s">
        <v>1389</v>
      </c>
      <c r="P100" t="s">
        <v>2096</v>
      </c>
      <c r="Q100" s="128">
        <v>44451</v>
      </c>
      <c r="R100" s="128">
        <v>44542</v>
      </c>
      <c r="S100" t="s">
        <v>2097</v>
      </c>
      <c r="T100" s="128">
        <v>44482</v>
      </c>
      <c r="U100">
        <v>0</v>
      </c>
      <c r="V100">
        <v>0</v>
      </c>
      <c r="W100" t="s">
        <v>262</v>
      </c>
      <c r="X100" t="s">
        <v>2158</v>
      </c>
      <c r="AA100" t="s">
        <v>1</v>
      </c>
      <c r="AB100" t="s">
        <v>2158</v>
      </c>
      <c r="AC100" s="128">
        <v>44482</v>
      </c>
      <c r="AD100" t="s">
        <v>349</v>
      </c>
      <c r="AE100" t="s">
        <v>1115</v>
      </c>
      <c r="AF100" t="s">
        <v>1116</v>
      </c>
      <c r="AG100" t="s">
        <v>0</v>
      </c>
      <c r="AH100">
        <v>1</v>
      </c>
      <c r="AI100" t="b">
        <v>0</v>
      </c>
      <c r="AK100" t="b">
        <v>0</v>
      </c>
      <c r="AM100" t="b">
        <v>1</v>
      </c>
      <c r="AN100" t="b">
        <v>0</v>
      </c>
      <c r="AO100" t="b">
        <v>0</v>
      </c>
      <c r="AP100" t="b">
        <v>0</v>
      </c>
      <c r="AQ100" t="b">
        <v>0</v>
      </c>
      <c r="AR100" t="b">
        <v>0</v>
      </c>
      <c r="AS100" t="b">
        <v>0</v>
      </c>
      <c r="AT100" t="s">
        <v>2159</v>
      </c>
      <c r="AU100">
        <v>9228291</v>
      </c>
      <c r="AV100" t="s">
        <v>730</v>
      </c>
      <c r="AW100" t="s">
        <v>951</v>
      </c>
      <c r="AX100" s="128">
        <v>44538</v>
      </c>
      <c r="AY100" t="s">
        <v>1101</v>
      </c>
      <c r="AZ100" t="s">
        <v>581</v>
      </c>
      <c r="BA100" t="s">
        <v>173</v>
      </c>
      <c r="BB100" t="s">
        <v>42</v>
      </c>
      <c r="BD100" t="s">
        <v>31</v>
      </c>
      <c r="BG100" s="128"/>
      <c r="BH100" t="b">
        <v>0</v>
      </c>
      <c r="BK100" t="s">
        <v>1382</v>
      </c>
      <c r="BL100" t="s">
        <v>2017</v>
      </c>
      <c r="CC100" s="128"/>
      <c r="CE100" s="128"/>
      <c r="CG100" s="128"/>
      <c r="CI100" s="128"/>
      <c r="CK100" s="128"/>
      <c r="CM100" s="128"/>
      <c r="CO100" s="128"/>
      <c r="CT100" s="128"/>
      <c r="CV100" s="128"/>
    </row>
    <row r="101" spans="1:100" ht="221" x14ac:dyDescent="0.2">
      <c r="A101" t="s">
        <v>2036</v>
      </c>
      <c r="B101" s="128">
        <v>44451</v>
      </c>
      <c r="C101" t="s">
        <v>2037</v>
      </c>
      <c r="D101" t="s">
        <v>352</v>
      </c>
      <c r="E101" t="s">
        <v>1179</v>
      </c>
      <c r="F101" t="s">
        <v>1180</v>
      </c>
      <c r="G101" t="s">
        <v>374</v>
      </c>
      <c r="H101" t="s">
        <v>2018</v>
      </c>
      <c r="I101" t="s">
        <v>354</v>
      </c>
      <c r="J101" t="s">
        <v>1182</v>
      </c>
      <c r="K101" t="s">
        <v>426</v>
      </c>
      <c r="L101" t="s">
        <v>2181</v>
      </c>
      <c r="M101" t="s">
        <v>346</v>
      </c>
      <c r="N101" t="s">
        <v>2038</v>
      </c>
      <c r="O101" t="s">
        <v>2098</v>
      </c>
      <c r="P101" t="s">
        <v>2099</v>
      </c>
      <c r="Q101" s="128">
        <v>44451</v>
      </c>
      <c r="R101" s="128">
        <v>44542</v>
      </c>
      <c r="T101" s="128"/>
      <c r="U101">
        <v>0</v>
      </c>
      <c r="V101">
        <v>0</v>
      </c>
      <c r="W101" t="s">
        <v>262</v>
      </c>
      <c r="X101" s="99" t="s">
        <v>2210</v>
      </c>
      <c r="AC101" s="128"/>
      <c r="AD101" t="s">
        <v>261</v>
      </c>
      <c r="AE101" t="s">
        <v>1115</v>
      </c>
      <c r="AF101" t="s">
        <v>1116</v>
      </c>
      <c r="AG101" t="s">
        <v>0</v>
      </c>
      <c r="AH101">
        <v>1</v>
      </c>
      <c r="AI101" t="b">
        <v>0</v>
      </c>
      <c r="AK101" t="b">
        <v>0</v>
      </c>
      <c r="AM101" t="b">
        <v>0</v>
      </c>
      <c r="AN101" t="b">
        <v>0</v>
      </c>
      <c r="AO101" t="b">
        <v>0</v>
      </c>
      <c r="AP101" t="b">
        <v>0</v>
      </c>
      <c r="AQ101" t="b">
        <v>0</v>
      </c>
      <c r="AR101" t="b">
        <v>0</v>
      </c>
      <c r="AS101" t="b">
        <v>0</v>
      </c>
      <c r="AT101" t="s">
        <v>2212</v>
      </c>
      <c r="AU101">
        <v>9228291</v>
      </c>
      <c r="AV101" t="s">
        <v>730</v>
      </c>
      <c r="AW101" t="s">
        <v>951</v>
      </c>
      <c r="AX101" s="128">
        <v>44567</v>
      </c>
      <c r="AY101" t="s">
        <v>1101</v>
      </c>
      <c r="AZ101" t="s">
        <v>13</v>
      </c>
      <c r="BA101" t="s">
        <v>83</v>
      </c>
      <c r="BB101" t="s">
        <v>52</v>
      </c>
      <c r="BD101" t="s">
        <v>757</v>
      </c>
      <c r="BF101" t="s">
        <v>575</v>
      </c>
      <c r="BG101" s="128">
        <v>44632</v>
      </c>
      <c r="BH101" t="b">
        <v>0</v>
      </c>
      <c r="BJ101" t="s">
        <v>2211</v>
      </c>
      <c r="BK101" t="s">
        <v>1118</v>
      </c>
      <c r="BL101" t="s">
        <v>2017</v>
      </c>
      <c r="CC101" s="128"/>
      <c r="CE101" s="128"/>
      <c r="CG101" s="128"/>
      <c r="CI101" s="128"/>
      <c r="CK101" s="128"/>
      <c r="CM101" s="128"/>
      <c r="CO101" s="128"/>
      <c r="CT101" s="128"/>
      <c r="CV101" s="128"/>
    </row>
    <row r="102" spans="1:100" ht="182" x14ac:dyDescent="0.2">
      <c r="A102" t="s">
        <v>2039</v>
      </c>
      <c r="B102" s="128">
        <v>44451</v>
      </c>
      <c r="C102" t="s">
        <v>2040</v>
      </c>
      <c r="D102" t="s">
        <v>352</v>
      </c>
      <c r="E102" t="s">
        <v>1179</v>
      </c>
      <c r="F102" t="s">
        <v>1180</v>
      </c>
      <c r="G102" t="s">
        <v>374</v>
      </c>
      <c r="H102" t="s">
        <v>2018</v>
      </c>
      <c r="I102" t="s">
        <v>354</v>
      </c>
      <c r="J102" t="s">
        <v>1182</v>
      </c>
      <c r="K102" t="s">
        <v>414</v>
      </c>
      <c r="L102" t="s">
        <v>2227</v>
      </c>
      <c r="M102" t="s">
        <v>346</v>
      </c>
      <c r="N102" t="s">
        <v>2041</v>
      </c>
      <c r="O102" t="s">
        <v>2100</v>
      </c>
      <c r="P102" t="s">
        <v>2099</v>
      </c>
      <c r="Q102" s="128">
        <v>44451</v>
      </c>
      <c r="R102" s="128">
        <v>44542</v>
      </c>
      <c r="T102" s="128"/>
      <c r="U102">
        <v>0</v>
      </c>
      <c r="V102">
        <v>0</v>
      </c>
      <c r="W102" t="s">
        <v>262</v>
      </c>
      <c r="X102" s="99" t="s">
        <v>2213</v>
      </c>
      <c r="AC102" s="128"/>
      <c r="AD102" t="s">
        <v>261</v>
      </c>
      <c r="AE102" t="s">
        <v>1115</v>
      </c>
      <c r="AF102" t="s">
        <v>1116</v>
      </c>
      <c r="AG102" t="s">
        <v>0</v>
      </c>
      <c r="AH102">
        <v>1</v>
      </c>
      <c r="AI102" t="b">
        <v>0</v>
      </c>
      <c r="AK102" t="b">
        <v>0</v>
      </c>
      <c r="AM102" t="b">
        <v>0</v>
      </c>
      <c r="AN102" t="b">
        <v>0</v>
      </c>
      <c r="AO102" t="b">
        <v>0</v>
      </c>
      <c r="AP102" t="b">
        <v>0</v>
      </c>
      <c r="AQ102" t="b">
        <v>0</v>
      </c>
      <c r="AR102" t="b">
        <v>0</v>
      </c>
      <c r="AS102" t="b">
        <v>0</v>
      </c>
      <c r="AT102" t="s">
        <v>2214</v>
      </c>
      <c r="AU102">
        <v>9228291</v>
      </c>
      <c r="AV102" t="s">
        <v>730</v>
      </c>
      <c r="AW102" t="s">
        <v>951</v>
      </c>
      <c r="AX102" s="128">
        <v>44567</v>
      </c>
      <c r="AY102" t="s">
        <v>1101</v>
      </c>
      <c r="AZ102" t="s">
        <v>582</v>
      </c>
      <c r="BA102" t="s">
        <v>69</v>
      </c>
      <c r="BB102" t="s">
        <v>40</v>
      </c>
      <c r="BD102" t="s">
        <v>30</v>
      </c>
      <c r="BF102" t="s">
        <v>575</v>
      </c>
      <c r="BG102" s="128">
        <v>44632</v>
      </c>
      <c r="BH102" t="b">
        <v>0</v>
      </c>
      <c r="BK102" t="s">
        <v>1118</v>
      </c>
      <c r="BL102" t="s">
        <v>2017</v>
      </c>
      <c r="CC102" s="128"/>
      <c r="CE102" s="128"/>
      <c r="CG102" s="128"/>
      <c r="CI102" s="128"/>
      <c r="CK102" s="128"/>
      <c r="CM102" s="128"/>
      <c r="CO102" s="128"/>
      <c r="CT102" s="128"/>
      <c r="CV102" s="128"/>
    </row>
    <row r="103" spans="1:100" x14ac:dyDescent="0.2">
      <c r="A103" t="s">
        <v>2042</v>
      </c>
      <c r="B103" s="128">
        <v>44451</v>
      </c>
      <c r="C103" t="s">
        <v>2043</v>
      </c>
      <c r="D103" t="s">
        <v>352</v>
      </c>
      <c r="E103" t="s">
        <v>1179</v>
      </c>
      <c r="F103" t="s">
        <v>1180</v>
      </c>
      <c r="G103" t="s">
        <v>374</v>
      </c>
      <c r="H103" t="s">
        <v>2018</v>
      </c>
      <c r="I103" t="s">
        <v>354</v>
      </c>
      <c r="J103" t="s">
        <v>1182</v>
      </c>
      <c r="K103" t="s">
        <v>417</v>
      </c>
      <c r="L103" t="s">
        <v>2184</v>
      </c>
      <c r="M103" t="s">
        <v>346</v>
      </c>
      <c r="N103" t="s">
        <v>2044</v>
      </c>
      <c r="O103" t="s">
        <v>2101</v>
      </c>
      <c r="P103" t="s">
        <v>2103</v>
      </c>
      <c r="Q103" s="128">
        <v>44481</v>
      </c>
      <c r="R103" s="128">
        <v>44542</v>
      </c>
      <c r="S103" t="s">
        <v>2102</v>
      </c>
      <c r="T103" s="128">
        <v>44455</v>
      </c>
      <c r="U103">
        <v>0</v>
      </c>
      <c r="V103">
        <v>0</v>
      </c>
      <c r="W103" t="s">
        <v>262</v>
      </c>
      <c r="X103" t="s">
        <v>2160</v>
      </c>
      <c r="AA103" t="s">
        <v>1</v>
      </c>
      <c r="AB103" t="s">
        <v>2161</v>
      </c>
      <c r="AC103" s="128">
        <v>44455</v>
      </c>
      <c r="AD103" t="s">
        <v>349</v>
      </c>
      <c r="AE103" t="s">
        <v>1115</v>
      </c>
      <c r="AF103" t="s">
        <v>1116</v>
      </c>
      <c r="AG103" t="s">
        <v>0</v>
      </c>
      <c r="AH103">
        <v>1</v>
      </c>
      <c r="AI103" t="b">
        <v>0</v>
      </c>
      <c r="AK103" t="b">
        <v>0</v>
      </c>
      <c r="AM103" t="b">
        <v>1</v>
      </c>
      <c r="AN103" t="b">
        <v>0</v>
      </c>
      <c r="AO103" t="b">
        <v>0</v>
      </c>
      <c r="AP103" t="b">
        <v>0</v>
      </c>
      <c r="AQ103" t="b">
        <v>0</v>
      </c>
      <c r="AR103" t="b">
        <v>0</v>
      </c>
      <c r="AS103" t="b">
        <v>0</v>
      </c>
      <c r="AT103" t="s">
        <v>2162</v>
      </c>
      <c r="AU103">
        <v>9228291</v>
      </c>
      <c r="AV103" t="s">
        <v>730</v>
      </c>
      <c r="AW103" t="s">
        <v>951</v>
      </c>
      <c r="AX103" s="128">
        <v>44538</v>
      </c>
      <c r="AY103" t="s">
        <v>1101</v>
      </c>
      <c r="AZ103" t="s">
        <v>11</v>
      </c>
      <c r="BA103" t="s">
        <v>81</v>
      </c>
      <c r="BB103" t="s">
        <v>43</v>
      </c>
      <c r="BD103" t="s">
        <v>28</v>
      </c>
      <c r="BG103" s="128"/>
      <c r="BH103" t="b">
        <v>0</v>
      </c>
      <c r="BK103" t="s">
        <v>1382</v>
      </c>
      <c r="BL103" t="s">
        <v>2017</v>
      </c>
      <c r="CC103" s="128"/>
      <c r="CE103" s="128"/>
      <c r="CG103" s="128"/>
      <c r="CI103" s="128"/>
      <c r="CK103" s="128"/>
      <c r="CM103" s="128"/>
      <c r="CO103" s="128"/>
      <c r="CT103" s="128"/>
      <c r="CV103" s="128"/>
    </row>
    <row r="104" spans="1:100" x14ac:dyDescent="0.2">
      <c r="A104" t="s">
        <v>2045</v>
      </c>
      <c r="B104" s="128">
        <v>44451</v>
      </c>
      <c r="C104" t="s">
        <v>2046</v>
      </c>
      <c r="D104" t="s">
        <v>352</v>
      </c>
      <c r="E104" t="s">
        <v>1179</v>
      </c>
      <c r="F104" t="s">
        <v>1180</v>
      </c>
      <c r="G104" t="s">
        <v>374</v>
      </c>
      <c r="H104" t="s">
        <v>2018</v>
      </c>
      <c r="I104" t="s">
        <v>354</v>
      </c>
      <c r="J104" t="s">
        <v>1182</v>
      </c>
      <c r="K104" t="s">
        <v>417</v>
      </c>
      <c r="L104" t="s">
        <v>2184</v>
      </c>
      <c r="M104" t="s">
        <v>346</v>
      </c>
      <c r="N104" t="s">
        <v>2047</v>
      </c>
      <c r="O104" t="s">
        <v>2104</v>
      </c>
      <c r="P104" t="s">
        <v>2105</v>
      </c>
      <c r="Q104" s="128">
        <v>44451</v>
      </c>
      <c r="R104" s="128">
        <v>44542</v>
      </c>
      <c r="S104" t="s">
        <v>2106</v>
      </c>
      <c r="T104" s="128">
        <v>44488</v>
      </c>
      <c r="U104">
        <v>0</v>
      </c>
      <c r="V104">
        <v>0</v>
      </c>
      <c r="W104" t="s">
        <v>262</v>
      </c>
      <c r="X104" t="s">
        <v>2163</v>
      </c>
      <c r="AA104" t="s">
        <v>1</v>
      </c>
      <c r="AB104" t="s">
        <v>2164</v>
      </c>
      <c r="AC104" s="128">
        <v>44488</v>
      </c>
      <c r="AD104" t="s">
        <v>349</v>
      </c>
      <c r="AE104" t="s">
        <v>1115</v>
      </c>
      <c r="AF104" t="s">
        <v>1116</v>
      </c>
      <c r="AG104" t="s">
        <v>0</v>
      </c>
      <c r="AH104">
        <v>1</v>
      </c>
      <c r="AI104" t="b">
        <v>0</v>
      </c>
      <c r="AK104" t="b">
        <v>0</v>
      </c>
      <c r="AM104" t="b">
        <v>1</v>
      </c>
      <c r="AN104" t="b">
        <v>0</v>
      </c>
      <c r="AO104" t="b">
        <v>0</v>
      </c>
      <c r="AP104" t="b">
        <v>0</v>
      </c>
      <c r="AQ104" t="b">
        <v>0</v>
      </c>
      <c r="AR104" t="b">
        <v>0</v>
      </c>
      <c r="AS104" t="b">
        <v>0</v>
      </c>
      <c r="AT104" t="s">
        <v>2165</v>
      </c>
      <c r="AU104">
        <v>9228291</v>
      </c>
      <c r="AV104" t="s">
        <v>730</v>
      </c>
      <c r="AW104" t="s">
        <v>951</v>
      </c>
      <c r="AX104" s="128">
        <v>44538</v>
      </c>
      <c r="AY104" t="s">
        <v>1101</v>
      </c>
      <c r="AZ104" t="s">
        <v>583</v>
      </c>
      <c r="BA104" t="s">
        <v>143</v>
      </c>
      <c r="BB104" t="s">
        <v>43</v>
      </c>
      <c r="BD104" t="s">
        <v>756</v>
      </c>
      <c r="BG104" s="128"/>
      <c r="BH104" t="b">
        <v>0</v>
      </c>
      <c r="BK104" t="s">
        <v>1382</v>
      </c>
      <c r="BL104" t="s">
        <v>2017</v>
      </c>
      <c r="CC104" s="128"/>
      <c r="CE104" s="128"/>
      <c r="CG104" s="128"/>
      <c r="CI104" s="128"/>
      <c r="CK104" s="128"/>
      <c r="CM104" s="128"/>
      <c r="CO104" s="128"/>
      <c r="CT104" s="128"/>
      <c r="CV104" s="128"/>
    </row>
    <row r="105" spans="1:100" ht="409.5" x14ac:dyDescent="0.2">
      <c r="A105" t="s">
        <v>2048</v>
      </c>
      <c r="B105" s="128">
        <v>44451</v>
      </c>
      <c r="C105" t="s">
        <v>2049</v>
      </c>
      <c r="D105" t="s">
        <v>352</v>
      </c>
      <c r="E105" t="s">
        <v>1179</v>
      </c>
      <c r="F105" t="s">
        <v>1180</v>
      </c>
      <c r="G105" t="s">
        <v>374</v>
      </c>
      <c r="H105" t="s">
        <v>2018</v>
      </c>
      <c r="I105" t="s">
        <v>354</v>
      </c>
      <c r="J105" t="s">
        <v>1182</v>
      </c>
      <c r="K105" t="s">
        <v>417</v>
      </c>
      <c r="L105" t="s">
        <v>2184</v>
      </c>
      <c r="M105" t="s">
        <v>346</v>
      </c>
      <c r="N105" t="s">
        <v>2050</v>
      </c>
      <c r="O105" t="s">
        <v>2107</v>
      </c>
      <c r="P105" t="s">
        <v>2108</v>
      </c>
      <c r="Q105" s="128">
        <v>44451</v>
      </c>
      <c r="R105" s="128">
        <v>44542</v>
      </c>
      <c r="T105" s="128"/>
      <c r="U105">
        <v>0</v>
      </c>
      <c r="V105">
        <v>0</v>
      </c>
      <c r="W105" t="s">
        <v>262</v>
      </c>
      <c r="X105" s="99" t="s">
        <v>2215</v>
      </c>
      <c r="AA105" t="s">
        <v>5</v>
      </c>
      <c r="AC105" s="128"/>
      <c r="AD105" t="s">
        <v>261</v>
      </c>
      <c r="AE105" t="s">
        <v>1115</v>
      </c>
      <c r="AF105" t="s">
        <v>1116</v>
      </c>
      <c r="AG105" t="s">
        <v>0</v>
      </c>
      <c r="AH105">
        <v>1</v>
      </c>
      <c r="AI105" t="b">
        <v>0</v>
      </c>
      <c r="AK105" t="b">
        <v>0</v>
      </c>
      <c r="AM105" t="b">
        <v>1</v>
      </c>
      <c r="AN105" t="b">
        <v>0</v>
      </c>
      <c r="AO105" t="b">
        <v>0</v>
      </c>
      <c r="AP105" t="b">
        <v>0</v>
      </c>
      <c r="AQ105" t="b">
        <v>0</v>
      </c>
      <c r="AR105" t="b">
        <v>0</v>
      </c>
      <c r="AS105" t="b">
        <v>0</v>
      </c>
      <c r="AT105" t="s">
        <v>2225</v>
      </c>
      <c r="AU105">
        <v>9228291</v>
      </c>
      <c r="AV105" t="s">
        <v>730</v>
      </c>
      <c r="AW105" t="s">
        <v>951</v>
      </c>
      <c r="AX105" s="128">
        <v>44571</v>
      </c>
      <c r="AY105" t="s">
        <v>1101</v>
      </c>
      <c r="AZ105" t="s">
        <v>14</v>
      </c>
      <c r="BA105" t="s">
        <v>88</v>
      </c>
      <c r="BB105" t="s">
        <v>43</v>
      </c>
      <c r="BD105" t="s">
        <v>756</v>
      </c>
      <c r="BF105" t="s">
        <v>574</v>
      </c>
      <c r="BG105" s="128">
        <v>44632</v>
      </c>
      <c r="BH105" t="b">
        <v>0</v>
      </c>
      <c r="BI105" t="s">
        <v>2109</v>
      </c>
      <c r="BJ105" t="s">
        <v>2224</v>
      </c>
      <c r="BK105" t="s">
        <v>1118</v>
      </c>
      <c r="BL105" t="s">
        <v>2017</v>
      </c>
      <c r="CC105" s="128"/>
      <c r="CE105" s="128"/>
      <c r="CG105" s="128"/>
      <c r="CI105" s="128"/>
      <c r="CK105" s="128"/>
      <c r="CM105" s="128"/>
      <c r="CO105" s="128"/>
      <c r="CT105" s="128"/>
      <c r="CV105" s="128"/>
    </row>
    <row r="106" spans="1:100" x14ac:dyDescent="0.2">
      <c r="A106" t="s">
        <v>2051</v>
      </c>
      <c r="B106" s="128">
        <v>44471</v>
      </c>
      <c r="C106" t="s">
        <v>2052</v>
      </c>
      <c r="D106" t="s">
        <v>364</v>
      </c>
      <c r="E106" t="s">
        <v>1104</v>
      </c>
      <c r="F106" t="s">
        <v>1105</v>
      </c>
      <c r="G106" t="s">
        <v>389</v>
      </c>
      <c r="H106" t="s">
        <v>1101</v>
      </c>
      <c r="I106" t="s">
        <v>581</v>
      </c>
      <c r="J106" t="s">
        <v>1123</v>
      </c>
      <c r="K106" t="s">
        <v>62</v>
      </c>
      <c r="L106" t="s">
        <v>2010</v>
      </c>
      <c r="M106" t="s">
        <v>346</v>
      </c>
      <c r="N106" t="s">
        <v>2110</v>
      </c>
      <c r="O106" t="s">
        <v>2053</v>
      </c>
      <c r="P106" t="s">
        <v>2111</v>
      </c>
      <c r="Q106" s="128">
        <v>44471</v>
      </c>
      <c r="R106" s="128">
        <v>44561</v>
      </c>
      <c r="S106" t="s">
        <v>2112</v>
      </c>
      <c r="T106" s="128">
        <v>44521</v>
      </c>
      <c r="U106">
        <v>0</v>
      </c>
      <c r="V106">
        <v>0</v>
      </c>
      <c r="W106" t="s">
        <v>262</v>
      </c>
      <c r="X106" t="s">
        <v>2166</v>
      </c>
      <c r="AA106" t="s">
        <v>2</v>
      </c>
      <c r="AB106" t="s">
        <v>2167</v>
      </c>
      <c r="AC106" s="128">
        <v>44521</v>
      </c>
      <c r="AD106" t="s">
        <v>349</v>
      </c>
      <c r="AE106" t="s">
        <v>1115</v>
      </c>
      <c r="AF106" t="s">
        <v>1116</v>
      </c>
      <c r="AG106" t="s">
        <v>0</v>
      </c>
      <c r="AH106">
        <v>1</v>
      </c>
      <c r="AI106" t="b">
        <v>0</v>
      </c>
      <c r="AK106" t="b">
        <v>0</v>
      </c>
      <c r="AM106" t="b">
        <v>1</v>
      </c>
      <c r="AN106" t="b">
        <v>0</v>
      </c>
      <c r="AO106" t="b">
        <v>0</v>
      </c>
      <c r="AP106" t="b">
        <v>0</v>
      </c>
      <c r="AQ106" t="b">
        <v>0</v>
      </c>
      <c r="AR106" t="b">
        <v>0</v>
      </c>
      <c r="AS106" t="b">
        <v>0</v>
      </c>
      <c r="AT106" t="s">
        <v>2168</v>
      </c>
      <c r="AU106">
        <v>9228291</v>
      </c>
      <c r="AV106" t="s">
        <v>730</v>
      </c>
      <c r="AW106" t="s">
        <v>951</v>
      </c>
      <c r="AX106" s="128">
        <v>44538</v>
      </c>
      <c r="AY106" t="s">
        <v>1101</v>
      </c>
      <c r="AZ106" t="s">
        <v>581</v>
      </c>
      <c r="BA106" t="s">
        <v>62</v>
      </c>
      <c r="BB106" t="s">
        <v>40</v>
      </c>
      <c r="BD106" t="s">
        <v>30</v>
      </c>
      <c r="BG106" s="128"/>
      <c r="BH106" t="b">
        <v>0</v>
      </c>
      <c r="BI106" t="s">
        <v>2113</v>
      </c>
      <c r="BK106" t="s">
        <v>1382</v>
      </c>
      <c r="CC106" s="128"/>
      <c r="CE106" s="128"/>
      <c r="CG106" s="128"/>
      <c r="CI106" s="128"/>
      <c r="CK106" s="128"/>
      <c r="CM106" s="128"/>
      <c r="CO106" s="128"/>
      <c r="CT106" s="128"/>
      <c r="CV106" s="128"/>
    </row>
    <row r="107" spans="1:100" x14ac:dyDescent="0.2">
      <c r="A107" t="s">
        <v>2054</v>
      </c>
      <c r="B107" s="128">
        <v>44483</v>
      </c>
      <c r="C107" t="s">
        <v>2055</v>
      </c>
      <c r="D107" t="s">
        <v>364</v>
      </c>
      <c r="E107" t="s">
        <v>1104</v>
      </c>
      <c r="F107" t="s">
        <v>1105</v>
      </c>
      <c r="G107" t="s">
        <v>390</v>
      </c>
      <c r="H107" t="s">
        <v>1356</v>
      </c>
      <c r="I107" t="s">
        <v>17</v>
      </c>
      <c r="J107" t="s">
        <v>1338</v>
      </c>
      <c r="K107" t="s">
        <v>126</v>
      </c>
      <c r="L107" t="s">
        <v>1934</v>
      </c>
      <c r="M107" t="s">
        <v>346</v>
      </c>
      <c r="N107" t="s">
        <v>2056</v>
      </c>
      <c r="O107" t="s">
        <v>2057</v>
      </c>
      <c r="P107" t="s">
        <v>2058</v>
      </c>
      <c r="Q107" s="128">
        <v>44483</v>
      </c>
      <c r="R107" s="128">
        <v>44573</v>
      </c>
      <c r="T107" s="128"/>
      <c r="U107">
        <v>0</v>
      </c>
      <c r="V107">
        <v>0</v>
      </c>
      <c r="W107" t="s">
        <v>262</v>
      </c>
      <c r="X107" t="s">
        <v>2169</v>
      </c>
      <c r="AA107" t="s">
        <v>4</v>
      </c>
      <c r="AC107" s="128"/>
      <c r="AD107" t="s">
        <v>261</v>
      </c>
      <c r="AE107" t="s">
        <v>1115</v>
      </c>
      <c r="AF107" t="s">
        <v>1116</v>
      </c>
      <c r="AG107" t="s">
        <v>0</v>
      </c>
      <c r="AH107">
        <v>1</v>
      </c>
      <c r="AI107" t="b">
        <v>0</v>
      </c>
      <c r="AK107" t="b">
        <v>0</v>
      </c>
      <c r="AM107" t="b">
        <v>0</v>
      </c>
      <c r="AN107" t="b">
        <v>0</v>
      </c>
      <c r="AO107" t="b">
        <v>0</v>
      </c>
      <c r="AP107" t="b">
        <v>0</v>
      </c>
      <c r="AQ107" t="b">
        <v>0</v>
      </c>
      <c r="AR107" t="b">
        <v>0</v>
      </c>
      <c r="AS107" t="b">
        <v>0</v>
      </c>
      <c r="AT107" t="s">
        <v>2218</v>
      </c>
      <c r="AU107">
        <v>9228291</v>
      </c>
      <c r="AV107" t="s">
        <v>730</v>
      </c>
      <c r="AW107" t="s">
        <v>951</v>
      </c>
      <c r="AX107" s="128">
        <v>44567</v>
      </c>
      <c r="AY107" t="s">
        <v>1101</v>
      </c>
      <c r="AZ107" t="s">
        <v>17</v>
      </c>
      <c r="BA107" t="s">
        <v>126</v>
      </c>
      <c r="BB107" t="s">
        <v>43</v>
      </c>
      <c r="BD107" t="s">
        <v>756</v>
      </c>
      <c r="BF107" t="s">
        <v>574</v>
      </c>
      <c r="BG107" s="128">
        <v>44632</v>
      </c>
      <c r="BH107" t="b">
        <v>0</v>
      </c>
      <c r="BI107" t="s">
        <v>2059</v>
      </c>
      <c r="BJ107" t="s">
        <v>2216</v>
      </c>
      <c r="BK107" t="s">
        <v>1118</v>
      </c>
      <c r="CC107" s="128"/>
      <c r="CE107" s="128"/>
      <c r="CG107" s="128"/>
      <c r="CI107" s="128"/>
      <c r="CK107" s="128"/>
      <c r="CM107" s="128"/>
      <c r="CO107" s="128"/>
      <c r="CT107" s="128"/>
      <c r="CV107" s="128"/>
    </row>
    <row r="108" spans="1:100" x14ac:dyDescent="0.2">
      <c r="A108" t="s">
        <v>2060</v>
      </c>
      <c r="B108" s="128">
        <v>44483</v>
      </c>
      <c r="C108" t="s">
        <v>2061</v>
      </c>
      <c r="D108" t="s">
        <v>364</v>
      </c>
      <c r="E108" t="s">
        <v>1104</v>
      </c>
      <c r="F108" t="s">
        <v>1105</v>
      </c>
      <c r="G108" t="s">
        <v>390</v>
      </c>
      <c r="H108" t="s">
        <v>1356</v>
      </c>
      <c r="I108" t="s">
        <v>17</v>
      </c>
      <c r="J108" t="s">
        <v>1338</v>
      </c>
      <c r="K108" t="s">
        <v>131</v>
      </c>
      <c r="L108" t="s">
        <v>1339</v>
      </c>
      <c r="M108" t="s">
        <v>346</v>
      </c>
      <c r="N108" t="s">
        <v>2062</v>
      </c>
      <c r="O108" t="s">
        <v>2063</v>
      </c>
      <c r="P108" t="s">
        <v>2064</v>
      </c>
      <c r="Q108" s="128">
        <v>44483</v>
      </c>
      <c r="R108" s="128">
        <v>44573</v>
      </c>
      <c r="S108" t="s">
        <v>2196</v>
      </c>
      <c r="T108" s="128">
        <v>44549</v>
      </c>
      <c r="U108">
        <v>0</v>
      </c>
      <c r="V108">
        <v>0</v>
      </c>
      <c r="W108" t="s">
        <v>262</v>
      </c>
      <c r="X108" t="s">
        <v>2170</v>
      </c>
      <c r="AA108" t="s">
        <v>4</v>
      </c>
      <c r="AB108" t="s">
        <v>2217</v>
      </c>
      <c r="AC108" s="128">
        <v>44549</v>
      </c>
      <c r="AD108" t="s">
        <v>349</v>
      </c>
      <c r="AE108" t="s">
        <v>1115</v>
      </c>
      <c r="AF108" t="s">
        <v>1116</v>
      </c>
      <c r="AG108" t="s">
        <v>0</v>
      </c>
      <c r="AH108">
        <v>1</v>
      </c>
      <c r="AI108" t="b">
        <v>0</v>
      </c>
      <c r="AK108" t="b">
        <v>0</v>
      </c>
      <c r="AM108" t="b">
        <v>1</v>
      </c>
      <c r="AN108" t="b">
        <v>0</v>
      </c>
      <c r="AO108" t="b">
        <v>0</v>
      </c>
      <c r="AP108" t="b">
        <v>0</v>
      </c>
      <c r="AQ108" t="b">
        <v>0</v>
      </c>
      <c r="AR108" t="b">
        <v>0</v>
      </c>
      <c r="AS108" t="b">
        <v>0</v>
      </c>
      <c r="AT108" t="s">
        <v>2219</v>
      </c>
      <c r="AU108">
        <v>9228291</v>
      </c>
      <c r="AV108" t="s">
        <v>730</v>
      </c>
      <c r="AW108" t="s">
        <v>951</v>
      </c>
      <c r="AX108" s="128">
        <v>44567</v>
      </c>
      <c r="AY108" t="s">
        <v>1101</v>
      </c>
      <c r="AZ108" t="s">
        <v>17</v>
      </c>
      <c r="BA108" t="s">
        <v>131</v>
      </c>
      <c r="BB108" t="s">
        <v>43</v>
      </c>
      <c r="BD108" t="s">
        <v>756</v>
      </c>
      <c r="BG108" s="128"/>
      <c r="BH108" t="b">
        <v>0</v>
      </c>
      <c r="BI108" t="s">
        <v>2065</v>
      </c>
      <c r="BK108" t="s">
        <v>1382</v>
      </c>
      <c r="CC108" s="128"/>
      <c r="CE108" s="128"/>
      <c r="CG108" s="128"/>
      <c r="CI108" s="128"/>
      <c r="CK108" s="128"/>
      <c r="CM108" s="128"/>
      <c r="CO108" s="128"/>
      <c r="CT108" s="128"/>
      <c r="CV108" s="128"/>
    </row>
    <row r="109" spans="1:100" x14ac:dyDescent="0.2">
      <c r="A109" t="s">
        <v>2066</v>
      </c>
      <c r="B109" s="128">
        <v>44486</v>
      </c>
      <c r="C109" t="s">
        <v>2067</v>
      </c>
      <c r="D109" t="s">
        <v>364</v>
      </c>
      <c r="E109" t="s">
        <v>1104</v>
      </c>
      <c r="F109" t="s">
        <v>1105</v>
      </c>
      <c r="G109" t="s">
        <v>390</v>
      </c>
      <c r="H109" t="s">
        <v>1356</v>
      </c>
      <c r="I109" t="s">
        <v>19</v>
      </c>
      <c r="J109" t="s">
        <v>1484</v>
      </c>
      <c r="K109" t="s">
        <v>146</v>
      </c>
      <c r="L109" t="s">
        <v>2185</v>
      </c>
      <c r="M109" t="s">
        <v>346</v>
      </c>
      <c r="N109" t="s">
        <v>2068</v>
      </c>
      <c r="O109" t="s">
        <v>2069</v>
      </c>
      <c r="P109" t="s">
        <v>2070</v>
      </c>
      <c r="Q109" s="128">
        <v>44489</v>
      </c>
      <c r="R109" s="128">
        <v>44576</v>
      </c>
      <c r="S109" t="s">
        <v>2197</v>
      </c>
      <c r="T109" s="128">
        <v>44550</v>
      </c>
      <c r="U109">
        <v>0</v>
      </c>
      <c r="V109">
        <v>0</v>
      </c>
      <c r="W109" t="s">
        <v>262</v>
      </c>
      <c r="X109" t="s">
        <v>2220</v>
      </c>
      <c r="AA109" t="s">
        <v>1</v>
      </c>
      <c r="AB109" t="s">
        <v>2220</v>
      </c>
      <c r="AC109" s="128">
        <v>44550</v>
      </c>
      <c r="AD109" t="s">
        <v>349</v>
      </c>
      <c r="AE109" t="s">
        <v>1115</v>
      </c>
      <c r="AF109" t="s">
        <v>1116</v>
      </c>
      <c r="AG109" t="s">
        <v>0</v>
      </c>
      <c r="AH109">
        <v>1</v>
      </c>
      <c r="AI109" t="b">
        <v>0</v>
      </c>
      <c r="AK109" t="b">
        <v>0</v>
      </c>
      <c r="AM109" t="b">
        <v>0</v>
      </c>
      <c r="AN109" t="b">
        <v>0</v>
      </c>
      <c r="AO109" t="b">
        <v>0</v>
      </c>
      <c r="AP109" t="b">
        <v>0</v>
      </c>
      <c r="AQ109" t="b">
        <v>0</v>
      </c>
      <c r="AR109" t="b">
        <v>0</v>
      </c>
      <c r="AS109" t="b">
        <v>0</v>
      </c>
      <c r="AT109" t="s">
        <v>2221</v>
      </c>
      <c r="AU109">
        <v>9228291</v>
      </c>
      <c r="AV109" t="s">
        <v>730</v>
      </c>
      <c r="AW109" t="s">
        <v>951</v>
      </c>
      <c r="AX109" s="128">
        <v>44567</v>
      </c>
      <c r="AY109" t="s">
        <v>1101</v>
      </c>
      <c r="AZ109" t="s">
        <v>19</v>
      </c>
      <c r="BA109" t="s">
        <v>146</v>
      </c>
      <c r="BB109" t="s">
        <v>52</v>
      </c>
      <c r="BD109" t="s">
        <v>757</v>
      </c>
      <c r="BG109" s="128"/>
      <c r="BH109" t="b">
        <v>0</v>
      </c>
      <c r="BI109" t="s">
        <v>2071</v>
      </c>
      <c r="BK109" t="s">
        <v>1382</v>
      </c>
      <c r="CC109" s="128"/>
      <c r="CE109" s="128"/>
      <c r="CG109" s="128"/>
      <c r="CI109" s="128"/>
      <c r="CK109" s="128"/>
      <c r="CM109" s="128"/>
      <c r="CO109" s="128"/>
      <c r="CT109" s="128"/>
      <c r="CV109" s="128"/>
    </row>
    <row r="110" spans="1:100" x14ac:dyDescent="0.2">
      <c r="A110" t="s">
        <v>2072</v>
      </c>
      <c r="B110" s="128">
        <v>44505</v>
      </c>
      <c r="C110" t="s">
        <v>2073</v>
      </c>
      <c r="D110" t="s">
        <v>364</v>
      </c>
      <c r="E110" t="s">
        <v>1104</v>
      </c>
      <c r="F110" t="s">
        <v>1105</v>
      </c>
      <c r="G110" t="s">
        <v>390</v>
      </c>
      <c r="H110" t="s">
        <v>1356</v>
      </c>
      <c r="I110" t="s">
        <v>19</v>
      </c>
      <c r="J110" t="s">
        <v>1484</v>
      </c>
      <c r="K110" t="s">
        <v>149</v>
      </c>
      <c r="L110" t="s">
        <v>1495</v>
      </c>
      <c r="M110" t="s">
        <v>346</v>
      </c>
      <c r="N110" t="s">
        <v>2074</v>
      </c>
      <c r="O110" t="s">
        <v>2057</v>
      </c>
      <c r="P110" t="s">
        <v>2075</v>
      </c>
      <c r="Q110" s="128">
        <v>44505</v>
      </c>
      <c r="R110" s="128">
        <v>44595</v>
      </c>
      <c r="S110" t="s">
        <v>2114</v>
      </c>
      <c r="T110" s="128">
        <v>44524</v>
      </c>
      <c r="U110">
        <v>0</v>
      </c>
      <c r="V110">
        <v>0</v>
      </c>
      <c r="W110" t="s">
        <v>262</v>
      </c>
      <c r="X110" t="s">
        <v>2192</v>
      </c>
      <c r="AA110" t="s">
        <v>1</v>
      </c>
      <c r="AB110" t="s">
        <v>2193</v>
      </c>
      <c r="AC110" s="128">
        <v>44524</v>
      </c>
      <c r="AD110" t="s">
        <v>349</v>
      </c>
      <c r="AE110" t="s">
        <v>1115</v>
      </c>
      <c r="AF110" t="s">
        <v>1116</v>
      </c>
      <c r="AG110" t="s">
        <v>0</v>
      </c>
      <c r="AH110">
        <v>1</v>
      </c>
      <c r="AI110" t="b">
        <v>0</v>
      </c>
      <c r="AK110" t="b">
        <v>0</v>
      </c>
      <c r="AM110" t="b">
        <v>1</v>
      </c>
      <c r="AN110" t="b">
        <v>0</v>
      </c>
      <c r="AO110" t="b">
        <v>0</v>
      </c>
      <c r="AP110" t="b">
        <v>0</v>
      </c>
      <c r="AQ110" t="b">
        <v>0</v>
      </c>
      <c r="AR110" t="b">
        <v>0</v>
      </c>
      <c r="AS110" t="b">
        <v>0</v>
      </c>
      <c r="AT110" t="s">
        <v>2226</v>
      </c>
      <c r="AU110">
        <v>9228291</v>
      </c>
      <c r="AV110" t="s">
        <v>730</v>
      </c>
      <c r="AW110" t="s">
        <v>951</v>
      </c>
      <c r="AX110" s="128">
        <v>44614</v>
      </c>
      <c r="AY110" t="s">
        <v>1101</v>
      </c>
      <c r="AZ110" t="s">
        <v>19</v>
      </c>
      <c r="BA110" t="s">
        <v>149</v>
      </c>
      <c r="BB110" t="s">
        <v>43</v>
      </c>
      <c r="BD110" t="s">
        <v>756</v>
      </c>
      <c r="BG110" s="128"/>
      <c r="BH110" t="b">
        <v>0</v>
      </c>
      <c r="BI110" t="s">
        <v>2076</v>
      </c>
      <c r="BK110" t="s">
        <v>1382</v>
      </c>
      <c r="CC110" s="128"/>
      <c r="CE110" s="128"/>
      <c r="CG110" s="128"/>
      <c r="CI110" s="128"/>
      <c r="CK110" s="128"/>
      <c r="CM110" s="128"/>
      <c r="CO110" s="128"/>
      <c r="CT110" s="128"/>
      <c r="CV110" s="128"/>
    </row>
    <row r="111" spans="1:100" x14ac:dyDescent="0.2">
      <c r="A111" t="s">
        <v>2077</v>
      </c>
      <c r="B111" s="128">
        <v>44512</v>
      </c>
      <c r="C111" t="s">
        <v>2078</v>
      </c>
      <c r="D111" t="s">
        <v>364</v>
      </c>
      <c r="E111" t="s">
        <v>1104</v>
      </c>
      <c r="F111" t="s">
        <v>1105</v>
      </c>
      <c r="G111" t="s">
        <v>390</v>
      </c>
      <c r="H111" t="s">
        <v>1356</v>
      </c>
      <c r="I111" t="s">
        <v>17</v>
      </c>
      <c r="J111" t="s">
        <v>1338</v>
      </c>
      <c r="K111" t="s">
        <v>188</v>
      </c>
      <c r="L111" t="s">
        <v>2186</v>
      </c>
      <c r="M111" t="s">
        <v>346</v>
      </c>
      <c r="N111" t="s">
        <v>2079</v>
      </c>
      <c r="O111" t="s">
        <v>2115</v>
      </c>
      <c r="P111" t="s">
        <v>2080</v>
      </c>
      <c r="Q111" s="128">
        <v>44512</v>
      </c>
      <c r="R111" s="128">
        <v>44602</v>
      </c>
      <c r="S111" t="s">
        <v>2081</v>
      </c>
      <c r="T111" s="128">
        <v>44515</v>
      </c>
      <c r="U111">
        <v>0</v>
      </c>
      <c r="V111">
        <v>0</v>
      </c>
      <c r="W111" t="s">
        <v>262</v>
      </c>
      <c r="X111" t="s">
        <v>2194</v>
      </c>
      <c r="AA111" t="s">
        <v>1</v>
      </c>
      <c r="AB111" t="s">
        <v>2194</v>
      </c>
      <c r="AC111" s="128">
        <v>44515</v>
      </c>
      <c r="AD111" t="s">
        <v>349</v>
      </c>
      <c r="AE111" t="s">
        <v>1115</v>
      </c>
      <c r="AF111" t="s">
        <v>1116</v>
      </c>
      <c r="AG111" t="s">
        <v>0</v>
      </c>
      <c r="AH111">
        <v>1</v>
      </c>
      <c r="AI111" t="b">
        <v>0</v>
      </c>
      <c r="AK111" t="b">
        <v>0</v>
      </c>
      <c r="AM111" t="b">
        <v>1</v>
      </c>
      <c r="AN111" t="b">
        <v>0</v>
      </c>
      <c r="AO111" t="b">
        <v>0</v>
      </c>
      <c r="AP111" t="b">
        <v>0</v>
      </c>
      <c r="AQ111" t="b">
        <v>0</v>
      </c>
      <c r="AR111" t="b">
        <v>0</v>
      </c>
      <c r="AS111" t="b">
        <v>0</v>
      </c>
      <c r="AT111" t="s">
        <v>2195</v>
      </c>
      <c r="AU111">
        <v>9228291</v>
      </c>
      <c r="AV111" t="s">
        <v>730</v>
      </c>
      <c r="AW111" t="s">
        <v>951</v>
      </c>
      <c r="AX111" s="128">
        <v>44541</v>
      </c>
      <c r="AY111" t="s">
        <v>1101</v>
      </c>
      <c r="AZ111" t="s">
        <v>17</v>
      </c>
      <c r="BA111" t="s">
        <v>188</v>
      </c>
      <c r="BB111" t="s">
        <v>43</v>
      </c>
      <c r="BD111" t="s">
        <v>756</v>
      </c>
      <c r="BG111" s="128"/>
      <c r="BH111" t="b">
        <v>0</v>
      </c>
      <c r="BI111" t="s">
        <v>2082</v>
      </c>
      <c r="BK111" t="s">
        <v>1382</v>
      </c>
      <c r="CC111" s="128"/>
      <c r="CE111" s="128"/>
      <c r="CG111" s="128"/>
      <c r="CI111" s="128"/>
      <c r="CK111" s="128"/>
      <c r="CM111" s="128"/>
      <c r="CO111" s="128"/>
      <c r="CT111" s="128"/>
      <c r="CV111" s="128"/>
    </row>
    <row r="112" spans="1:100" x14ac:dyDescent="0.2">
      <c r="A112" t="s">
        <v>2116</v>
      </c>
      <c r="B112" s="128">
        <v>44518</v>
      </c>
      <c r="C112" t="s">
        <v>2117</v>
      </c>
      <c r="D112" t="s">
        <v>364</v>
      </c>
      <c r="E112" t="s">
        <v>1104</v>
      </c>
      <c r="F112" t="s">
        <v>1105</v>
      </c>
      <c r="G112" t="s">
        <v>390</v>
      </c>
      <c r="H112" t="s">
        <v>2118</v>
      </c>
      <c r="I112" t="s">
        <v>24</v>
      </c>
      <c r="J112" t="s">
        <v>2187</v>
      </c>
      <c r="K112" t="s">
        <v>191</v>
      </c>
      <c r="L112" t="s">
        <v>2188</v>
      </c>
      <c r="M112" t="s">
        <v>346</v>
      </c>
      <c r="N112" t="s">
        <v>2119</v>
      </c>
      <c r="O112" t="s">
        <v>2120</v>
      </c>
      <c r="P112" t="s">
        <v>2121</v>
      </c>
      <c r="Q112" s="128">
        <v>44518</v>
      </c>
      <c r="R112" s="128">
        <v>44608</v>
      </c>
      <c r="S112" t="s">
        <v>2122</v>
      </c>
      <c r="T112" s="128">
        <v>44530</v>
      </c>
      <c r="U112">
        <v>0</v>
      </c>
      <c r="V112">
        <v>0</v>
      </c>
      <c r="W112" t="s">
        <v>262</v>
      </c>
      <c r="X112" t="s">
        <v>2171</v>
      </c>
      <c r="AA112" t="s">
        <v>5</v>
      </c>
      <c r="AB112" t="s">
        <v>2171</v>
      </c>
      <c r="AC112" s="128">
        <v>44530</v>
      </c>
      <c r="AD112" t="s">
        <v>349</v>
      </c>
      <c r="AE112" t="s">
        <v>2172</v>
      </c>
      <c r="AF112" t="s">
        <v>1116</v>
      </c>
      <c r="AG112" t="s">
        <v>0</v>
      </c>
      <c r="AH112">
        <v>1</v>
      </c>
      <c r="AI112" t="b">
        <v>0</v>
      </c>
      <c r="AK112" t="b">
        <v>0</v>
      </c>
      <c r="AM112" t="b">
        <v>0</v>
      </c>
      <c r="AN112" t="b">
        <v>0</v>
      </c>
      <c r="AO112" t="b">
        <v>0</v>
      </c>
      <c r="AP112" t="b">
        <v>0</v>
      </c>
      <c r="AQ112" t="b">
        <v>0</v>
      </c>
      <c r="AR112" t="b">
        <v>0</v>
      </c>
      <c r="AS112" t="b">
        <v>0</v>
      </c>
      <c r="AT112" t="s">
        <v>2173</v>
      </c>
      <c r="AU112">
        <v>9228291</v>
      </c>
      <c r="AV112" t="s">
        <v>730</v>
      </c>
      <c r="AW112" t="s">
        <v>951</v>
      </c>
      <c r="AX112" s="128">
        <v>44538</v>
      </c>
      <c r="AY112" t="s">
        <v>1101</v>
      </c>
      <c r="AZ112" t="s">
        <v>24</v>
      </c>
      <c r="BA112" t="s">
        <v>191</v>
      </c>
      <c r="BB112" t="s">
        <v>32</v>
      </c>
      <c r="BD112" t="s">
        <v>27</v>
      </c>
      <c r="BG112" s="128"/>
      <c r="BH112" t="b">
        <v>1</v>
      </c>
      <c r="BK112" t="s">
        <v>1382</v>
      </c>
      <c r="CC112" s="128"/>
      <c r="CE112" s="128"/>
      <c r="CG112" s="128"/>
      <c r="CI112" s="128"/>
      <c r="CK112" s="128"/>
      <c r="CM112" s="128"/>
      <c r="CO112" s="128"/>
      <c r="CT112" s="128"/>
      <c r="CV112" s="128"/>
    </row>
    <row r="113" spans="1:100" ht="409.5" x14ac:dyDescent="0.2">
      <c r="A113" t="s">
        <v>2123</v>
      </c>
      <c r="B113" s="128">
        <v>44518</v>
      </c>
      <c r="C113" t="s">
        <v>2124</v>
      </c>
      <c r="D113" t="s">
        <v>364</v>
      </c>
      <c r="E113" t="s">
        <v>1104</v>
      </c>
      <c r="F113" t="s">
        <v>1105</v>
      </c>
      <c r="G113" t="s">
        <v>390</v>
      </c>
      <c r="H113" t="s">
        <v>2118</v>
      </c>
      <c r="I113" t="s">
        <v>8</v>
      </c>
      <c r="J113" t="s">
        <v>1386</v>
      </c>
      <c r="K113" t="s">
        <v>75</v>
      </c>
      <c r="L113" t="s">
        <v>1387</v>
      </c>
      <c r="M113" t="s">
        <v>346</v>
      </c>
      <c r="N113" t="s">
        <v>2125</v>
      </c>
      <c r="O113" t="s">
        <v>2126</v>
      </c>
      <c r="P113" t="s">
        <v>2132</v>
      </c>
      <c r="Q113" s="128">
        <v>44518</v>
      </c>
      <c r="R113" s="128">
        <v>44608</v>
      </c>
      <c r="S113" t="s">
        <v>2174</v>
      </c>
      <c r="T113" s="128">
        <v>44518</v>
      </c>
      <c r="U113">
        <v>0</v>
      </c>
      <c r="V113">
        <v>0</v>
      </c>
      <c r="W113" t="s">
        <v>262</v>
      </c>
      <c r="X113" s="99" t="s">
        <v>2175</v>
      </c>
      <c r="AA113" t="s">
        <v>5</v>
      </c>
      <c r="AB113" s="99" t="s">
        <v>2175</v>
      </c>
      <c r="AC113" s="128">
        <v>44518</v>
      </c>
      <c r="AD113" t="s">
        <v>349</v>
      </c>
      <c r="AE113" t="s">
        <v>2172</v>
      </c>
      <c r="AF113" t="s">
        <v>1116</v>
      </c>
      <c r="AG113" t="s">
        <v>0</v>
      </c>
      <c r="AH113">
        <v>1</v>
      </c>
      <c r="AI113" t="b">
        <v>0</v>
      </c>
      <c r="AK113" t="b">
        <v>0</v>
      </c>
      <c r="AM113" t="b">
        <v>0</v>
      </c>
      <c r="AN113" t="b">
        <v>0</v>
      </c>
      <c r="AO113" t="b">
        <v>0</v>
      </c>
      <c r="AP113" t="b">
        <v>0</v>
      </c>
      <c r="AQ113" t="b">
        <v>0</v>
      </c>
      <c r="AR113" t="b">
        <v>0</v>
      </c>
      <c r="AS113" t="b">
        <v>0</v>
      </c>
      <c r="AT113" t="s">
        <v>2176</v>
      </c>
      <c r="AU113">
        <v>9228291</v>
      </c>
      <c r="AV113" t="s">
        <v>730</v>
      </c>
      <c r="AW113" t="s">
        <v>951</v>
      </c>
      <c r="AX113" s="128">
        <v>44538</v>
      </c>
      <c r="AY113" t="s">
        <v>1101</v>
      </c>
      <c r="AZ113" t="s">
        <v>8</v>
      </c>
      <c r="BA113" t="s">
        <v>75</v>
      </c>
      <c r="BB113" t="s">
        <v>44</v>
      </c>
      <c r="BD113" t="s">
        <v>755</v>
      </c>
      <c r="BG113" s="128"/>
      <c r="BH113" t="b">
        <v>1</v>
      </c>
      <c r="BK113" t="s">
        <v>1382</v>
      </c>
      <c r="CC113" s="128"/>
      <c r="CE113" s="128"/>
      <c r="CG113" s="128"/>
      <c r="CI113" s="128"/>
      <c r="CK113" s="128"/>
      <c r="CM113" s="128"/>
      <c r="CO113" s="128"/>
      <c r="CT113" s="128"/>
      <c r="CV113" s="128"/>
    </row>
    <row r="114" spans="1:100" x14ac:dyDescent="0.2">
      <c r="A114" t="s">
        <v>2127</v>
      </c>
      <c r="B114" s="128">
        <v>44518</v>
      </c>
      <c r="C114" t="s">
        <v>2128</v>
      </c>
      <c r="D114" t="s">
        <v>364</v>
      </c>
      <c r="E114" t="s">
        <v>1104</v>
      </c>
      <c r="F114" t="s">
        <v>1105</v>
      </c>
      <c r="G114" t="s">
        <v>390</v>
      </c>
      <c r="H114" t="s">
        <v>2118</v>
      </c>
      <c r="I114" t="s">
        <v>23</v>
      </c>
      <c r="J114" t="s">
        <v>2189</v>
      </c>
      <c r="K114" t="s">
        <v>165</v>
      </c>
      <c r="L114" t="s">
        <v>2190</v>
      </c>
      <c r="M114" t="s">
        <v>346</v>
      </c>
      <c r="N114" t="s">
        <v>2129</v>
      </c>
      <c r="O114" t="s">
        <v>2130</v>
      </c>
      <c r="P114" t="s">
        <v>2131</v>
      </c>
      <c r="Q114" s="128">
        <v>44518</v>
      </c>
      <c r="R114" s="128">
        <v>44608</v>
      </c>
      <c r="S114" t="s">
        <v>2131</v>
      </c>
      <c r="T114" s="128">
        <v>44518</v>
      </c>
      <c r="U114">
        <v>0</v>
      </c>
      <c r="V114">
        <v>0</v>
      </c>
      <c r="W114" t="s">
        <v>262</v>
      </c>
      <c r="X114" t="s">
        <v>2177</v>
      </c>
      <c r="AA114" t="s">
        <v>804</v>
      </c>
      <c r="AB114" t="s">
        <v>2177</v>
      </c>
      <c r="AC114" s="128">
        <v>44518</v>
      </c>
      <c r="AD114" t="s">
        <v>349</v>
      </c>
      <c r="AE114" t="s">
        <v>2172</v>
      </c>
      <c r="AF114" t="s">
        <v>1116</v>
      </c>
      <c r="AG114" t="s">
        <v>0</v>
      </c>
      <c r="AH114">
        <v>1</v>
      </c>
      <c r="AI114" t="b">
        <v>0</v>
      </c>
      <c r="AK114" t="b">
        <v>0</v>
      </c>
      <c r="AM114" t="b">
        <v>1</v>
      </c>
      <c r="AN114" t="b">
        <v>0</v>
      </c>
      <c r="AO114" t="b">
        <v>0</v>
      </c>
      <c r="AP114" t="b">
        <v>0</v>
      </c>
      <c r="AQ114" t="b">
        <v>0</v>
      </c>
      <c r="AR114" t="b">
        <v>0</v>
      </c>
      <c r="AS114" t="b">
        <v>0</v>
      </c>
      <c r="AT114" t="s">
        <v>2178</v>
      </c>
      <c r="AU114">
        <v>9228291</v>
      </c>
      <c r="AV114" t="s">
        <v>730</v>
      </c>
      <c r="AW114" t="s">
        <v>951</v>
      </c>
      <c r="AX114" s="128">
        <v>44538</v>
      </c>
      <c r="AY114" t="s">
        <v>1101</v>
      </c>
      <c r="AZ114" t="s">
        <v>23</v>
      </c>
      <c r="BA114" t="s">
        <v>165</v>
      </c>
      <c r="BB114" t="s">
        <v>43</v>
      </c>
      <c r="BD114" t="s">
        <v>756</v>
      </c>
      <c r="BG114" s="128"/>
      <c r="BH114" t="b">
        <v>1</v>
      </c>
      <c r="BK114" t="s">
        <v>1382</v>
      </c>
      <c r="CC114" s="128"/>
      <c r="CE114" s="128"/>
      <c r="CG114" s="128"/>
      <c r="CI114" s="128"/>
      <c r="CK114" s="128"/>
      <c r="CM114" s="128"/>
      <c r="CO114" s="128"/>
      <c r="CT114" s="128"/>
      <c r="CV114" s="128"/>
    </row>
    <row r="115" spans="1:100" x14ac:dyDescent="0.2">
      <c r="A115" t="s">
        <v>2133</v>
      </c>
      <c r="B115" s="128">
        <v>44518</v>
      </c>
      <c r="C115" t="s">
        <v>2134</v>
      </c>
      <c r="D115" t="s">
        <v>364</v>
      </c>
      <c r="E115" t="s">
        <v>1104</v>
      </c>
      <c r="F115" t="s">
        <v>1105</v>
      </c>
      <c r="G115" t="s">
        <v>390</v>
      </c>
      <c r="H115" t="s">
        <v>2118</v>
      </c>
      <c r="I115" t="s">
        <v>13</v>
      </c>
      <c r="J115" t="s">
        <v>1145</v>
      </c>
      <c r="K115" t="s">
        <v>83</v>
      </c>
      <c r="L115" t="s">
        <v>1146</v>
      </c>
      <c r="M115" t="s">
        <v>346</v>
      </c>
      <c r="N115" t="s">
        <v>2135</v>
      </c>
      <c r="O115" t="s">
        <v>2136</v>
      </c>
      <c r="P115" t="s">
        <v>2137</v>
      </c>
      <c r="Q115" s="128">
        <v>44518</v>
      </c>
      <c r="R115" s="128">
        <v>44608</v>
      </c>
      <c r="S115" t="s">
        <v>2138</v>
      </c>
      <c r="T115" s="128">
        <v>44537</v>
      </c>
      <c r="U115">
        <v>0</v>
      </c>
      <c r="V115">
        <v>0</v>
      </c>
      <c r="W115" t="s">
        <v>262</v>
      </c>
      <c r="X115" t="s">
        <v>2179</v>
      </c>
      <c r="AA115" t="s">
        <v>1</v>
      </c>
      <c r="AB115" t="s">
        <v>2179</v>
      </c>
      <c r="AC115" s="128">
        <v>44537</v>
      </c>
      <c r="AD115" t="s">
        <v>349</v>
      </c>
      <c r="AE115" t="s">
        <v>2172</v>
      </c>
      <c r="AF115" t="s">
        <v>1116</v>
      </c>
      <c r="AG115" t="s">
        <v>0</v>
      </c>
      <c r="AH115">
        <v>1</v>
      </c>
      <c r="AI115" t="b">
        <v>0</v>
      </c>
      <c r="AK115" t="b">
        <v>0</v>
      </c>
      <c r="AM115" t="b">
        <v>0</v>
      </c>
      <c r="AN115" t="b">
        <v>0</v>
      </c>
      <c r="AO115" t="b">
        <v>0</v>
      </c>
      <c r="AP115" t="b">
        <v>0</v>
      </c>
      <c r="AQ115" t="b">
        <v>0</v>
      </c>
      <c r="AR115" t="b">
        <v>0</v>
      </c>
      <c r="AS115" t="b">
        <v>0</v>
      </c>
      <c r="AT115" t="s">
        <v>2180</v>
      </c>
      <c r="AU115">
        <v>9228291</v>
      </c>
      <c r="AV115" t="s">
        <v>730</v>
      </c>
      <c r="AW115" t="s">
        <v>951</v>
      </c>
      <c r="AX115" s="128">
        <v>44538</v>
      </c>
      <c r="AY115" t="s">
        <v>1101</v>
      </c>
      <c r="AZ115" t="s">
        <v>13</v>
      </c>
      <c r="BA115" t="s">
        <v>83</v>
      </c>
      <c r="BB115" t="s">
        <v>168</v>
      </c>
      <c r="BD115" t="s">
        <v>757</v>
      </c>
      <c r="BG115" s="128"/>
      <c r="BH115" t="b">
        <v>1</v>
      </c>
      <c r="BK115" t="s">
        <v>1382</v>
      </c>
      <c r="CC115" s="128"/>
      <c r="CE115" s="128"/>
      <c r="CG115" s="128"/>
      <c r="CI115" s="128"/>
      <c r="CK115" s="128"/>
      <c r="CM115" s="128"/>
      <c r="CO115" s="128"/>
      <c r="CT115" s="128"/>
      <c r="CV115" s="128"/>
    </row>
    <row r="116" spans="1:100" ht="390" x14ac:dyDescent="0.2">
      <c r="A116" t="s">
        <v>2198</v>
      </c>
      <c r="B116" s="128">
        <v>44544</v>
      </c>
      <c r="C116" t="s">
        <v>2199</v>
      </c>
      <c r="D116" t="s">
        <v>364</v>
      </c>
      <c r="E116" t="s">
        <v>1104</v>
      </c>
      <c r="F116" t="s">
        <v>1105</v>
      </c>
      <c r="G116" t="s">
        <v>390</v>
      </c>
      <c r="H116" t="s">
        <v>1356</v>
      </c>
      <c r="I116" t="s">
        <v>17</v>
      </c>
      <c r="J116" t="s">
        <v>1338</v>
      </c>
      <c r="K116" t="s">
        <v>188</v>
      </c>
      <c r="L116" t="s">
        <v>2186</v>
      </c>
      <c r="M116" t="s">
        <v>346</v>
      </c>
      <c r="N116" t="s">
        <v>2200</v>
      </c>
      <c r="O116" t="s">
        <v>2201</v>
      </c>
      <c r="P116" s="99" t="s">
        <v>2202</v>
      </c>
      <c r="Q116" s="128">
        <v>44544</v>
      </c>
      <c r="R116" s="128">
        <v>44634</v>
      </c>
      <c r="S116" s="99" t="s">
        <v>2203</v>
      </c>
      <c r="T116" s="128">
        <v>44553</v>
      </c>
      <c r="U116">
        <v>0</v>
      </c>
      <c r="V116">
        <v>0</v>
      </c>
      <c r="W116" t="s">
        <v>262</v>
      </c>
      <c r="X116" t="s">
        <v>2222</v>
      </c>
      <c r="AA116" t="s">
        <v>1</v>
      </c>
      <c r="AB116" t="s">
        <v>2222</v>
      </c>
      <c r="AC116" s="128">
        <v>44553</v>
      </c>
      <c r="AD116" t="s">
        <v>349</v>
      </c>
      <c r="AE116" t="s">
        <v>1115</v>
      </c>
      <c r="AF116" t="s">
        <v>1116</v>
      </c>
      <c r="AG116" t="s">
        <v>0</v>
      </c>
      <c r="AH116">
        <v>1</v>
      </c>
      <c r="AI116" t="b">
        <v>0</v>
      </c>
      <c r="AK116" t="b">
        <v>0</v>
      </c>
      <c r="AM116" t="b">
        <v>1</v>
      </c>
      <c r="AN116" t="b">
        <v>0</v>
      </c>
      <c r="AO116" t="b">
        <v>0</v>
      </c>
      <c r="AP116" t="b">
        <v>0</v>
      </c>
      <c r="AQ116" t="b">
        <v>0</v>
      </c>
      <c r="AR116" t="b">
        <v>0</v>
      </c>
      <c r="AS116" t="b">
        <v>0</v>
      </c>
      <c r="AT116" t="s">
        <v>2223</v>
      </c>
      <c r="AU116">
        <v>9228291</v>
      </c>
      <c r="AV116" t="s">
        <v>730</v>
      </c>
      <c r="AW116" t="s">
        <v>951</v>
      </c>
      <c r="AX116" s="128">
        <v>44567</v>
      </c>
      <c r="AY116" t="s">
        <v>1101</v>
      </c>
      <c r="AZ116" t="s">
        <v>17</v>
      </c>
      <c r="BA116" t="s">
        <v>188</v>
      </c>
      <c r="BB116" t="s">
        <v>43</v>
      </c>
      <c r="BD116" t="s">
        <v>801</v>
      </c>
      <c r="BG116" s="128"/>
      <c r="BH116" t="b">
        <v>0</v>
      </c>
      <c r="BK116" t="s">
        <v>1382</v>
      </c>
      <c r="CC116" s="128"/>
      <c r="CE116" s="128"/>
      <c r="CG116" s="128"/>
      <c r="CI116" s="128"/>
      <c r="CK116" s="128"/>
      <c r="CM116" s="128"/>
      <c r="CO116" s="128"/>
      <c r="CT116" s="128"/>
      <c r="CV116" s="128"/>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7"/>
  <sheetViews>
    <sheetView zoomScaleNormal="100" workbookViewId="0">
      <selection activeCell="A8" sqref="A8"/>
    </sheetView>
  </sheetViews>
  <sheetFormatPr defaultColWidth="9.453125" defaultRowHeight="15" customHeight="1" x14ac:dyDescent="0.35"/>
  <cols>
    <col min="1" max="1" width="12.453125" style="52" customWidth="1"/>
    <col min="2" max="2" width="27" style="53" customWidth="1"/>
    <col min="3" max="5" width="23.08984375" style="53" customWidth="1"/>
    <col min="6" max="6" width="13.08984375" style="53" customWidth="1"/>
    <col min="7" max="7" width="24.6328125" style="53" customWidth="1"/>
    <col min="8" max="8" width="16.453125" style="53" customWidth="1"/>
    <col min="9" max="9" width="12.08984375" style="53" customWidth="1"/>
    <col min="10" max="16384" width="9.453125" style="53"/>
  </cols>
  <sheetData>
    <row r="1" spans="1:10" ht="29" x14ac:dyDescent="0.35">
      <c r="A1" s="106" t="s">
        <v>1042</v>
      </c>
      <c r="B1" s="106" t="s">
        <v>1031</v>
      </c>
      <c r="C1" s="106" t="s">
        <v>1032</v>
      </c>
      <c r="D1" s="106" t="s">
        <v>1038</v>
      </c>
      <c r="E1" s="106" t="s">
        <v>1037</v>
      </c>
      <c r="F1" s="106" t="s">
        <v>1036</v>
      </c>
      <c r="G1" s="106" t="s">
        <v>1033</v>
      </c>
      <c r="H1" s="106" t="s">
        <v>1034</v>
      </c>
      <c r="I1" s="106" t="s">
        <v>1035</v>
      </c>
    </row>
    <row r="2" spans="1:10" ht="72.5" x14ac:dyDescent="0.35">
      <c r="A2" s="105" t="s">
        <v>992</v>
      </c>
      <c r="B2" s="105" t="s">
        <v>993</v>
      </c>
      <c r="C2" s="105" t="s">
        <v>994</v>
      </c>
      <c r="D2" s="104" t="s">
        <v>1039</v>
      </c>
      <c r="E2" s="104" t="s">
        <v>1040</v>
      </c>
      <c r="F2" s="105" t="s">
        <v>995</v>
      </c>
      <c r="G2" s="105" t="s">
        <v>996</v>
      </c>
      <c r="H2" s="105" t="s">
        <v>997</v>
      </c>
      <c r="I2" s="105" t="s">
        <v>998</v>
      </c>
    </row>
    <row r="3" spans="1:10" ht="116" x14ac:dyDescent="0.35">
      <c r="A3" s="105" t="s">
        <v>999</v>
      </c>
      <c r="B3" s="105" t="s">
        <v>1000</v>
      </c>
      <c r="C3" s="105" t="s">
        <v>1001</v>
      </c>
      <c r="D3" s="104" t="s">
        <v>1021</v>
      </c>
      <c r="E3" s="105" t="s">
        <v>1002</v>
      </c>
      <c r="F3" s="104" t="s">
        <v>1022</v>
      </c>
      <c r="G3" s="105" t="s">
        <v>996</v>
      </c>
      <c r="H3" s="104" t="s">
        <v>1023</v>
      </c>
      <c r="I3" s="105" t="s">
        <v>998</v>
      </c>
    </row>
    <row r="4" spans="1:10" ht="87" x14ac:dyDescent="0.35">
      <c r="A4" s="105" t="s">
        <v>1003</v>
      </c>
      <c r="B4" s="104" t="s">
        <v>1024</v>
      </c>
      <c r="C4" s="105" t="s">
        <v>1004</v>
      </c>
      <c r="D4" s="104" t="s">
        <v>1041</v>
      </c>
      <c r="E4" s="104" t="s">
        <v>1025</v>
      </c>
      <c r="F4" s="104" t="s">
        <v>1026</v>
      </c>
      <c r="G4" s="105" t="s">
        <v>1005</v>
      </c>
      <c r="H4" s="104" t="s">
        <v>1027</v>
      </c>
      <c r="I4" s="105" t="s">
        <v>1006</v>
      </c>
    </row>
    <row r="5" spans="1:10" ht="101.5" x14ac:dyDescent="0.35">
      <c r="A5" s="105" t="s">
        <v>1007</v>
      </c>
      <c r="B5" s="105" t="s">
        <v>1008</v>
      </c>
      <c r="C5" s="104" t="s">
        <v>1028</v>
      </c>
      <c r="D5" s="104" t="s">
        <v>1019</v>
      </c>
      <c r="E5" s="104" t="s">
        <v>1029</v>
      </c>
      <c r="F5" s="104" t="s">
        <v>1020</v>
      </c>
      <c r="G5" s="105" t="s">
        <v>1009</v>
      </c>
      <c r="H5" s="105" t="s">
        <v>1010</v>
      </c>
      <c r="I5" s="105" t="s">
        <v>1011</v>
      </c>
    </row>
    <row r="6" spans="1:10" ht="43.5" x14ac:dyDescent="0.35">
      <c r="A6" s="105" t="s">
        <v>1012</v>
      </c>
      <c r="B6" s="105" t="s">
        <v>1013</v>
      </c>
      <c r="C6" s="105" t="s">
        <v>1014</v>
      </c>
      <c r="D6" s="104" t="s">
        <v>1030</v>
      </c>
      <c r="E6" s="105" t="s">
        <v>1015</v>
      </c>
      <c r="F6" s="105" t="s">
        <v>1016</v>
      </c>
      <c r="G6" s="105" t="s">
        <v>1017</v>
      </c>
      <c r="H6" s="105" t="s">
        <v>1010</v>
      </c>
      <c r="I6" s="105" t="s">
        <v>1018</v>
      </c>
    </row>
    <row r="7" spans="1:10" ht="15" customHeight="1" x14ac:dyDescent="0.35">
      <c r="B7" s="103"/>
      <c r="C7" s="103"/>
      <c r="D7" s="103"/>
      <c r="E7" s="103"/>
      <c r="F7" s="103"/>
      <c r="G7" s="103"/>
      <c r="H7" s="103"/>
      <c r="I7" s="103"/>
      <c r="J7" s="103"/>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BB272"/>
  <sheetViews>
    <sheetView topLeftCell="K70" workbookViewId="0">
      <selection activeCell="P98" sqref="P98"/>
    </sheetView>
  </sheetViews>
  <sheetFormatPr defaultColWidth="9" defaultRowHeight="14" x14ac:dyDescent="0.3"/>
  <cols>
    <col min="1" max="2" width="9" style="14"/>
    <col min="3" max="3" width="12.453125" style="14" customWidth="1"/>
    <col min="4" max="4" width="11.08984375" style="14" bestFit="1" customWidth="1"/>
    <col min="5" max="6" width="9" style="14"/>
    <col min="7" max="7" width="22" style="14" bestFit="1" customWidth="1"/>
    <col min="8" max="8" width="7.90625" style="14" customWidth="1"/>
    <col min="9" max="9" width="40.08984375" style="14" bestFit="1" customWidth="1"/>
    <col min="10" max="10" width="9" style="14"/>
    <col min="11" max="11" width="47.90625" style="14" bestFit="1" customWidth="1"/>
    <col min="12" max="12" width="9" style="14"/>
    <col min="13" max="13" width="14.08984375" style="14" bestFit="1" customWidth="1"/>
    <col min="14" max="14" width="21.6328125" style="14" customWidth="1"/>
    <col min="15" max="15" width="11.90625" style="14" customWidth="1"/>
    <col min="16" max="16" width="10.08984375" style="14" customWidth="1"/>
    <col min="17" max="17" width="11.453125" style="14" customWidth="1"/>
    <col min="18" max="26" width="9" style="14"/>
    <col min="27" max="27" width="19.453125" style="14" customWidth="1"/>
    <col min="28" max="36" width="9" style="14"/>
    <col min="37" max="37" width="36.08984375" style="14" bestFit="1" customWidth="1"/>
    <col min="38" max="38" width="9.90625" style="14" customWidth="1"/>
    <col min="39" max="39" width="17.08984375" style="14" customWidth="1"/>
    <col min="40" max="42" width="9" style="14"/>
    <col min="43" max="43" width="12.453125" style="14" customWidth="1"/>
    <col min="44" max="44" width="9" style="14"/>
    <col min="45" max="45" width="12.90625" style="14" customWidth="1"/>
    <col min="46" max="49" width="9" style="14"/>
    <col min="50" max="50" width="28.90625" style="14" customWidth="1"/>
    <col min="51" max="51" width="16.6328125" style="14" customWidth="1"/>
    <col min="52" max="16384" width="9" style="14"/>
  </cols>
  <sheetData>
    <row r="1" spans="1:54" s="27" customFormat="1" ht="82.5" customHeight="1" thickBot="1" x14ac:dyDescent="0.35">
      <c r="A1" s="25" t="s">
        <v>302</v>
      </c>
      <c r="B1" s="25" t="s">
        <v>303</v>
      </c>
      <c r="C1" s="25" t="s">
        <v>304</v>
      </c>
      <c r="D1" s="25" t="s">
        <v>305</v>
      </c>
      <c r="E1" s="25"/>
      <c r="F1" s="25"/>
      <c r="G1" s="25" t="s">
        <v>306</v>
      </c>
      <c r="H1" s="25" t="s">
        <v>307</v>
      </c>
      <c r="I1" s="25" t="s">
        <v>308</v>
      </c>
      <c r="J1" s="25"/>
      <c r="K1" s="25" t="s">
        <v>309</v>
      </c>
      <c r="L1" s="25"/>
      <c r="M1" s="25" t="s">
        <v>310</v>
      </c>
      <c r="N1" s="25" t="s">
        <v>311</v>
      </c>
      <c r="O1" s="25" t="s">
        <v>312</v>
      </c>
      <c r="P1" s="25" t="s">
        <v>313</v>
      </c>
      <c r="Q1" s="25" t="s">
        <v>314</v>
      </c>
      <c r="R1" s="25" t="s">
        <v>315</v>
      </c>
      <c r="S1" s="25" t="s">
        <v>316</v>
      </c>
      <c r="T1" s="25" t="s">
        <v>317</v>
      </c>
      <c r="U1" s="25" t="s">
        <v>318</v>
      </c>
      <c r="V1" s="25" t="s">
        <v>319</v>
      </c>
      <c r="W1" s="25" t="s">
        <v>320</v>
      </c>
      <c r="X1" s="26" t="s">
        <v>321</v>
      </c>
      <c r="Y1" s="26" t="s">
        <v>322</v>
      </c>
      <c r="Z1" s="26" t="s">
        <v>6</v>
      </c>
      <c r="AA1" s="26" t="s">
        <v>323</v>
      </c>
      <c r="AB1" s="26" t="s">
        <v>324</v>
      </c>
      <c r="AC1" s="26" t="s">
        <v>325</v>
      </c>
      <c r="AD1" s="26" t="s">
        <v>326</v>
      </c>
      <c r="AE1" s="26" t="s">
        <v>327</v>
      </c>
      <c r="AG1" s="3" t="s">
        <v>326</v>
      </c>
      <c r="AH1" s="28" t="s">
        <v>505</v>
      </c>
      <c r="AK1" s="27" t="s">
        <v>580</v>
      </c>
    </row>
    <row r="2" spans="1:54" ht="16.5" customHeight="1" x14ac:dyDescent="0.3">
      <c r="D2" s="29" t="s">
        <v>337</v>
      </c>
      <c r="E2" s="30"/>
      <c r="F2" s="30"/>
      <c r="G2" s="29" t="s">
        <v>338</v>
      </c>
      <c r="I2" s="29" t="s">
        <v>339</v>
      </c>
      <c r="J2" s="30"/>
      <c r="K2" s="29" t="s">
        <v>340</v>
      </c>
      <c r="L2" s="30"/>
      <c r="M2" s="14" t="s">
        <v>341</v>
      </c>
      <c r="W2" s="14" t="s">
        <v>262</v>
      </c>
      <c r="Y2" s="14" t="s">
        <v>342</v>
      </c>
      <c r="AA2" s="8" t="s">
        <v>1</v>
      </c>
      <c r="AB2" s="9"/>
      <c r="AD2" s="14" t="s">
        <v>261</v>
      </c>
      <c r="AK2" s="29" t="s">
        <v>340</v>
      </c>
      <c r="AM2" s="14" t="s">
        <v>628</v>
      </c>
      <c r="AN2" s="14" t="s">
        <v>627</v>
      </c>
      <c r="AQ2" s="14" t="s">
        <v>763</v>
      </c>
      <c r="AS2" s="29" t="s">
        <v>370</v>
      </c>
      <c r="AU2" s="14" t="s">
        <v>805</v>
      </c>
      <c r="AX2" s="14" t="s">
        <v>841</v>
      </c>
      <c r="AY2" s="31">
        <v>5</v>
      </c>
      <c r="BA2" s="98" t="s">
        <v>966</v>
      </c>
    </row>
    <row r="3" spans="1:54" ht="16.5" customHeight="1" thickBot="1" x14ac:dyDescent="0.35">
      <c r="D3" s="30" t="s">
        <v>343</v>
      </c>
      <c r="E3" s="32"/>
      <c r="F3" s="32"/>
      <c r="G3" s="29" t="s">
        <v>344</v>
      </c>
      <c r="I3" s="30" t="s">
        <v>345</v>
      </c>
      <c r="J3" s="32"/>
      <c r="K3" s="29" t="s">
        <v>26</v>
      </c>
      <c r="L3" s="30"/>
      <c r="M3" s="14" t="s">
        <v>346</v>
      </c>
      <c r="W3" s="14" t="s">
        <v>347</v>
      </c>
      <c r="Y3" s="14" t="s">
        <v>348</v>
      </c>
      <c r="AA3" s="8" t="s">
        <v>2</v>
      </c>
      <c r="AB3" s="9"/>
      <c r="AD3" s="14" t="s">
        <v>349</v>
      </c>
      <c r="AH3" s="28" t="s">
        <v>574</v>
      </c>
      <c r="AK3" s="29" t="s">
        <v>26</v>
      </c>
      <c r="AM3" s="14" t="s">
        <v>630</v>
      </c>
      <c r="AN3" s="14" t="s">
        <v>629</v>
      </c>
      <c r="AQ3" s="14" t="s">
        <v>765</v>
      </c>
      <c r="AS3" s="29" t="s">
        <v>370</v>
      </c>
      <c r="AU3" s="14" t="s">
        <v>806</v>
      </c>
      <c r="AX3" s="14" t="s">
        <v>842</v>
      </c>
      <c r="AY3" s="33">
        <v>4</v>
      </c>
      <c r="BA3" s="98" t="s">
        <v>1096</v>
      </c>
    </row>
    <row r="4" spans="1:54" ht="15.5" thickBot="1" x14ac:dyDescent="0.4">
      <c r="B4" s="110" t="s">
        <v>350</v>
      </c>
      <c r="C4" s="14" t="s">
        <v>351</v>
      </c>
      <c r="D4" s="32" t="s">
        <v>352</v>
      </c>
      <c r="E4" s="34"/>
      <c r="F4" s="34"/>
      <c r="G4" s="29" t="s">
        <v>353</v>
      </c>
      <c r="I4" s="32" t="s">
        <v>354</v>
      </c>
      <c r="J4" s="34"/>
      <c r="K4" s="29" t="s">
        <v>27</v>
      </c>
      <c r="L4" s="30"/>
      <c r="N4" s="80" t="s">
        <v>956</v>
      </c>
      <c r="O4" s="81" t="s">
        <v>957</v>
      </c>
      <c r="P4" s="81" t="s">
        <v>958</v>
      </c>
      <c r="Q4" t="s">
        <v>959</v>
      </c>
      <c r="W4" s="14" t="s">
        <v>355</v>
      </c>
      <c r="AA4" s="8" t="s">
        <v>3</v>
      </c>
      <c r="AB4" s="9"/>
      <c r="AH4" s="28" t="s">
        <v>575</v>
      </c>
      <c r="AK4" s="29" t="s">
        <v>27</v>
      </c>
      <c r="AM4" s="14" t="s">
        <v>632</v>
      </c>
      <c r="AN4" s="14" t="s">
        <v>631</v>
      </c>
      <c r="AQ4" s="14" t="s">
        <v>764</v>
      </c>
      <c r="AS4" s="29" t="s">
        <v>370</v>
      </c>
      <c r="AU4" s="14" t="s">
        <v>807</v>
      </c>
      <c r="AX4" s="14" t="s">
        <v>843</v>
      </c>
      <c r="AY4" s="33">
        <v>3</v>
      </c>
    </row>
    <row r="5" spans="1:54" ht="15.5" thickBot="1" x14ac:dyDescent="0.4">
      <c r="B5" s="110" t="s">
        <v>356</v>
      </c>
      <c r="C5" s="14" t="s">
        <v>357</v>
      </c>
      <c r="D5" s="35" t="s">
        <v>358</v>
      </c>
      <c r="G5" s="29" t="s">
        <v>359</v>
      </c>
      <c r="I5" s="35" t="s">
        <v>360</v>
      </c>
      <c r="J5" s="34"/>
      <c r="K5" s="29" t="s">
        <v>755</v>
      </c>
      <c r="L5" s="30"/>
      <c r="N5" s="80" t="s">
        <v>628</v>
      </c>
      <c r="O5" s="81">
        <v>9655420</v>
      </c>
      <c r="P5" s="81" t="s">
        <v>627</v>
      </c>
      <c r="Q5" s="81" t="s">
        <v>911</v>
      </c>
      <c r="AA5" s="8" t="s">
        <v>804</v>
      </c>
      <c r="AB5" s="9"/>
      <c r="AH5" s="28" t="s">
        <v>572</v>
      </c>
      <c r="AK5" s="29" t="s">
        <v>800</v>
      </c>
      <c r="AM5" s="14" t="s">
        <v>677</v>
      </c>
      <c r="AN5" s="14" t="s">
        <v>676</v>
      </c>
      <c r="AQ5" s="14" t="s">
        <v>766</v>
      </c>
      <c r="AS5" s="29" t="s">
        <v>362</v>
      </c>
      <c r="AU5" s="14" t="s">
        <v>808</v>
      </c>
      <c r="AX5" s="14" t="s">
        <v>844</v>
      </c>
      <c r="AY5" s="36">
        <v>2</v>
      </c>
    </row>
    <row r="6" spans="1:54" s="45" customFormat="1" ht="29" thickBot="1" x14ac:dyDescent="0.4">
      <c r="B6" s="111" t="s">
        <v>263</v>
      </c>
      <c r="C6" s="45" t="s">
        <v>264</v>
      </c>
      <c r="D6" s="46" t="s">
        <v>361</v>
      </c>
      <c r="G6" s="47" t="s">
        <v>362</v>
      </c>
      <c r="I6" s="46" t="s">
        <v>363</v>
      </c>
      <c r="J6" s="48"/>
      <c r="K6" s="47" t="s">
        <v>28</v>
      </c>
      <c r="L6" s="49"/>
      <c r="N6" s="80" t="s">
        <v>630</v>
      </c>
      <c r="O6" s="115">
        <v>9566473</v>
      </c>
      <c r="P6" s="80" t="s">
        <v>629</v>
      </c>
      <c r="Q6" s="80" t="s">
        <v>909</v>
      </c>
      <c r="AA6" s="50" t="s">
        <v>167</v>
      </c>
      <c r="AB6" s="51"/>
      <c r="AH6" s="45" t="s">
        <v>573</v>
      </c>
      <c r="AK6" s="47" t="s">
        <v>28</v>
      </c>
      <c r="AM6" s="45" t="s">
        <v>679</v>
      </c>
      <c r="AN6" s="45" t="s">
        <v>678</v>
      </c>
      <c r="AQ6" s="45" t="s">
        <v>767</v>
      </c>
      <c r="AS6" s="47" t="s">
        <v>359</v>
      </c>
      <c r="AU6" s="45" t="s">
        <v>809</v>
      </c>
      <c r="AX6" s="45" t="s">
        <v>845</v>
      </c>
      <c r="AY6" s="23">
        <v>1</v>
      </c>
    </row>
    <row r="7" spans="1:54" ht="15" x14ac:dyDescent="0.35">
      <c r="B7" s="110" t="s">
        <v>204</v>
      </c>
      <c r="C7" s="14" t="s">
        <v>203</v>
      </c>
      <c r="D7" s="34" t="s">
        <v>364</v>
      </c>
      <c r="G7" s="29" t="s">
        <v>365</v>
      </c>
      <c r="I7" s="38" t="s">
        <v>366</v>
      </c>
      <c r="J7" s="34"/>
      <c r="K7" s="29" t="s">
        <v>29</v>
      </c>
      <c r="L7" s="30"/>
      <c r="N7" s="80" t="s">
        <v>632</v>
      </c>
      <c r="O7" s="80">
        <v>9667746</v>
      </c>
      <c r="P7" s="80" t="s">
        <v>631</v>
      </c>
      <c r="Q7" s="80" t="s">
        <v>910</v>
      </c>
      <c r="AA7" s="8" t="s">
        <v>4</v>
      </c>
      <c r="AB7" s="9"/>
      <c r="AH7" s="28" t="s">
        <v>486</v>
      </c>
      <c r="AK7" s="29" t="s">
        <v>29</v>
      </c>
      <c r="AM7" s="14" t="s">
        <v>711</v>
      </c>
      <c r="AN7" s="14" t="s">
        <v>710</v>
      </c>
      <c r="AQ7" s="45" t="s">
        <v>1057</v>
      </c>
      <c r="AR7" s="45"/>
      <c r="AS7" s="29" t="s">
        <v>370</v>
      </c>
      <c r="AU7" s="14" t="s">
        <v>810</v>
      </c>
      <c r="AX7" s="14" t="s">
        <v>846</v>
      </c>
    </row>
    <row r="8" spans="1:54" ht="15" x14ac:dyDescent="0.35">
      <c r="B8" s="110" t="s">
        <v>367</v>
      </c>
      <c r="C8" s="14" t="s">
        <v>281</v>
      </c>
      <c r="D8" s="38" t="s">
        <v>368</v>
      </c>
      <c r="G8" s="29" t="s">
        <v>369</v>
      </c>
      <c r="H8" s="17"/>
      <c r="I8" s="34" t="s">
        <v>7</v>
      </c>
      <c r="J8" s="34"/>
      <c r="K8" s="29" t="s">
        <v>576</v>
      </c>
      <c r="L8" s="30"/>
      <c r="N8" s="80" t="s">
        <v>677</v>
      </c>
      <c r="O8" s="80">
        <v>9372327</v>
      </c>
      <c r="P8" s="80" t="s">
        <v>676</v>
      </c>
      <c r="Q8" s="80" t="s">
        <v>931</v>
      </c>
      <c r="AA8" s="8" t="s">
        <v>5</v>
      </c>
      <c r="AB8" s="9"/>
      <c r="AH8" s="14" t="s">
        <v>571</v>
      </c>
      <c r="AK8" s="29" t="s">
        <v>576</v>
      </c>
      <c r="AM8" s="14" t="s">
        <v>634</v>
      </c>
      <c r="AN8" s="14" t="s">
        <v>633</v>
      </c>
      <c r="AQ8" s="14" t="s">
        <v>769</v>
      </c>
      <c r="AS8" s="29" t="s">
        <v>370</v>
      </c>
      <c r="AU8" s="14" t="s">
        <v>811</v>
      </c>
      <c r="AX8" s="14" t="s">
        <v>847</v>
      </c>
      <c r="BB8" s="14" t="s">
        <v>854</v>
      </c>
    </row>
    <row r="9" spans="1:54" ht="15" x14ac:dyDescent="0.35">
      <c r="B9" s="110" t="s">
        <v>265</v>
      </c>
      <c r="C9" s="14" t="s">
        <v>266</v>
      </c>
      <c r="G9" s="29" t="s">
        <v>370</v>
      </c>
      <c r="H9" s="17"/>
      <c r="I9" s="34" t="s">
        <v>581</v>
      </c>
      <c r="J9" s="34"/>
      <c r="K9" s="29" t="s">
        <v>30</v>
      </c>
      <c r="L9" s="30"/>
      <c r="N9" s="80" t="s">
        <v>679</v>
      </c>
      <c r="O9" s="80">
        <v>9539169</v>
      </c>
      <c r="P9" s="80" t="s">
        <v>678</v>
      </c>
      <c r="Q9" s="80" t="s">
        <v>1087</v>
      </c>
      <c r="AK9" s="29" t="s">
        <v>30</v>
      </c>
      <c r="AM9" s="14" t="s">
        <v>636</v>
      </c>
      <c r="AN9" s="14" t="s">
        <v>635</v>
      </c>
      <c r="AQ9" s="14" t="s">
        <v>768</v>
      </c>
      <c r="AS9" s="29" t="s">
        <v>353</v>
      </c>
      <c r="AU9" s="14" t="s">
        <v>812</v>
      </c>
      <c r="AX9" s="14" t="s">
        <v>848</v>
      </c>
    </row>
    <row r="10" spans="1:54" ht="15" x14ac:dyDescent="0.35">
      <c r="B10" s="110" t="s">
        <v>234</v>
      </c>
      <c r="C10" s="14" t="s">
        <v>233</v>
      </c>
      <c r="G10" s="29"/>
      <c r="H10" s="17"/>
      <c r="I10" s="34" t="s">
        <v>582</v>
      </c>
      <c r="J10" s="34"/>
      <c r="K10" s="29" t="s">
        <v>31</v>
      </c>
      <c r="L10" s="30"/>
      <c r="N10" s="80" t="s">
        <v>711</v>
      </c>
      <c r="O10" s="81">
        <v>9382061</v>
      </c>
      <c r="P10" s="81" t="s">
        <v>710</v>
      </c>
      <c r="Q10" s="81" t="s">
        <v>949</v>
      </c>
      <c r="AK10" s="29" t="s">
        <v>31</v>
      </c>
      <c r="AM10" s="14" t="s">
        <v>694</v>
      </c>
      <c r="AN10" s="14" t="s">
        <v>693</v>
      </c>
      <c r="AQ10" s="14" t="s">
        <v>770</v>
      </c>
      <c r="AS10" s="29" t="s">
        <v>370</v>
      </c>
      <c r="AU10" s="14" t="s">
        <v>813</v>
      </c>
      <c r="AX10" s="14" t="s">
        <v>849</v>
      </c>
    </row>
    <row r="11" spans="1:54" ht="15" x14ac:dyDescent="0.35">
      <c r="B11" s="110" t="s">
        <v>269</v>
      </c>
      <c r="C11" s="14" t="s">
        <v>272</v>
      </c>
      <c r="G11" s="30" t="s">
        <v>371</v>
      </c>
      <c r="H11" s="17"/>
      <c r="I11" s="34" t="s">
        <v>8</v>
      </c>
      <c r="J11" s="34"/>
      <c r="K11" s="29" t="s">
        <v>756</v>
      </c>
      <c r="L11" s="30"/>
      <c r="N11" s="80" t="s">
        <v>1069</v>
      </c>
      <c r="O11" s="80">
        <v>9894478</v>
      </c>
      <c r="P11" s="80" t="s">
        <v>1070</v>
      </c>
      <c r="Q11" s="80" t="s">
        <v>1071</v>
      </c>
      <c r="AK11" s="29" t="s">
        <v>577</v>
      </c>
      <c r="AM11" s="14" t="s">
        <v>696</v>
      </c>
      <c r="AN11" s="14" t="s">
        <v>695</v>
      </c>
      <c r="AQ11" s="14" t="s">
        <v>771</v>
      </c>
      <c r="AS11" s="29" t="s">
        <v>370</v>
      </c>
      <c r="AU11" s="14" t="s">
        <v>814</v>
      </c>
      <c r="AX11" s="14" t="s">
        <v>850</v>
      </c>
    </row>
    <row r="12" spans="1:54" ht="15" x14ac:dyDescent="0.35">
      <c r="B12" s="110" t="s">
        <v>282</v>
      </c>
      <c r="C12" s="14" t="s">
        <v>283</v>
      </c>
      <c r="G12" s="30" t="s">
        <v>372</v>
      </c>
      <c r="H12" s="17"/>
      <c r="I12" s="34" t="s">
        <v>9</v>
      </c>
      <c r="J12" s="34"/>
      <c r="K12" s="29" t="s">
        <v>757</v>
      </c>
      <c r="L12" s="30"/>
      <c r="N12" s="80" t="s">
        <v>1072</v>
      </c>
      <c r="O12" s="80">
        <v>9894466</v>
      </c>
      <c r="P12" s="80" t="s">
        <v>1073</v>
      </c>
      <c r="Q12" s="80" t="s">
        <v>1074</v>
      </c>
      <c r="AK12" s="29" t="s">
        <v>578</v>
      </c>
      <c r="AM12" s="14" t="s">
        <v>713</v>
      </c>
      <c r="AN12" s="14" t="s">
        <v>712</v>
      </c>
      <c r="AQ12" s="14" t="s">
        <v>772</v>
      </c>
      <c r="AS12" s="29" t="s">
        <v>370</v>
      </c>
      <c r="AU12" s="14" t="s">
        <v>815</v>
      </c>
      <c r="AX12" s="14" t="s">
        <v>851</v>
      </c>
    </row>
    <row r="13" spans="1:54" ht="15" x14ac:dyDescent="0.35">
      <c r="B13" s="110" t="s">
        <v>222</v>
      </c>
      <c r="C13" s="14" t="s">
        <v>221</v>
      </c>
      <c r="G13" s="30" t="s">
        <v>373</v>
      </c>
      <c r="H13" s="17"/>
      <c r="I13" s="34" t="s">
        <v>10</v>
      </c>
      <c r="J13" s="34"/>
      <c r="K13" s="29" t="s">
        <v>579</v>
      </c>
      <c r="L13" s="30"/>
      <c r="N13" s="80" t="s">
        <v>634</v>
      </c>
      <c r="O13" s="80">
        <v>9696785</v>
      </c>
      <c r="P13" s="80" t="s">
        <v>633</v>
      </c>
      <c r="Q13" s="80" t="s">
        <v>912</v>
      </c>
      <c r="AK13" s="29" t="s">
        <v>579</v>
      </c>
      <c r="AM13" s="14" t="s">
        <v>715</v>
      </c>
      <c r="AN13" s="14" t="s">
        <v>714</v>
      </c>
      <c r="AQ13" s="14" t="s">
        <v>773</v>
      </c>
      <c r="AS13" s="29" t="s">
        <v>370</v>
      </c>
      <c r="AU13" s="14" t="s">
        <v>816</v>
      </c>
      <c r="AX13" s="14" t="s">
        <v>852</v>
      </c>
    </row>
    <row r="14" spans="1:54" ht="15" x14ac:dyDescent="0.35">
      <c r="B14" s="110" t="s">
        <v>273</v>
      </c>
      <c r="C14" s="14" t="s">
        <v>274</v>
      </c>
      <c r="G14" s="32" t="s">
        <v>374</v>
      </c>
      <c r="H14" s="17"/>
      <c r="I14" s="34" t="s">
        <v>11</v>
      </c>
      <c r="J14" s="34"/>
      <c r="K14" s="29" t="s">
        <v>801</v>
      </c>
      <c r="L14" s="32"/>
      <c r="N14" s="80" t="s">
        <v>636</v>
      </c>
      <c r="O14" s="80">
        <v>9622813</v>
      </c>
      <c r="P14" s="80" t="s">
        <v>635</v>
      </c>
      <c r="Q14" s="80" t="s">
        <v>913</v>
      </c>
      <c r="AK14" s="29" t="s">
        <v>376</v>
      </c>
      <c r="AM14" s="14" t="s">
        <v>717</v>
      </c>
      <c r="AN14" s="14" t="s">
        <v>716</v>
      </c>
      <c r="AQ14" s="14" t="s">
        <v>775</v>
      </c>
      <c r="AS14" s="29" t="s">
        <v>338</v>
      </c>
      <c r="AU14" s="14" t="s">
        <v>817</v>
      </c>
      <c r="AX14" s="14" t="s">
        <v>853</v>
      </c>
    </row>
    <row r="15" spans="1:54" ht="15" x14ac:dyDescent="0.35">
      <c r="B15" s="110" t="s">
        <v>230</v>
      </c>
      <c r="C15" s="14" t="s">
        <v>229</v>
      </c>
      <c r="G15" s="35" t="s">
        <v>375</v>
      </c>
      <c r="H15" s="17"/>
      <c r="I15" s="34" t="s">
        <v>12</v>
      </c>
      <c r="J15" s="34"/>
      <c r="K15" s="30" t="s">
        <v>378</v>
      </c>
      <c r="L15" s="32"/>
      <c r="N15" s="80" t="s">
        <v>694</v>
      </c>
      <c r="O15" s="81">
        <v>9405083</v>
      </c>
      <c r="P15" s="81" t="s">
        <v>693</v>
      </c>
      <c r="Q15" s="81" t="s">
        <v>934</v>
      </c>
      <c r="AM15" s="14" t="s">
        <v>681</v>
      </c>
      <c r="AN15" s="14" t="s">
        <v>680</v>
      </c>
      <c r="AQ15" s="14" t="s">
        <v>774</v>
      </c>
      <c r="AS15" s="29" t="s">
        <v>370</v>
      </c>
      <c r="AU15" s="14" t="s">
        <v>818</v>
      </c>
    </row>
    <row r="16" spans="1:54" ht="15" x14ac:dyDescent="0.35">
      <c r="B16" s="110" t="s">
        <v>228</v>
      </c>
      <c r="C16" s="14" t="s">
        <v>227</v>
      </c>
      <c r="G16" s="35" t="s">
        <v>377</v>
      </c>
      <c r="H16" s="17"/>
      <c r="I16" s="34" t="s">
        <v>584</v>
      </c>
      <c r="J16" s="34"/>
      <c r="K16" s="30" t="s">
        <v>380</v>
      </c>
      <c r="L16" s="32"/>
      <c r="N16" s="80" t="s">
        <v>696</v>
      </c>
      <c r="O16" s="81">
        <v>9398307</v>
      </c>
      <c r="P16" s="81" t="s">
        <v>695</v>
      </c>
      <c r="Q16" s="81" t="s">
        <v>281</v>
      </c>
      <c r="AM16" s="14" t="s">
        <v>638</v>
      </c>
      <c r="AN16" s="14" t="s">
        <v>637</v>
      </c>
      <c r="AQ16" s="14" t="s">
        <v>776</v>
      </c>
      <c r="AS16" s="29" t="s">
        <v>370</v>
      </c>
      <c r="AU16" s="14" t="s">
        <v>819</v>
      </c>
    </row>
    <row r="17" spans="2:47" ht="15" x14ac:dyDescent="0.35">
      <c r="B17" s="110" t="s">
        <v>275</v>
      </c>
      <c r="C17" s="14" t="s">
        <v>276</v>
      </c>
      <c r="G17" s="35" t="s">
        <v>379</v>
      </c>
      <c r="H17" s="17"/>
      <c r="I17" s="34" t="s">
        <v>13</v>
      </c>
      <c r="J17" s="34"/>
      <c r="K17" s="30" t="s">
        <v>382</v>
      </c>
      <c r="L17" s="32"/>
      <c r="N17" s="80" t="s">
        <v>713</v>
      </c>
      <c r="O17" s="81">
        <v>9367736</v>
      </c>
      <c r="P17" s="81" t="s">
        <v>712</v>
      </c>
      <c r="Q17" s="81" t="s">
        <v>278</v>
      </c>
      <c r="AM17" s="14" t="s">
        <v>719</v>
      </c>
      <c r="AN17" s="14" t="s">
        <v>718</v>
      </c>
      <c r="AQ17" s="14" t="s">
        <v>777</v>
      </c>
      <c r="AS17" s="29" t="s">
        <v>370</v>
      </c>
      <c r="AU17" s="14" t="s">
        <v>820</v>
      </c>
    </row>
    <row r="18" spans="2:47" ht="15" x14ac:dyDescent="0.35">
      <c r="B18" s="110" t="s">
        <v>236</v>
      </c>
      <c r="C18" s="14" t="s">
        <v>235</v>
      </c>
      <c r="G18" s="35"/>
      <c r="H18" s="17"/>
      <c r="I18" s="34" t="s">
        <v>14</v>
      </c>
      <c r="J18" s="34"/>
      <c r="K18" s="30" t="s">
        <v>758</v>
      </c>
      <c r="L18" s="32"/>
      <c r="N18" s="80" t="s">
        <v>715</v>
      </c>
      <c r="O18" s="81">
        <v>9367724</v>
      </c>
      <c r="P18" s="81" t="s">
        <v>714</v>
      </c>
      <c r="Q18" s="81" t="s">
        <v>271</v>
      </c>
      <c r="AM18" s="14" t="s">
        <v>721</v>
      </c>
      <c r="AN18" s="14" t="s">
        <v>720</v>
      </c>
      <c r="AQ18" s="14" t="s">
        <v>778</v>
      </c>
      <c r="AS18" s="29" t="s">
        <v>370</v>
      </c>
      <c r="AU18" s="14" t="s">
        <v>821</v>
      </c>
    </row>
    <row r="19" spans="2:47" ht="15" x14ac:dyDescent="0.35">
      <c r="B19" s="110" t="s">
        <v>384</v>
      </c>
      <c r="C19" s="14" t="s">
        <v>198</v>
      </c>
      <c r="G19" s="37" t="s">
        <v>381</v>
      </c>
      <c r="H19" s="17"/>
      <c r="I19" s="34" t="s">
        <v>15</v>
      </c>
      <c r="J19" s="34"/>
      <c r="K19" s="30" t="s">
        <v>386</v>
      </c>
      <c r="L19" s="32"/>
      <c r="N19" s="80" t="s">
        <v>265</v>
      </c>
      <c r="O19" s="81">
        <v>9347310</v>
      </c>
      <c r="P19" s="81" t="s">
        <v>904</v>
      </c>
      <c r="Q19" s="81" t="s">
        <v>266</v>
      </c>
      <c r="AM19" s="14" t="s">
        <v>723</v>
      </c>
      <c r="AN19" s="14" t="s">
        <v>722</v>
      </c>
      <c r="AQ19" s="14" t="s">
        <v>779</v>
      </c>
      <c r="AS19" s="29" t="s">
        <v>370</v>
      </c>
      <c r="AU19" s="14" t="s">
        <v>822</v>
      </c>
    </row>
    <row r="20" spans="2:47" ht="15" x14ac:dyDescent="0.35">
      <c r="B20" s="110" t="s">
        <v>238</v>
      </c>
      <c r="C20" s="14" t="s">
        <v>237</v>
      </c>
      <c r="G20" s="37" t="s">
        <v>383</v>
      </c>
      <c r="H20" s="17"/>
      <c r="I20" s="34" t="s">
        <v>16</v>
      </c>
      <c r="J20" s="34"/>
      <c r="K20" s="30" t="s">
        <v>388</v>
      </c>
      <c r="L20" s="32"/>
      <c r="N20" s="100" t="s">
        <v>717</v>
      </c>
      <c r="O20" s="14">
        <v>9788605</v>
      </c>
      <c r="P20" s="14" t="s">
        <v>716</v>
      </c>
      <c r="Q20" s="14" t="s">
        <v>965</v>
      </c>
      <c r="AM20" s="14" t="s">
        <v>725</v>
      </c>
      <c r="AN20" s="14" t="s">
        <v>724</v>
      </c>
      <c r="AQ20" s="14" t="s">
        <v>780</v>
      </c>
      <c r="AS20" s="29" t="s">
        <v>370</v>
      </c>
      <c r="AU20" s="14" t="s">
        <v>823</v>
      </c>
    </row>
    <row r="21" spans="2:47" ht="15" x14ac:dyDescent="0.35">
      <c r="B21" s="110" t="s">
        <v>240</v>
      </c>
      <c r="C21" s="14" t="s">
        <v>239</v>
      </c>
      <c r="G21" s="37" t="s">
        <v>385</v>
      </c>
      <c r="H21" s="17"/>
      <c r="I21" s="34" t="s">
        <v>17</v>
      </c>
      <c r="J21" s="34"/>
      <c r="K21" s="30" t="s">
        <v>762</v>
      </c>
      <c r="L21" s="32"/>
      <c r="N21" s="80" t="s">
        <v>681</v>
      </c>
      <c r="O21" s="80">
        <v>9182356</v>
      </c>
      <c r="P21" s="80" t="s">
        <v>680</v>
      </c>
      <c r="Q21" s="80" t="s">
        <v>221</v>
      </c>
      <c r="AM21" s="14" t="s">
        <v>698</v>
      </c>
      <c r="AN21" s="14" t="s">
        <v>697</v>
      </c>
      <c r="AQ21" s="14" t="s">
        <v>781</v>
      </c>
      <c r="AS21" s="29" t="s">
        <v>370</v>
      </c>
      <c r="AU21" s="14" t="s">
        <v>824</v>
      </c>
    </row>
    <row r="22" spans="2:47" ht="15" x14ac:dyDescent="0.35">
      <c r="B22" s="110" t="s">
        <v>242</v>
      </c>
      <c r="C22" s="14" t="s">
        <v>241</v>
      </c>
      <c r="G22" s="37" t="s">
        <v>387</v>
      </c>
      <c r="H22" s="17"/>
      <c r="I22" s="34" t="s">
        <v>391</v>
      </c>
      <c r="J22" s="34"/>
      <c r="K22" s="30" t="s">
        <v>392</v>
      </c>
      <c r="L22" s="32"/>
      <c r="N22" s="80" t="s">
        <v>638</v>
      </c>
      <c r="O22" s="80">
        <v>9591973</v>
      </c>
      <c r="P22" s="80" t="s">
        <v>637</v>
      </c>
      <c r="Q22" s="80" t="s">
        <v>914</v>
      </c>
      <c r="AM22" s="14" t="s">
        <v>236</v>
      </c>
      <c r="AN22" s="14" t="s">
        <v>726</v>
      </c>
      <c r="AQ22" s="14" t="s">
        <v>782</v>
      </c>
      <c r="AS22" s="29" t="s">
        <v>370</v>
      </c>
      <c r="AU22" s="14" t="s">
        <v>825</v>
      </c>
    </row>
    <row r="23" spans="2:47" ht="15" x14ac:dyDescent="0.35">
      <c r="B23" s="110" t="s">
        <v>248</v>
      </c>
      <c r="C23" s="14" t="s">
        <v>247</v>
      </c>
      <c r="G23" s="37"/>
      <c r="H23" s="17"/>
      <c r="I23" s="34" t="s">
        <v>18</v>
      </c>
      <c r="J23" s="34"/>
      <c r="K23" s="30" t="s">
        <v>394</v>
      </c>
      <c r="L23" s="32"/>
      <c r="N23" s="80" t="s">
        <v>719</v>
      </c>
      <c r="O23" s="81">
        <v>9812743</v>
      </c>
      <c r="P23" s="81" t="s">
        <v>718</v>
      </c>
      <c r="Q23" s="81" t="s">
        <v>939</v>
      </c>
      <c r="AM23" s="14" t="s">
        <v>700</v>
      </c>
      <c r="AN23" s="14" t="s">
        <v>699</v>
      </c>
      <c r="AQ23" s="14" t="s">
        <v>783</v>
      </c>
      <c r="AS23" s="29" t="s">
        <v>370</v>
      </c>
      <c r="AU23" s="14" t="s">
        <v>826</v>
      </c>
    </row>
    <row r="24" spans="2:47" ht="15" x14ac:dyDescent="0.35">
      <c r="B24" s="110" t="s">
        <v>285</v>
      </c>
      <c r="C24" s="14" t="s">
        <v>286</v>
      </c>
      <c r="G24" s="34" t="s">
        <v>389</v>
      </c>
      <c r="H24" s="17"/>
      <c r="I24" s="34" t="s">
        <v>583</v>
      </c>
      <c r="J24" s="34"/>
      <c r="K24" s="30" t="s">
        <v>761</v>
      </c>
      <c r="L24" s="32"/>
      <c r="N24" s="80" t="s">
        <v>721</v>
      </c>
      <c r="O24" s="81">
        <v>9812755</v>
      </c>
      <c r="P24" s="81" t="s">
        <v>720</v>
      </c>
      <c r="Q24" s="81" t="s">
        <v>940</v>
      </c>
      <c r="AM24" s="14" t="s">
        <v>240</v>
      </c>
      <c r="AN24" s="14" t="s">
        <v>727</v>
      </c>
      <c r="AQ24" s="14" t="s">
        <v>784</v>
      </c>
      <c r="AS24" s="29" t="s">
        <v>370</v>
      </c>
      <c r="AU24" s="14" t="s">
        <v>827</v>
      </c>
    </row>
    <row r="25" spans="2:47" ht="15" x14ac:dyDescent="0.35">
      <c r="B25" s="110" t="s">
        <v>287</v>
      </c>
      <c r="C25" s="14" t="s">
        <v>288</v>
      </c>
      <c r="G25" s="34" t="s">
        <v>390</v>
      </c>
      <c r="H25" s="17"/>
      <c r="I25" s="34" t="s">
        <v>19</v>
      </c>
      <c r="J25" s="34"/>
      <c r="K25" s="30" t="s">
        <v>760</v>
      </c>
      <c r="L25" s="32"/>
      <c r="N25" s="80" t="s">
        <v>723</v>
      </c>
      <c r="O25" s="81">
        <v>9433810</v>
      </c>
      <c r="P25" s="81" t="s">
        <v>722</v>
      </c>
      <c r="Q25" s="81" t="s">
        <v>941</v>
      </c>
      <c r="AM25" s="14" t="s">
        <v>640</v>
      </c>
      <c r="AN25" s="14" t="s">
        <v>639</v>
      </c>
      <c r="AQ25" s="14" t="s">
        <v>785</v>
      </c>
      <c r="AS25" s="29" t="s">
        <v>365</v>
      </c>
      <c r="AU25" s="14" t="s">
        <v>828</v>
      </c>
    </row>
    <row r="26" spans="2:47" ht="15" x14ac:dyDescent="0.35">
      <c r="B26" s="110" t="s">
        <v>250</v>
      </c>
      <c r="C26" s="14" t="s">
        <v>249</v>
      </c>
      <c r="G26" s="34"/>
      <c r="H26" s="17"/>
      <c r="I26" s="34" t="s">
        <v>20</v>
      </c>
      <c r="J26" s="34"/>
      <c r="K26" s="30" t="s">
        <v>759</v>
      </c>
      <c r="L26" s="32"/>
      <c r="N26" s="80" t="s">
        <v>725</v>
      </c>
      <c r="O26" s="81">
        <v>9387255</v>
      </c>
      <c r="P26" s="81" t="s">
        <v>724</v>
      </c>
      <c r="Q26" s="81" t="s">
        <v>276</v>
      </c>
      <c r="AM26" s="14" t="s">
        <v>750</v>
      </c>
      <c r="AN26" s="14" t="s">
        <v>728</v>
      </c>
      <c r="AQ26" s="14" t="s">
        <v>786</v>
      </c>
      <c r="AS26" s="29" t="s">
        <v>370</v>
      </c>
      <c r="AU26" s="14" t="s">
        <v>829</v>
      </c>
    </row>
    <row r="27" spans="2:47" ht="15" x14ac:dyDescent="0.35">
      <c r="B27" s="110" t="s">
        <v>293</v>
      </c>
      <c r="C27" s="14" t="s">
        <v>294</v>
      </c>
      <c r="G27" s="38" t="s">
        <v>393</v>
      </c>
      <c r="H27" s="17"/>
      <c r="I27" s="34" t="s">
        <v>21</v>
      </c>
      <c r="J27" s="34"/>
      <c r="K27" s="30" t="s">
        <v>802</v>
      </c>
      <c r="L27" s="32"/>
      <c r="N27" s="80" t="s">
        <v>698</v>
      </c>
      <c r="O27" s="81">
        <v>9838008</v>
      </c>
      <c r="P27" s="81" t="s">
        <v>697</v>
      </c>
      <c r="Q27" s="81" t="s">
        <v>935</v>
      </c>
      <c r="AM27" s="14" t="s">
        <v>730</v>
      </c>
      <c r="AN27" s="14" t="s">
        <v>729</v>
      </c>
      <c r="AQ27" s="14" t="s">
        <v>787</v>
      </c>
      <c r="AS27" s="29" t="s">
        <v>370</v>
      </c>
      <c r="AU27" s="14" t="s">
        <v>830</v>
      </c>
    </row>
    <row r="28" spans="2:47" ht="15" x14ac:dyDescent="0.35">
      <c r="B28" s="110" t="s">
        <v>252</v>
      </c>
      <c r="C28" s="14" t="s">
        <v>251</v>
      </c>
      <c r="G28" s="38" t="s">
        <v>395</v>
      </c>
      <c r="H28" s="17"/>
      <c r="I28" s="34" t="s">
        <v>22</v>
      </c>
      <c r="J28" s="34"/>
      <c r="K28" s="35" t="s">
        <v>336</v>
      </c>
      <c r="L28" s="32"/>
      <c r="N28" s="80" t="s">
        <v>236</v>
      </c>
      <c r="O28" s="81">
        <v>9337901</v>
      </c>
      <c r="P28" s="81" t="s">
        <v>726</v>
      </c>
      <c r="Q28" s="81" t="s">
        <v>235</v>
      </c>
      <c r="AM28" s="14" t="s">
        <v>732</v>
      </c>
      <c r="AN28" s="14" t="s">
        <v>731</v>
      </c>
      <c r="AQ28" s="14" t="s">
        <v>788</v>
      </c>
      <c r="AS28" s="29" t="s">
        <v>370</v>
      </c>
      <c r="AU28" s="14" t="s">
        <v>831</v>
      </c>
    </row>
    <row r="29" spans="2:47" ht="15" x14ac:dyDescent="0.35">
      <c r="B29" s="110" t="s">
        <v>254</v>
      </c>
      <c r="C29" s="14" t="s">
        <v>253</v>
      </c>
      <c r="G29" s="38" t="s">
        <v>396</v>
      </c>
      <c r="H29" s="17"/>
      <c r="I29" s="34" t="s">
        <v>23</v>
      </c>
      <c r="K29" s="35" t="s">
        <v>32</v>
      </c>
      <c r="L29" s="32"/>
      <c r="N29" s="80" t="s">
        <v>982</v>
      </c>
      <c r="O29" s="81">
        <v>9882358</v>
      </c>
      <c r="P29" s="81" t="s">
        <v>989</v>
      </c>
      <c r="Q29" s="81" t="s">
        <v>1052</v>
      </c>
      <c r="AM29" s="14" t="s">
        <v>642</v>
      </c>
      <c r="AN29" s="14" t="s">
        <v>641</v>
      </c>
      <c r="AQ29" s="14" t="s">
        <v>789</v>
      </c>
      <c r="AS29" s="29" t="s">
        <v>370</v>
      </c>
      <c r="AU29" s="14" t="s">
        <v>832</v>
      </c>
    </row>
    <row r="30" spans="2:47" ht="15" x14ac:dyDescent="0.35">
      <c r="B30" s="110" t="s">
        <v>256</v>
      </c>
      <c r="C30" s="14" t="s">
        <v>255</v>
      </c>
      <c r="G30" s="38" t="s">
        <v>397</v>
      </c>
      <c r="H30" s="17"/>
      <c r="I30" s="34" t="s">
        <v>24</v>
      </c>
      <c r="K30" s="35" t="s">
        <v>168</v>
      </c>
      <c r="L30" s="32"/>
      <c r="N30" s="80" t="s">
        <v>983</v>
      </c>
      <c r="O30" s="81">
        <v>9882360</v>
      </c>
      <c r="P30" s="81" t="s">
        <v>990</v>
      </c>
      <c r="Q30" s="81" t="s">
        <v>1058</v>
      </c>
      <c r="AM30" s="14" t="s">
        <v>644</v>
      </c>
      <c r="AN30" s="14" t="s">
        <v>643</v>
      </c>
      <c r="AQ30" s="14" t="s">
        <v>790</v>
      </c>
      <c r="AS30" s="29" t="s">
        <v>370</v>
      </c>
      <c r="AU30" s="14" t="s">
        <v>833</v>
      </c>
    </row>
    <row r="31" spans="2:47" ht="15" x14ac:dyDescent="0.35">
      <c r="B31" s="110" t="s">
        <v>212</v>
      </c>
      <c r="C31" s="14" t="s">
        <v>211</v>
      </c>
      <c r="H31" s="17"/>
      <c r="I31" s="34" t="s">
        <v>169</v>
      </c>
      <c r="K31" s="35" t="s">
        <v>33</v>
      </c>
      <c r="L31" s="32"/>
      <c r="N31" s="80" t="s">
        <v>980</v>
      </c>
      <c r="O31" s="81">
        <v>9882346</v>
      </c>
      <c r="P31" s="81" t="s">
        <v>987</v>
      </c>
      <c r="Q31" s="81" t="s">
        <v>1051</v>
      </c>
      <c r="AM31" s="14" t="s">
        <v>683</v>
      </c>
      <c r="AN31" s="14" t="s">
        <v>682</v>
      </c>
      <c r="AQ31" s="14" t="s">
        <v>794</v>
      </c>
      <c r="AS31" s="29" t="s">
        <v>370</v>
      </c>
      <c r="AU31" s="14" t="s">
        <v>834</v>
      </c>
    </row>
    <row r="32" spans="2:47" ht="15" x14ac:dyDescent="0.35">
      <c r="B32" s="110" t="s">
        <v>220</v>
      </c>
      <c r="C32" s="14" t="s">
        <v>219</v>
      </c>
      <c r="H32" s="17"/>
      <c r="I32" s="34" t="s">
        <v>25</v>
      </c>
      <c r="K32" s="35" t="s">
        <v>34</v>
      </c>
      <c r="L32" s="32"/>
      <c r="N32" s="80" t="s">
        <v>700</v>
      </c>
      <c r="O32" s="102">
        <v>9855484</v>
      </c>
      <c r="P32" s="81" t="s">
        <v>699</v>
      </c>
      <c r="Q32" s="81" t="s">
        <v>968</v>
      </c>
      <c r="AM32" s="14" t="s">
        <v>646</v>
      </c>
      <c r="AN32" s="14" t="s">
        <v>645</v>
      </c>
      <c r="AQ32" s="14" t="s">
        <v>791</v>
      </c>
      <c r="AS32" s="29" t="s">
        <v>344</v>
      </c>
      <c r="AU32" s="14" t="s">
        <v>835</v>
      </c>
    </row>
    <row r="33" spans="2:47" ht="15" x14ac:dyDescent="0.35">
      <c r="B33" s="110" t="s">
        <v>277</v>
      </c>
      <c r="C33" s="14" t="s">
        <v>278</v>
      </c>
      <c r="I33" s="34"/>
      <c r="K33" s="35" t="s">
        <v>35</v>
      </c>
      <c r="L33" s="32"/>
      <c r="N33" s="80" t="s">
        <v>973</v>
      </c>
      <c r="O33" s="81">
        <v>9882334</v>
      </c>
      <c r="P33" s="81" t="s">
        <v>974</v>
      </c>
      <c r="Q33" s="81" t="s">
        <v>991</v>
      </c>
      <c r="AM33" s="14" t="s">
        <v>734</v>
      </c>
      <c r="AN33" s="14" t="s">
        <v>733</v>
      </c>
      <c r="AQ33" s="14" t="s">
        <v>792</v>
      </c>
      <c r="AS33" s="29" t="s">
        <v>370</v>
      </c>
      <c r="AU33" s="14" t="s">
        <v>836</v>
      </c>
    </row>
    <row r="34" spans="2:47" ht="15" x14ac:dyDescent="0.35">
      <c r="B34" s="110" t="s">
        <v>270</v>
      </c>
      <c r="C34" s="14" t="s">
        <v>271</v>
      </c>
      <c r="K34" s="35" t="s">
        <v>36</v>
      </c>
      <c r="L34" s="32"/>
      <c r="N34" s="80" t="s">
        <v>238</v>
      </c>
      <c r="O34" s="81">
        <v>9296810</v>
      </c>
      <c r="P34" s="81" t="s">
        <v>905</v>
      </c>
      <c r="Q34" s="81" t="s">
        <v>237</v>
      </c>
      <c r="AM34" s="14" t="s">
        <v>736</v>
      </c>
      <c r="AN34" s="14" t="s">
        <v>735</v>
      </c>
      <c r="AQ34" s="14" t="s">
        <v>793</v>
      </c>
      <c r="AS34" s="29" t="s">
        <v>370</v>
      </c>
      <c r="AU34" s="14" t="s">
        <v>837</v>
      </c>
    </row>
    <row r="35" spans="2:47" ht="15" x14ac:dyDescent="0.35">
      <c r="B35" s="110" t="s">
        <v>200</v>
      </c>
      <c r="C35" s="14" t="s">
        <v>199</v>
      </c>
      <c r="K35" s="35" t="s">
        <v>37</v>
      </c>
      <c r="L35" s="32"/>
      <c r="N35" s="80" t="s">
        <v>240</v>
      </c>
      <c r="O35" s="81">
        <v>9310850</v>
      </c>
      <c r="P35" s="81" t="s">
        <v>727</v>
      </c>
      <c r="Q35" s="81" t="s">
        <v>239</v>
      </c>
      <c r="AM35" s="14" t="s">
        <v>738</v>
      </c>
      <c r="AN35" s="14" t="s">
        <v>737</v>
      </c>
      <c r="AQ35" s="14" t="s">
        <v>795</v>
      </c>
      <c r="AS35" s="29" t="s">
        <v>370</v>
      </c>
      <c r="AU35" s="14" t="s">
        <v>838</v>
      </c>
    </row>
    <row r="36" spans="2:47" ht="15" x14ac:dyDescent="0.35">
      <c r="B36" s="110" t="s">
        <v>267</v>
      </c>
      <c r="C36" s="14" t="s">
        <v>398</v>
      </c>
      <c r="I36" s="34" t="s">
        <v>169</v>
      </c>
      <c r="K36" s="35" t="s">
        <v>38</v>
      </c>
      <c r="L36" s="32"/>
      <c r="N36" s="80" t="s">
        <v>640</v>
      </c>
      <c r="O36" s="80">
        <v>9725445</v>
      </c>
      <c r="P36" s="80" t="s">
        <v>639</v>
      </c>
      <c r="Q36" s="80" t="s">
        <v>915</v>
      </c>
      <c r="AM36" s="14" t="s">
        <v>751</v>
      </c>
      <c r="AN36" s="14" t="s">
        <v>647</v>
      </c>
      <c r="AQ36" s="14" t="s">
        <v>796</v>
      </c>
      <c r="AS36" s="29" t="s">
        <v>369</v>
      </c>
      <c r="AU36" s="14" t="s">
        <v>839</v>
      </c>
    </row>
    <row r="37" spans="2:47" ht="15" x14ac:dyDescent="0.35">
      <c r="B37" s="110" t="s">
        <v>214</v>
      </c>
      <c r="C37" s="14" t="s">
        <v>213</v>
      </c>
      <c r="E37" s="17"/>
      <c r="F37" s="17"/>
      <c r="I37" s="34" t="s">
        <v>25</v>
      </c>
      <c r="K37" s="35" t="s">
        <v>39</v>
      </c>
      <c r="L37" s="39"/>
      <c r="N37" s="80" t="s">
        <v>750</v>
      </c>
      <c r="O37" s="81">
        <v>9222651</v>
      </c>
      <c r="P37" s="81" t="s">
        <v>728</v>
      </c>
      <c r="Q37" s="81" t="s">
        <v>942</v>
      </c>
      <c r="AM37" s="14" t="s">
        <v>685</v>
      </c>
      <c r="AN37" s="14" t="s">
        <v>684</v>
      </c>
      <c r="AQ37" s="14" t="s">
        <v>797</v>
      </c>
      <c r="AS37" s="29" t="s">
        <v>370</v>
      </c>
      <c r="AU37" s="14" t="s">
        <v>840</v>
      </c>
    </row>
    <row r="38" spans="2:47" ht="15" x14ac:dyDescent="0.35">
      <c r="B38" s="110" t="s">
        <v>289</v>
      </c>
      <c r="C38" s="14" t="s">
        <v>290</v>
      </c>
      <c r="E38" s="17"/>
      <c r="F38" s="17"/>
      <c r="K38" s="35" t="s">
        <v>40</v>
      </c>
      <c r="L38" s="39"/>
      <c r="N38" s="80" t="s">
        <v>730</v>
      </c>
      <c r="O38" s="81">
        <v>9228291</v>
      </c>
      <c r="P38" s="81" t="s">
        <v>729</v>
      </c>
      <c r="Q38" s="81" t="s">
        <v>951</v>
      </c>
      <c r="AM38" s="14" t="s">
        <v>252</v>
      </c>
      <c r="AN38" s="14" t="s">
        <v>648</v>
      </c>
      <c r="AQ38" s="14" t="s">
        <v>798</v>
      </c>
      <c r="AS38" s="29" t="s">
        <v>370</v>
      </c>
    </row>
    <row r="39" spans="2:47" ht="15" x14ac:dyDescent="0.35">
      <c r="B39" s="110" t="s">
        <v>291</v>
      </c>
      <c r="C39" s="14" t="s">
        <v>292</v>
      </c>
      <c r="E39" s="17"/>
      <c r="F39" s="17"/>
      <c r="K39" s="35" t="s">
        <v>41</v>
      </c>
      <c r="L39" s="39"/>
      <c r="N39" s="80" t="s">
        <v>732</v>
      </c>
      <c r="O39" s="81">
        <v>9254252</v>
      </c>
      <c r="P39" s="81" t="s">
        <v>731</v>
      </c>
      <c r="Q39" s="81" t="s">
        <v>950</v>
      </c>
      <c r="AM39" s="14" t="s">
        <v>650</v>
      </c>
      <c r="AN39" s="14" t="s">
        <v>649</v>
      </c>
    </row>
    <row r="40" spans="2:47" ht="15" x14ac:dyDescent="0.35">
      <c r="B40" s="110" t="s">
        <v>216</v>
      </c>
      <c r="C40" s="14" t="s">
        <v>215</v>
      </c>
      <c r="E40" s="17"/>
      <c r="K40" s="35" t="s">
        <v>42</v>
      </c>
      <c r="L40" s="39"/>
      <c r="N40" s="80" t="s">
        <v>642</v>
      </c>
      <c r="O40" s="80">
        <v>9687746</v>
      </c>
      <c r="P40" s="80" t="s">
        <v>641</v>
      </c>
      <c r="Q40" s="80" t="s">
        <v>916</v>
      </c>
      <c r="AM40" s="14" t="s">
        <v>652</v>
      </c>
      <c r="AN40" s="14" t="s">
        <v>651</v>
      </c>
    </row>
    <row r="41" spans="2:47" ht="15" x14ac:dyDescent="0.35">
      <c r="B41" s="110" t="s">
        <v>218</v>
      </c>
      <c r="C41" s="14" t="s">
        <v>217</v>
      </c>
      <c r="E41" s="17"/>
      <c r="G41" s="17"/>
      <c r="K41" s="35" t="s">
        <v>43</v>
      </c>
      <c r="L41" s="39"/>
      <c r="N41" s="80" t="s">
        <v>644</v>
      </c>
      <c r="O41" s="80">
        <v>9565053</v>
      </c>
      <c r="P41" s="80" t="s">
        <v>643</v>
      </c>
      <c r="Q41" s="80" t="s">
        <v>294</v>
      </c>
      <c r="AM41" s="14" t="s">
        <v>654</v>
      </c>
      <c r="AN41" s="14" t="s">
        <v>653</v>
      </c>
    </row>
    <row r="42" spans="2:47" ht="15" x14ac:dyDescent="0.35">
      <c r="B42" s="110" t="s">
        <v>258</v>
      </c>
      <c r="C42" s="14" t="s">
        <v>257</v>
      </c>
      <c r="E42" s="17"/>
      <c r="G42" s="17"/>
      <c r="K42" s="35" t="s">
        <v>44</v>
      </c>
      <c r="L42" s="39"/>
      <c r="N42" s="80" t="s">
        <v>683</v>
      </c>
      <c r="O42" s="80">
        <v>9561277</v>
      </c>
      <c r="P42" s="80" t="s">
        <v>682</v>
      </c>
      <c r="Q42" s="80" t="s">
        <v>932</v>
      </c>
      <c r="AM42" s="14" t="s">
        <v>656</v>
      </c>
      <c r="AN42" s="14" t="s">
        <v>655</v>
      </c>
    </row>
    <row r="43" spans="2:47" ht="15" x14ac:dyDescent="0.35">
      <c r="B43" s="110" t="s">
        <v>210</v>
      </c>
      <c r="C43" s="14" t="s">
        <v>209</v>
      </c>
      <c r="E43" s="17"/>
      <c r="G43" s="17"/>
      <c r="K43" s="35" t="s">
        <v>45</v>
      </c>
      <c r="L43" s="39"/>
      <c r="N43" s="80" t="s">
        <v>646</v>
      </c>
      <c r="O43" s="80">
        <v>9547001</v>
      </c>
      <c r="P43" s="80" t="s">
        <v>645</v>
      </c>
      <c r="Q43" s="80" t="s">
        <v>953</v>
      </c>
      <c r="AM43" s="14" t="s">
        <v>254</v>
      </c>
      <c r="AN43" s="14" t="s">
        <v>657</v>
      </c>
    </row>
    <row r="44" spans="2:47" ht="15" x14ac:dyDescent="0.35">
      <c r="B44" s="110" t="s">
        <v>226</v>
      </c>
      <c r="C44" s="14" t="s">
        <v>225</v>
      </c>
      <c r="E44" s="17"/>
      <c r="K44" s="35" t="s">
        <v>46</v>
      </c>
      <c r="L44" s="39"/>
      <c r="N44" s="80" t="s">
        <v>1088</v>
      </c>
      <c r="O44" s="80">
        <v>9902093</v>
      </c>
      <c r="P44" s="80" t="s">
        <v>1089</v>
      </c>
      <c r="Q44" s="80" t="s">
        <v>1090</v>
      </c>
      <c r="AM44" s="14" t="s">
        <v>675</v>
      </c>
      <c r="AN44" s="14" t="s">
        <v>674</v>
      </c>
    </row>
    <row r="45" spans="2:47" ht="15" x14ac:dyDescent="0.35">
      <c r="B45" s="110" t="s">
        <v>399</v>
      </c>
      <c r="C45" s="14" t="s">
        <v>284</v>
      </c>
      <c r="E45" s="17"/>
      <c r="K45" s="35" t="s">
        <v>47</v>
      </c>
      <c r="L45" s="39"/>
      <c r="N45" s="80" t="s">
        <v>734</v>
      </c>
      <c r="O45" s="81">
        <v>9830288</v>
      </c>
      <c r="P45" s="81" t="s">
        <v>733</v>
      </c>
      <c r="Q45" s="81" t="s">
        <v>943</v>
      </c>
      <c r="AM45" s="14" t="s">
        <v>659</v>
      </c>
      <c r="AN45" s="14" t="s">
        <v>658</v>
      </c>
    </row>
    <row r="46" spans="2:47" ht="15" x14ac:dyDescent="0.35">
      <c r="B46" s="110" t="s">
        <v>232</v>
      </c>
      <c r="C46" s="14" t="s">
        <v>231</v>
      </c>
      <c r="E46" s="17"/>
      <c r="K46" s="35" t="s">
        <v>48</v>
      </c>
      <c r="L46" s="39"/>
      <c r="N46" s="80" t="s">
        <v>736</v>
      </c>
      <c r="O46" s="81">
        <v>9426283</v>
      </c>
      <c r="P46" s="81" t="s">
        <v>735</v>
      </c>
      <c r="Q46" s="81" t="s">
        <v>286</v>
      </c>
      <c r="AM46" s="14" t="s">
        <v>687</v>
      </c>
      <c r="AN46" s="14" t="s">
        <v>686</v>
      </c>
    </row>
    <row r="47" spans="2:47" ht="15" x14ac:dyDescent="0.35">
      <c r="B47" s="110" t="s">
        <v>260</v>
      </c>
      <c r="C47" s="14" t="s">
        <v>259</v>
      </c>
      <c r="E47" s="17"/>
      <c r="K47" s="35" t="s">
        <v>49</v>
      </c>
      <c r="L47" s="39"/>
      <c r="N47" s="80" t="s">
        <v>738</v>
      </c>
      <c r="O47" s="81">
        <v>9830290</v>
      </c>
      <c r="P47" s="81" t="s">
        <v>737</v>
      </c>
      <c r="Q47" s="81" t="s">
        <v>944</v>
      </c>
      <c r="AM47" s="14" t="s">
        <v>702</v>
      </c>
      <c r="AN47" s="14" t="s">
        <v>701</v>
      </c>
    </row>
    <row r="48" spans="2:47" x14ac:dyDescent="0.3">
      <c r="B48" s="110" t="s">
        <v>202</v>
      </c>
      <c r="C48" s="14" t="s">
        <v>201</v>
      </c>
      <c r="E48" s="17"/>
      <c r="K48" s="35" t="s">
        <v>50</v>
      </c>
      <c r="L48" s="39"/>
      <c r="N48" s="14" t="s">
        <v>1048</v>
      </c>
      <c r="O48" s="14">
        <v>9863223</v>
      </c>
      <c r="P48" s="14" t="s">
        <v>1049</v>
      </c>
      <c r="Q48" s="14" t="s">
        <v>1050</v>
      </c>
      <c r="AM48" s="14" t="s">
        <v>661</v>
      </c>
      <c r="AN48" s="14" t="s">
        <v>660</v>
      </c>
    </row>
    <row r="49" spans="2:40" ht="15" x14ac:dyDescent="0.35">
      <c r="B49" s="110" t="s">
        <v>197</v>
      </c>
      <c r="C49" s="14" t="s">
        <v>196</v>
      </c>
      <c r="E49" s="17"/>
      <c r="K49" s="35" t="s">
        <v>51</v>
      </c>
      <c r="L49" s="39"/>
      <c r="N49" s="80" t="s">
        <v>1075</v>
      </c>
      <c r="O49" s="80">
        <v>9442524</v>
      </c>
      <c r="P49" s="80" t="s">
        <v>1076</v>
      </c>
      <c r="Q49" s="80" t="s">
        <v>1077</v>
      </c>
      <c r="AM49" s="14" t="s">
        <v>689</v>
      </c>
      <c r="AN49" s="14" t="s">
        <v>688</v>
      </c>
    </row>
    <row r="50" spans="2:40" ht="15" x14ac:dyDescent="0.35">
      <c r="B50" s="110" t="s">
        <v>224</v>
      </c>
      <c r="C50" s="14" t="s">
        <v>223</v>
      </c>
      <c r="E50" s="17"/>
      <c r="K50" s="35" t="s">
        <v>52</v>
      </c>
      <c r="L50" s="39"/>
      <c r="N50" s="80" t="s">
        <v>899</v>
      </c>
      <c r="O50" s="80">
        <v>9774862</v>
      </c>
      <c r="P50" s="80" t="s">
        <v>647</v>
      </c>
      <c r="Q50" s="80" t="s">
        <v>917</v>
      </c>
      <c r="AM50" s="14" t="s">
        <v>663</v>
      </c>
      <c r="AN50" s="14" t="s">
        <v>662</v>
      </c>
    </row>
    <row r="51" spans="2:40" ht="15" x14ac:dyDescent="0.35">
      <c r="B51" s="110" t="s">
        <v>400</v>
      </c>
      <c r="C51" s="14" t="s">
        <v>401</v>
      </c>
      <c r="E51" s="17"/>
      <c r="K51" s="35" t="s">
        <v>402</v>
      </c>
      <c r="L51" s="39"/>
      <c r="N51" s="80" t="s">
        <v>1078</v>
      </c>
      <c r="O51" s="80">
        <v>9760471</v>
      </c>
      <c r="P51" s="80" t="s">
        <v>1079</v>
      </c>
      <c r="Q51" s="80" t="s">
        <v>1080</v>
      </c>
      <c r="AM51" s="14" t="s">
        <v>740</v>
      </c>
      <c r="AN51" s="14" t="s">
        <v>739</v>
      </c>
    </row>
    <row r="52" spans="2:40" ht="15" x14ac:dyDescent="0.35">
      <c r="B52" s="110" t="s">
        <v>206</v>
      </c>
      <c r="C52" s="14" t="s">
        <v>205</v>
      </c>
      <c r="E52" s="17"/>
      <c r="K52" s="32" t="s">
        <v>335</v>
      </c>
      <c r="L52" s="39"/>
      <c r="N52" s="80" t="s">
        <v>685</v>
      </c>
      <c r="O52" s="80">
        <v>9403217</v>
      </c>
      <c r="P52" s="80" t="s">
        <v>684</v>
      </c>
      <c r="Q52" s="80" t="s">
        <v>933</v>
      </c>
      <c r="AM52" s="14" t="s">
        <v>742</v>
      </c>
      <c r="AN52" s="14" t="s">
        <v>741</v>
      </c>
    </row>
    <row r="53" spans="2:40" ht="15" x14ac:dyDescent="0.35">
      <c r="B53" s="110" t="s">
        <v>403</v>
      </c>
      <c r="C53" s="14" t="s">
        <v>404</v>
      </c>
      <c r="E53" s="17"/>
      <c r="K53" s="32" t="s">
        <v>405</v>
      </c>
      <c r="L53" s="39"/>
      <c r="N53" s="80" t="s">
        <v>252</v>
      </c>
      <c r="O53" s="80">
        <v>9236066</v>
      </c>
      <c r="P53" s="80" t="s">
        <v>648</v>
      </c>
      <c r="Q53" s="80" t="s">
        <v>251</v>
      </c>
      <c r="AM53" s="14" t="s">
        <v>665</v>
      </c>
      <c r="AN53" s="14" t="s">
        <v>664</v>
      </c>
    </row>
    <row r="54" spans="2:40" ht="15" x14ac:dyDescent="0.35">
      <c r="B54" s="110" t="s">
        <v>246</v>
      </c>
      <c r="C54" s="14" t="s">
        <v>245</v>
      </c>
      <c r="E54" s="17"/>
      <c r="K54" s="32" t="s">
        <v>170</v>
      </c>
      <c r="L54" s="39"/>
      <c r="N54" s="80" t="s">
        <v>650</v>
      </c>
      <c r="O54" s="80">
        <v>9424106</v>
      </c>
      <c r="P54" s="80" t="s">
        <v>649</v>
      </c>
      <c r="Q54" s="80" t="s">
        <v>918</v>
      </c>
      <c r="AM54" s="14" t="s">
        <v>667</v>
      </c>
      <c r="AN54" s="14" t="s">
        <v>666</v>
      </c>
    </row>
    <row r="55" spans="2:40" ht="15" x14ac:dyDescent="0.35">
      <c r="B55" s="110" t="s">
        <v>195</v>
      </c>
      <c r="C55" s="14" t="s">
        <v>194</v>
      </c>
      <c r="E55" s="17"/>
      <c r="K55" s="32" t="s">
        <v>406</v>
      </c>
      <c r="L55" s="39"/>
      <c r="N55" s="80" t="s">
        <v>652</v>
      </c>
      <c r="O55" s="80">
        <v>9276767</v>
      </c>
      <c r="P55" s="80" t="s">
        <v>651</v>
      </c>
      <c r="Q55" s="80" t="s">
        <v>919</v>
      </c>
      <c r="AM55" s="14" t="s">
        <v>258</v>
      </c>
      <c r="AN55" s="14" t="s">
        <v>690</v>
      </c>
    </row>
    <row r="56" spans="2:40" ht="15" x14ac:dyDescent="0.35">
      <c r="B56" s="110" t="s">
        <v>193</v>
      </c>
      <c r="C56" s="14" t="s">
        <v>192</v>
      </c>
      <c r="E56" s="17"/>
      <c r="K56" s="32" t="s">
        <v>407</v>
      </c>
      <c r="L56" s="39"/>
      <c r="N56" s="80" t="s">
        <v>654</v>
      </c>
      <c r="O56" s="80">
        <v>9310006</v>
      </c>
      <c r="P56" s="80" t="s">
        <v>653</v>
      </c>
      <c r="Q56" s="80" t="s">
        <v>920</v>
      </c>
      <c r="AM56" s="14" t="s">
        <v>669</v>
      </c>
      <c r="AN56" s="14" t="s">
        <v>668</v>
      </c>
    </row>
    <row r="57" spans="2:40" ht="15" x14ac:dyDescent="0.35">
      <c r="B57" s="110" t="s">
        <v>244</v>
      </c>
      <c r="C57" s="14" t="s">
        <v>243</v>
      </c>
      <c r="E57" s="17"/>
      <c r="K57" s="32" t="s">
        <v>408</v>
      </c>
      <c r="L57" s="39"/>
      <c r="N57" s="80" t="s">
        <v>656</v>
      </c>
      <c r="O57" s="80">
        <v>9246293</v>
      </c>
      <c r="P57" s="80" t="s">
        <v>906</v>
      </c>
      <c r="Q57" s="80" t="s">
        <v>908</v>
      </c>
      <c r="AM57" s="14" t="s">
        <v>744</v>
      </c>
      <c r="AN57" s="14" t="s">
        <v>743</v>
      </c>
    </row>
    <row r="58" spans="2:40" ht="15" x14ac:dyDescent="0.35">
      <c r="B58" s="110" t="s">
        <v>208</v>
      </c>
      <c r="C58" s="14" t="s">
        <v>207</v>
      </c>
      <c r="E58" s="17"/>
      <c r="K58" s="32" t="s">
        <v>409</v>
      </c>
      <c r="L58" s="39"/>
      <c r="N58" s="80" t="s">
        <v>254</v>
      </c>
      <c r="O58" s="80">
        <v>9156759</v>
      </c>
      <c r="P58" s="80" t="s">
        <v>657</v>
      </c>
      <c r="Q58" s="80" t="s">
        <v>253</v>
      </c>
      <c r="AM58" s="14" t="s">
        <v>692</v>
      </c>
      <c r="AN58" s="14" t="s">
        <v>691</v>
      </c>
    </row>
    <row r="59" spans="2:40" ht="15" x14ac:dyDescent="0.35">
      <c r="B59" s="110" t="s">
        <v>279</v>
      </c>
      <c r="C59" s="14" t="s">
        <v>280</v>
      </c>
      <c r="E59" s="17"/>
      <c r="K59" s="32" t="s">
        <v>410</v>
      </c>
      <c r="L59" s="39"/>
      <c r="N59" s="80" t="s">
        <v>675</v>
      </c>
      <c r="O59" s="80">
        <v>9316945</v>
      </c>
      <c r="P59" s="80" t="s">
        <v>674</v>
      </c>
      <c r="Q59" s="80" t="s">
        <v>921</v>
      </c>
      <c r="AM59" s="14" t="s">
        <v>671</v>
      </c>
      <c r="AN59" s="14" t="s">
        <v>670</v>
      </c>
    </row>
    <row r="60" spans="2:40" ht="15" x14ac:dyDescent="0.35">
      <c r="B60" s="110" t="s">
        <v>411</v>
      </c>
      <c r="C60" s="14" t="s">
        <v>268</v>
      </c>
      <c r="E60" s="17"/>
      <c r="K60" s="32" t="s">
        <v>412</v>
      </c>
      <c r="L60" s="39"/>
      <c r="N60" s="80" t="s">
        <v>900</v>
      </c>
      <c r="O60" s="80">
        <v>9788679</v>
      </c>
      <c r="P60" s="80" t="s">
        <v>901</v>
      </c>
      <c r="Q60" s="80" t="s">
        <v>922</v>
      </c>
      <c r="AM60" s="14" t="s">
        <v>673</v>
      </c>
      <c r="AN60" s="14" t="s">
        <v>672</v>
      </c>
    </row>
    <row r="61" spans="2:40" ht="15" x14ac:dyDescent="0.35">
      <c r="K61" s="32" t="s">
        <v>413</v>
      </c>
      <c r="L61" s="39"/>
      <c r="N61" s="80" t="s">
        <v>902</v>
      </c>
      <c r="O61" s="80">
        <v>9788681</v>
      </c>
      <c r="P61" s="80" t="s">
        <v>903</v>
      </c>
      <c r="Q61" s="80" t="s">
        <v>923</v>
      </c>
      <c r="AM61" s="14" t="s">
        <v>260</v>
      </c>
      <c r="AN61" s="14" t="s">
        <v>747</v>
      </c>
    </row>
    <row r="62" spans="2:40" ht="15" x14ac:dyDescent="0.35">
      <c r="K62" s="32" t="s">
        <v>414</v>
      </c>
      <c r="L62" s="39"/>
      <c r="N62" s="80" t="s">
        <v>659</v>
      </c>
      <c r="O62" s="80">
        <v>9668051</v>
      </c>
      <c r="P62" s="80" t="s">
        <v>658</v>
      </c>
      <c r="Q62" s="80" t="s">
        <v>924</v>
      </c>
      <c r="AM62" s="14" t="s">
        <v>749</v>
      </c>
      <c r="AN62" s="14" t="s">
        <v>748</v>
      </c>
    </row>
    <row r="63" spans="2:40" ht="15" x14ac:dyDescent="0.35">
      <c r="K63" s="32" t="s">
        <v>415</v>
      </c>
      <c r="L63" s="39"/>
      <c r="N63" s="80" t="s">
        <v>687</v>
      </c>
      <c r="O63" s="80">
        <v>9110107</v>
      </c>
      <c r="P63" s="80" t="s">
        <v>686</v>
      </c>
      <c r="Q63" s="80" t="s">
        <v>219</v>
      </c>
      <c r="AM63" s="14" t="s">
        <v>752</v>
      </c>
      <c r="AN63" s="14" t="s">
        <v>745</v>
      </c>
    </row>
    <row r="64" spans="2:40" ht="15" x14ac:dyDescent="0.35">
      <c r="K64" s="32" t="s">
        <v>416</v>
      </c>
      <c r="L64" s="39"/>
      <c r="N64" s="80" t="s">
        <v>702</v>
      </c>
      <c r="O64" s="81">
        <v>9760782</v>
      </c>
      <c r="P64" s="81" t="s">
        <v>701</v>
      </c>
      <c r="Q64" s="81" t="s">
        <v>936</v>
      </c>
      <c r="AM64" s="14" t="s">
        <v>753</v>
      </c>
      <c r="AN64" s="14" t="s">
        <v>746</v>
      </c>
    </row>
    <row r="65" spans="5:40" x14ac:dyDescent="0.3">
      <c r="K65" s="32" t="s">
        <v>417</v>
      </c>
      <c r="L65" s="39"/>
      <c r="N65" s="14" t="s">
        <v>1061</v>
      </c>
      <c r="O65" s="14">
        <v>9520376</v>
      </c>
      <c r="P65" s="14" t="s">
        <v>1062</v>
      </c>
      <c r="Q65" s="14" t="s">
        <v>1063</v>
      </c>
      <c r="AM65" s="14" t="s">
        <v>246</v>
      </c>
      <c r="AN65" s="14" t="s">
        <v>703</v>
      </c>
    </row>
    <row r="66" spans="5:40" x14ac:dyDescent="0.3">
      <c r="K66" s="32" t="s">
        <v>418</v>
      </c>
      <c r="L66" s="39"/>
      <c r="N66" s="14" t="s">
        <v>1065</v>
      </c>
      <c r="O66" s="14">
        <v>9425277</v>
      </c>
      <c r="P66" s="14" t="s">
        <v>1064</v>
      </c>
      <c r="Q66" s="14" t="s">
        <v>1066</v>
      </c>
      <c r="AM66" s="14" t="s">
        <v>705</v>
      </c>
      <c r="AN66" s="14" t="s">
        <v>704</v>
      </c>
    </row>
    <row r="67" spans="5:40" ht="15" x14ac:dyDescent="0.35">
      <c r="E67" s="17"/>
      <c r="K67" s="32" t="s">
        <v>419</v>
      </c>
      <c r="L67" s="39"/>
      <c r="N67" s="80" t="s">
        <v>661</v>
      </c>
      <c r="O67" s="80">
        <v>9696797</v>
      </c>
      <c r="P67" s="80" t="s">
        <v>660</v>
      </c>
      <c r="Q67" s="80" t="s">
        <v>925</v>
      </c>
      <c r="AM67" s="14" t="s">
        <v>707</v>
      </c>
      <c r="AN67" s="14" t="s">
        <v>706</v>
      </c>
    </row>
    <row r="68" spans="5:40" ht="15" x14ac:dyDescent="0.35">
      <c r="E68" s="17"/>
      <c r="K68" s="32" t="s">
        <v>420</v>
      </c>
      <c r="L68" s="39"/>
      <c r="N68" s="80" t="s">
        <v>689</v>
      </c>
      <c r="O68" s="80">
        <v>9460887</v>
      </c>
      <c r="P68" s="80" t="s">
        <v>688</v>
      </c>
      <c r="Q68" s="80" t="s">
        <v>284</v>
      </c>
      <c r="AM68" s="14" t="s">
        <v>244</v>
      </c>
      <c r="AN68" s="14" t="s">
        <v>708</v>
      </c>
    </row>
    <row r="69" spans="5:40" ht="15" x14ac:dyDescent="0.35">
      <c r="E69" s="17"/>
      <c r="K69" s="32" t="s">
        <v>421</v>
      </c>
      <c r="L69" s="39"/>
      <c r="N69" s="80" t="s">
        <v>663</v>
      </c>
      <c r="O69" s="80">
        <v>9514391</v>
      </c>
      <c r="P69" s="80" t="s">
        <v>662</v>
      </c>
      <c r="Q69" s="80" t="s">
        <v>292</v>
      </c>
      <c r="AM69" s="14" t="s">
        <v>279</v>
      </c>
      <c r="AN69" s="14" t="s">
        <v>709</v>
      </c>
    </row>
    <row r="70" spans="5:40" ht="15" x14ac:dyDescent="0.35">
      <c r="E70" s="17"/>
      <c r="K70" s="32" t="s">
        <v>422</v>
      </c>
      <c r="L70" s="39"/>
      <c r="N70" s="80" t="s">
        <v>740</v>
      </c>
      <c r="O70" s="81">
        <v>9793375</v>
      </c>
      <c r="P70" s="81" t="s">
        <v>739</v>
      </c>
      <c r="Q70" s="81" t="s">
        <v>945</v>
      </c>
    </row>
    <row r="71" spans="5:40" ht="15" x14ac:dyDescent="0.35">
      <c r="E71" s="17"/>
      <c r="K71" s="32" t="s">
        <v>423</v>
      </c>
      <c r="L71" s="39"/>
      <c r="N71" s="80" t="s">
        <v>742</v>
      </c>
      <c r="O71" s="81">
        <v>9793387</v>
      </c>
      <c r="P71" s="81" t="s">
        <v>741</v>
      </c>
      <c r="Q71" s="81" t="s">
        <v>946</v>
      </c>
    </row>
    <row r="72" spans="5:40" ht="15" x14ac:dyDescent="0.35">
      <c r="E72" s="17"/>
      <c r="K72" s="32" t="s">
        <v>424</v>
      </c>
      <c r="L72" s="39"/>
      <c r="N72" s="80" t="s">
        <v>665</v>
      </c>
      <c r="O72" s="80">
        <v>9552331</v>
      </c>
      <c r="P72" s="80" t="s">
        <v>664</v>
      </c>
      <c r="Q72" s="80" t="s">
        <v>926</v>
      </c>
    </row>
    <row r="73" spans="5:40" ht="15" x14ac:dyDescent="0.35">
      <c r="K73" s="32" t="s">
        <v>425</v>
      </c>
      <c r="L73" s="39"/>
      <c r="N73" s="80" t="s">
        <v>667</v>
      </c>
      <c r="O73" s="80">
        <v>9621247</v>
      </c>
      <c r="P73" s="80" t="s">
        <v>666</v>
      </c>
      <c r="Q73" s="80" t="s">
        <v>927</v>
      </c>
    </row>
    <row r="74" spans="5:40" ht="15" x14ac:dyDescent="0.35">
      <c r="K74" s="32" t="s">
        <v>426</v>
      </c>
      <c r="L74" s="39"/>
      <c r="N74" s="80" t="s">
        <v>258</v>
      </c>
      <c r="O74" s="80">
        <v>9293648</v>
      </c>
      <c r="P74" s="80" t="s">
        <v>690</v>
      </c>
      <c r="Q74" s="80" t="s">
        <v>257</v>
      </c>
    </row>
    <row r="75" spans="5:40" ht="15" x14ac:dyDescent="0.35">
      <c r="K75" s="32" t="s">
        <v>803</v>
      </c>
      <c r="L75" s="39"/>
      <c r="N75" s="80" t="s">
        <v>1081</v>
      </c>
      <c r="O75" s="80">
        <v>9894480</v>
      </c>
      <c r="P75" s="80" t="s">
        <v>1082</v>
      </c>
      <c r="Q75" s="80" t="s">
        <v>1083</v>
      </c>
    </row>
    <row r="76" spans="5:40" ht="15" x14ac:dyDescent="0.35">
      <c r="K76" s="37" t="s">
        <v>334</v>
      </c>
      <c r="L76" s="39"/>
      <c r="N76" s="80" t="s">
        <v>669</v>
      </c>
      <c r="O76" s="80">
        <v>9806768</v>
      </c>
      <c r="P76" s="80" t="s">
        <v>668</v>
      </c>
      <c r="Q76" s="80" t="s">
        <v>928</v>
      </c>
    </row>
    <row r="77" spans="5:40" ht="15" x14ac:dyDescent="0.35">
      <c r="K77" s="37" t="s">
        <v>427</v>
      </c>
      <c r="L77" s="39"/>
      <c r="N77" s="80" t="s">
        <v>744</v>
      </c>
      <c r="O77" s="81">
        <v>9771028</v>
      </c>
      <c r="P77" s="81" t="s">
        <v>907</v>
      </c>
      <c r="Q77" s="81" t="s">
        <v>952</v>
      </c>
    </row>
    <row r="78" spans="5:40" ht="15" x14ac:dyDescent="0.35">
      <c r="K78" s="37" t="s">
        <v>171</v>
      </c>
      <c r="L78" s="39"/>
      <c r="N78" s="80" t="s">
        <v>692</v>
      </c>
      <c r="O78" s="80">
        <v>9267687</v>
      </c>
      <c r="P78" s="80" t="s">
        <v>691</v>
      </c>
      <c r="Q78" s="80" t="s">
        <v>225</v>
      </c>
    </row>
    <row r="79" spans="5:40" ht="15" x14ac:dyDescent="0.35">
      <c r="K79" s="37" t="s">
        <v>428</v>
      </c>
      <c r="L79" s="39"/>
      <c r="N79" s="80" t="s">
        <v>1084</v>
      </c>
      <c r="O79" s="80">
        <v>9767467</v>
      </c>
      <c r="P79" s="80" t="s">
        <v>1085</v>
      </c>
      <c r="Q79" s="80" t="s">
        <v>1086</v>
      </c>
    </row>
    <row r="80" spans="5:40" ht="15" x14ac:dyDescent="0.35">
      <c r="K80" s="37" t="s">
        <v>429</v>
      </c>
      <c r="L80" s="39"/>
      <c r="N80" s="80" t="s">
        <v>671</v>
      </c>
      <c r="O80" s="80">
        <v>9666510</v>
      </c>
      <c r="P80" s="80" t="s">
        <v>670</v>
      </c>
      <c r="Q80" s="80" t="s">
        <v>929</v>
      </c>
    </row>
    <row r="81" spans="11:17" ht="15" x14ac:dyDescent="0.35">
      <c r="K81" s="37" t="s">
        <v>430</v>
      </c>
      <c r="L81" s="39"/>
      <c r="N81" s="80" t="s">
        <v>969</v>
      </c>
      <c r="O81" s="81">
        <v>9859181</v>
      </c>
      <c r="P81" s="81" t="s">
        <v>970</v>
      </c>
      <c r="Q81" s="81" t="s">
        <v>971</v>
      </c>
    </row>
    <row r="82" spans="11:17" ht="15" x14ac:dyDescent="0.35">
      <c r="K82" s="37" t="s">
        <v>431</v>
      </c>
      <c r="L82" s="39"/>
      <c r="N82" s="80" t="s">
        <v>673</v>
      </c>
      <c r="O82" s="80">
        <v>9748124</v>
      </c>
      <c r="P82" s="80" t="s">
        <v>672</v>
      </c>
      <c r="Q82" s="80" t="s">
        <v>930</v>
      </c>
    </row>
    <row r="83" spans="11:17" ht="15" x14ac:dyDescent="0.35">
      <c r="K83" s="37" t="s">
        <v>432</v>
      </c>
      <c r="L83" s="39"/>
      <c r="N83" s="80" t="s">
        <v>260</v>
      </c>
      <c r="O83" s="80">
        <v>9123934</v>
      </c>
      <c r="P83" s="80" t="s">
        <v>747</v>
      </c>
      <c r="Q83" s="80" t="s">
        <v>259</v>
      </c>
    </row>
    <row r="84" spans="11:17" ht="15" x14ac:dyDescent="0.35">
      <c r="K84" s="37" t="s">
        <v>433</v>
      </c>
      <c r="L84" s="39"/>
      <c r="N84" s="80" t="s">
        <v>981</v>
      </c>
      <c r="O84" s="81">
        <v>9882425</v>
      </c>
      <c r="P84" s="81" t="s">
        <v>988</v>
      </c>
      <c r="Q84" s="81" t="s">
        <v>1053</v>
      </c>
    </row>
    <row r="85" spans="11:17" ht="15" x14ac:dyDescent="0.35">
      <c r="K85" s="37" t="s">
        <v>434</v>
      </c>
      <c r="L85" s="39"/>
      <c r="N85" s="80" t="s">
        <v>977</v>
      </c>
      <c r="O85" s="81">
        <v>9882396</v>
      </c>
      <c r="P85" s="81" t="s">
        <v>984</v>
      </c>
      <c r="Q85" s="81" t="s">
        <v>1054</v>
      </c>
    </row>
    <row r="86" spans="11:17" ht="15" x14ac:dyDescent="0.35">
      <c r="K86" s="37" t="s">
        <v>435</v>
      </c>
      <c r="L86" s="39"/>
      <c r="N86" s="80" t="s">
        <v>979</v>
      </c>
      <c r="O86" s="81">
        <v>9882413</v>
      </c>
      <c r="P86" s="81" t="s">
        <v>986</v>
      </c>
      <c r="Q86" s="81" t="s">
        <v>1055</v>
      </c>
    </row>
    <row r="87" spans="11:17" ht="15" x14ac:dyDescent="0.35">
      <c r="K87" s="37" t="s">
        <v>436</v>
      </c>
      <c r="L87" s="39"/>
      <c r="N87" s="80" t="s">
        <v>978</v>
      </c>
      <c r="O87" s="81">
        <v>9882401</v>
      </c>
      <c r="P87" s="81" t="s">
        <v>985</v>
      </c>
      <c r="Q87" s="81" t="s">
        <v>1056</v>
      </c>
    </row>
    <row r="88" spans="11:17" ht="15" x14ac:dyDescent="0.35">
      <c r="K88" s="37" t="s">
        <v>437</v>
      </c>
      <c r="L88" s="39"/>
      <c r="N88" s="80" t="s">
        <v>749</v>
      </c>
      <c r="O88" s="80">
        <v>9344071</v>
      </c>
      <c r="P88" s="80" t="s">
        <v>748</v>
      </c>
      <c r="Q88" s="80" t="s">
        <v>401</v>
      </c>
    </row>
    <row r="89" spans="11:17" ht="15" x14ac:dyDescent="0.35">
      <c r="K89" s="37" t="s">
        <v>438</v>
      </c>
      <c r="L89" s="39"/>
      <c r="N89" s="80" t="s">
        <v>964</v>
      </c>
      <c r="O89" s="81">
        <v>9790361</v>
      </c>
      <c r="P89" s="81" t="s">
        <v>745</v>
      </c>
      <c r="Q89" s="81" t="s">
        <v>947</v>
      </c>
    </row>
    <row r="90" spans="11:17" ht="15" x14ac:dyDescent="0.35">
      <c r="K90" s="37" t="s">
        <v>439</v>
      </c>
      <c r="L90" s="39"/>
      <c r="N90" s="80" t="s">
        <v>963</v>
      </c>
      <c r="O90" s="81">
        <v>9790373</v>
      </c>
      <c r="P90" s="81" t="s">
        <v>746</v>
      </c>
      <c r="Q90" s="81" t="s">
        <v>948</v>
      </c>
    </row>
    <row r="91" spans="11:17" ht="15" x14ac:dyDescent="0.35">
      <c r="K91" s="37" t="s">
        <v>440</v>
      </c>
      <c r="L91" s="39"/>
      <c r="N91" s="80" t="s">
        <v>246</v>
      </c>
      <c r="O91" s="81">
        <v>9339973</v>
      </c>
      <c r="P91" s="81" t="s">
        <v>703</v>
      </c>
      <c r="Q91" s="81" t="s">
        <v>245</v>
      </c>
    </row>
    <row r="92" spans="11:17" ht="15" x14ac:dyDescent="0.35">
      <c r="K92" s="37" t="s">
        <v>441</v>
      </c>
      <c r="L92" s="39"/>
      <c r="N92" s="80" t="s">
        <v>705</v>
      </c>
      <c r="O92" s="81">
        <v>9770696</v>
      </c>
      <c r="P92" s="81" t="s">
        <v>704</v>
      </c>
      <c r="Q92" s="81" t="s">
        <v>937</v>
      </c>
    </row>
    <row r="93" spans="11:17" ht="15" x14ac:dyDescent="0.35">
      <c r="K93" s="37" t="s">
        <v>442</v>
      </c>
      <c r="L93" s="39"/>
      <c r="N93" s="80" t="s">
        <v>707</v>
      </c>
      <c r="O93" s="81">
        <v>9787754</v>
      </c>
      <c r="P93" s="81" t="s">
        <v>706</v>
      </c>
      <c r="Q93" s="81" t="s">
        <v>938</v>
      </c>
    </row>
    <row r="94" spans="11:17" ht="15" x14ac:dyDescent="0.35">
      <c r="K94" s="37" t="s">
        <v>443</v>
      </c>
      <c r="L94" s="39"/>
      <c r="N94" s="80" t="s">
        <v>244</v>
      </c>
      <c r="O94" s="81">
        <v>9311270</v>
      </c>
      <c r="P94" s="81" t="s">
        <v>708</v>
      </c>
      <c r="Q94" s="81" t="s">
        <v>243</v>
      </c>
    </row>
    <row r="95" spans="11:17" ht="15" x14ac:dyDescent="0.35">
      <c r="K95" s="37" t="s">
        <v>444</v>
      </c>
      <c r="L95" s="39"/>
      <c r="N95" s="80" t="s">
        <v>279</v>
      </c>
      <c r="O95" s="81">
        <v>9387267</v>
      </c>
      <c r="P95" s="81" t="s">
        <v>709</v>
      </c>
      <c r="Q95" s="81" t="s">
        <v>280</v>
      </c>
    </row>
    <row r="96" spans="11:17" ht="15" x14ac:dyDescent="0.35">
      <c r="K96" s="37" t="s">
        <v>445</v>
      </c>
      <c r="L96" s="39"/>
      <c r="N96" s="80" t="s">
        <v>1093</v>
      </c>
      <c r="O96" s="80">
        <v>9875226</v>
      </c>
      <c r="P96" s="80" t="s">
        <v>1091</v>
      </c>
      <c r="Q96" s="80" t="s">
        <v>1092</v>
      </c>
    </row>
    <row r="97" spans="11:17" ht="15" x14ac:dyDescent="0.35">
      <c r="K97" s="37" t="s">
        <v>446</v>
      </c>
      <c r="L97" s="39"/>
      <c r="N97" s="114" t="s">
        <v>1098</v>
      </c>
      <c r="O97" s="80">
        <v>9903140</v>
      </c>
      <c r="P97" s="14" t="s">
        <v>1100</v>
      </c>
      <c r="Q97" s="116" t="s">
        <v>1099</v>
      </c>
    </row>
    <row r="98" spans="11:17" x14ac:dyDescent="0.3">
      <c r="K98" s="37" t="s">
        <v>447</v>
      </c>
      <c r="L98" s="39"/>
    </row>
    <row r="99" spans="11:17" x14ac:dyDescent="0.3">
      <c r="K99" s="37" t="s">
        <v>448</v>
      </c>
      <c r="L99" s="39"/>
    </row>
    <row r="100" spans="11:17" x14ac:dyDescent="0.3">
      <c r="K100" s="38" t="s">
        <v>333</v>
      </c>
      <c r="L100" s="39"/>
    </row>
    <row r="101" spans="11:17" x14ac:dyDescent="0.3">
      <c r="K101" s="38" t="s">
        <v>449</v>
      </c>
      <c r="L101" s="39"/>
    </row>
    <row r="102" spans="11:17" x14ac:dyDescent="0.3">
      <c r="K102" s="38" t="s">
        <v>450</v>
      </c>
      <c r="L102" s="39"/>
    </row>
    <row r="103" spans="11:17" x14ac:dyDescent="0.3">
      <c r="K103" s="38" t="s">
        <v>451</v>
      </c>
      <c r="L103" s="39"/>
    </row>
    <row r="104" spans="11:17" x14ac:dyDescent="0.3">
      <c r="K104" s="38" t="s">
        <v>452</v>
      </c>
      <c r="L104" s="39"/>
    </row>
    <row r="105" spans="11:17" x14ac:dyDescent="0.3">
      <c r="K105" s="38" t="s">
        <v>453</v>
      </c>
      <c r="L105" s="39"/>
    </row>
    <row r="106" spans="11:17" x14ac:dyDescent="0.3">
      <c r="K106" s="38" t="s">
        <v>454</v>
      </c>
      <c r="L106" s="39"/>
    </row>
    <row r="107" spans="11:17" x14ac:dyDescent="0.3">
      <c r="K107" s="38" t="s">
        <v>455</v>
      </c>
      <c r="L107" s="39"/>
    </row>
    <row r="108" spans="11:17" x14ac:dyDescent="0.3">
      <c r="K108" s="38" t="s">
        <v>456</v>
      </c>
      <c r="L108" s="39"/>
    </row>
    <row r="109" spans="11:17" x14ac:dyDescent="0.3">
      <c r="K109" s="38" t="s">
        <v>457</v>
      </c>
      <c r="L109" s="39"/>
    </row>
    <row r="110" spans="11:17" x14ac:dyDescent="0.3">
      <c r="K110" s="38" t="s">
        <v>458</v>
      </c>
      <c r="L110" s="39"/>
    </row>
    <row r="111" spans="11:17" x14ac:dyDescent="0.3">
      <c r="K111" s="38" t="s">
        <v>459</v>
      </c>
      <c r="L111" s="39"/>
    </row>
    <row r="112" spans="11:17" x14ac:dyDescent="0.3">
      <c r="K112" s="38" t="s">
        <v>460</v>
      </c>
      <c r="L112" s="39"/>
    </row>
    <row r="113" spans="11:12" x14ac:dyDescent="0.3">
      <c r="K113" s="38" t="s">
        <v>461</v>
      </c>
      <c r="L113" s="39"/>
    </row>
    <row r="114" spans="11:12" x14ac:dyDescent="0.3">
      <c r="K114" s="38" t="s">
        <v>462</v>
      </c>
      <c r="L114" s="39"/>
    </row>
    <row r="115" spans="11:12" x14ac:dyDescent="0.3">
      <c r="K115" s="38" t="s">
        <v>463</v>
      </c>
      <c r="L115" s="39"/>
    </row>
    <row r="116" spans="11:12" x14ac:dyDescent="0.3">
      <c r="K116" s="38" t="s">
        <v>464</v>
      </c>
      <c r="L116" s="39"/>
    </row>
    <row r="117" spans="11:12" x14ac:dyDescent="0.3">
      <c r="K117" s="38" t="s">
        <v>465</v>
      </c>
      <c r="L117" s="39"/>
    </row>
    <row r="118" spans="11:12" x14ac:dyDescent="0.3">
      <c r="K118" s="38" t="s">
        <v>466</v>
      </c>
      <c r="L118" s="39"/>
    </row>
    <row r="119" spans="11:12" x14ac:dyDescent="0.3">
      <c r="K119" s="38" t="s">
        <v>467</v>
      </c>
      <c r="L119" s="39"/>
    </row>
    <row r="120" spans="11:12" x14ac:dyDescent="0.3">
      <c r="K120" s="38" t="s">
        <v>468</v>
      </c>
      <c r="L120" s="39"/>
    </row>
    <row r="121" spans="11:12" x14ac:dyDescent="0.3">
      <c r="K121" s="38" t="s">
        <v>469</v>
      </c>
      <c r="L121" s="39"/>
    </row>
    <row r="122" spans="11:12" x14ac:dyDescent="0.3">
      <c r="K122" s="38" t="s">
        <v>470</v>
      </c>
      <c r="L122" s="39"/>
    </row>
    <row r="123" spans="11:12" x14ac:dyDescent="0.3">
      <c r="K123" s="38" t="s">
        <v>471</v>
      </c>
      <c r="L123" s="39"/>
    </row>
    <row r="124" spans="11:12" x14ac:dyDescent="0.3">
      <c r="K124" s="40" t="s">
        <v>53</v>
      </c>
      <c r="L124" s="39"/>
    </row>
    <row r="125" spans="11:12" x14ac:dyDescent="0.3">
      <c r="K125" s="41" t="s">
        <v>54</v>
      </c>
      <c r="L125" s="39"/>
    </row>
    <row r="126" spans="11:12" x14ac:dyDescent="0.3">
      <c r="K126" s="41" t="s">
        <v>55</v>
      </c>
      <c r="L126" s="39"/>
    </row>
    <row r="127" spans="11:12" x14ac:dyDescent="0.3">
      <c r="K127" s="41" t="s">
        <v>56</v>
      </c>
      <c r="L127" s="39"/>
    </row>
    <row r="128" spans="11:12" x14ac:dyDescent="0.3">
      <c r="K128" s="41" t="s">
        <v>57</v>
      </c>
      <c r="L128" s="39"/>
    </row>
    <row r="129" spans="11:12" x14ac:dyDescent="0.3">
      <c r="K129" s="41" t="s">
        <v>58</v>
      </c>
      <c r="L129" s="39"/>
    </row>
    <row r="130" spans="11:12" x14ac:dyDescent="0.3">
      <c r="K130" s="42" t="s">
        <v>59</v>
      </c>
      <c r="L130" s="39"/>
    </row>
    <row r="131" spans="11:12" x14ac:dyDescent="0.3">
      <c r="K131" s="40" t="s">
        <v>172</v>
      </c>
      <c r="L131" s="39"/>
    </row>
    <row r="132" spans="11:12" x14ac:dyDescent="0.3">
      <c r="K132" s="41" t="s">
        <v>173</v>
      </c>
      <c r="L132" s="39"/>
    </row>
    <row r="133" spans="11:12" x14ac:dyDescent="0.3">
      <c r="K133" s="41" t="s">
        <v>60</v>
      </c>
      <c r="L133" s="39"/>
    </row>
    <row r="134" spans="11:12" x14ac:dyDescent="0.3">
      <c r="K134" s="41" t="s">
        <v>61</v>
      </c>
      <c r="L134" s="39"/>
    </row>
    <row r="135" spans="11:12" x14ac:dyDescent="0.3">
      <c r="K135" s="41" t="s">
        <v>62</v>
      </c>
      <c r="L135" s="39"/>
    </row>
    <row r="136" spans="11:12" x14ac:dyDescent="0.3">
      <c r="K136" s="41" t="s">
        <v>63</v>
      </c>
      <c r="L136" s="39"/>
    </row>
    <row r="137" spans="11:12" x14ac:dyDescent="0.3">
      <c r="K137" s="42" t="s">
        <v>64</v>
      </c>
      <c r="L137" s="39"/>
    </row>
    <row r="138" spans="11:12" x14ac:dyDescent="0.3">
      <c r="K138" s="40" t="s">
        <v>174</v>
      </c>
      <c r="L138" s="39"/>
    </row>
    <row r="139" spans="11:12" x14ac:dyDescent="0.3">
      <c r="K139" s="41" t="s">
        <v>65</v>
      </c>
      <c r="L139" s="39"/>
    </row>
    <row r="140" spans="11:12" x14ac:dyDescent="0.3">
      <c r="K140" s="41" t="s">
        <v>66</v>
      </c>
      <c r="L140" s="39"/>
    </row>
    <row r="141" spans="11:12" x14ac:dyDescent="0.3">
      <c r="K141" s="41" t="s">
        <v>67</v>
      </c>
      <c r="L141" s="39"/>
    </row>
    <row r="142" spans="11:12" x14ac:dyDescent="0.3">
      <c r="K142" s="41" t="s">
        <v>68</v>
      </c>
      <c r="L142" s="39"/>
    </row>
    <row r="143" spans="11:12" x14ac:dyDescent="0.3">
      <c r="K143" s="41" t="s">
        <v>69</v>
      </c>
      <c r="L143" s="39"/>
    </row>
    <row r="144" spans="11:12" x14ac:dyDescent="0.3">
      <c r="K144" s="41" t="s">
        <v>175</v>
      </c>
      <c r="L144" s="39"/>
    </row>
    <row r="145" spans="11:12" x14ac:dyDescent="0.3">
      <c r="K145" s="41" t="s">
        <v>70</v>
      </c>
      <c r="L145" s="39"/>
    </row>
    <row r="146" spans="11:12" x14ac:dyDescent="0.3">
      <c r="K146" s="41" t="s">
        <v>71</v>
      </c>
      <c r="L146" s="39"/>
    </row>
    <row r="147" spans="11:12" x14ac:dyDescent="0.3">
      <c r="K147" s="42" t="s">
        <v>176</v>
      </c>
      <c r="L147" s="39"/>
    </row>
    <row r="148" spans="11:12" x14ac:dyDescent="0.3">
      <c r="K148" s="40" t="s">
        <v>72</v>
      </c>
      <c r="L148" s="39"/>
    </row>
    <row r="149" spans="11:12" x14ac:dyDescent="0.3">
      <c r="K149" s="41" t="s">
        <v>73</v>
      </c>
      <c r="L149" s="39"/>
    </row>
    <row r="150" spans="11:12" x14ac:dyDescent="0.3">
      <c r="K150" s="41" t="s">
        <v>74</v>
      </c>
      <c r="L150" s="39"/>
    </row>
    <row r="151" spans="11:12" x14ac:dyDescent="0.3">
      <c r="K151" s="41" t="s">
        <v>75</v>
      </c>
      <c r="L151" s="39"/>
    </row>
    <row r="152" spans="11:12" x14ac:dyDescent="0.3">
      <c r="K152" s="42" t="s">
        <v>76</v>
      </c>
      <c r="L152" s="39"/>
    </row>
    <row r="153" spans="11:12" x14ac:dyDescent="0.3">
      <c r="K153" s="40" t="s">
        <v>77</v>
      </c>
      <c r="L153" s="39"/>
    </row>
    <row r="154" spans="11:12" x14ac:dyDescent="0.3">
      <c r="K154" s="41" t="s">
        <v>78</v>
      </c>
      <c r="L154" s="39"/>
    </row>
    <row r="155" spans="11:12" x14ac:dyDescent="0.3">
      <c r="K155" s="42" t="s">
        <v>79</v>
      </c>
      <c r="L155" s="39"/>
    </row>
    <row r="156" spans="11:12" x14ac:dyDescent="0.3">
      <c r="K156" s="43" t="s">
        <v>80</v>
      </c>
      <c r="L156" s="39"/>
    </row>
    <row r="157" spans="11:12" x14ac:dyDescent="0.3">
      <c r="K157" s="43" t="s">
        <v>81</v>
      </c>
      <c r="L157" s="39"/>
    </row>
    <row r="158" spans="11:12" x14ac:dyDescent="0.3">
      <c r="K158" s="43" t="s">
        <v>177</v>
      </c>
      <c r="L158" s="39"/>
    </row>
    <row r="159" spans="11:12" x14ac:dyDescent="0.3">
      <c r="K159" s="43" t="s">
        <v>82</v>
      </c>
      <c r="L159" s="39"/>
    </row>
    <row r="160" spans="11:12" x14ac:dyDescent="0.3">
      <c r="K160" s="43" t="s">
        <v>83</v>
      </c>
      <c r="L160" s="39"/>
    </row>
    <row r="161" spans="11:12" x14ac:dyDescent="0.3">
      <c r="K161" s="40" t="s">
        <v>84</v>
      </c>
      <c r="L161" s="39"/>
    </row>
    <row r="162" spans="11:12" x14ac:dyDescent="0.3">
      <c r="K162" s="41" t="s">
        <v>85</v>
      </c>
      <c r="L162" s="39"/>
    </row>
    <row r="163" spans="11:12" x14ac:dyDescent="0.3">
      <c r="K163" s="41" t="s">
        <v>86</v>
      </c>
      <c r="L163" s="39"/>
    </row>
    <row r="164" spans="11:12" x14ac:dyDescent="0.3">
      <c r="K164" s="41" t="s">
        <v>87</v>
      </c>
      <c r="L164" s="39"/>
    </row>
    <row r="165" spans="11:12" x14ac:dyDescent="0.3">
      <c r="K165" s="41" t="s">
        <v>88</v>
      </c>
      <c r="L165" s="39"/>
    </row>
    <row r="166" spans="11:12" x14ac:dyDescent="0.3">
      <c r="K166" s="41" t="s">
        <v>89</v>
      </c>
      <c r="L166" s="39"/>
    </row>
    <row r="167" spans="11:12" x14ac:dyDescent="0.3">
      <c r="K167" s="41" t="s">
        <v>90</v>
      </c>
      <c r="L167" s="39"/>
    </row>
    <row r="168" spans="11:12" x14ac:dyDescent="0.3">
      <c r="K168" s="41" t="s">
        <v>91</v>
      </c>
      <c r="L168" s="39"/>
    </row>
    <row r="169" spans="11:12" x14ac:dyDescent="0.3">
      <c r="K169" s="41" t="s">
        <v>92</v>
      </c>
      <c r="L169" s="39"/>
    </row>
    <row r="170" spans="11:12" x14ac:dyDescent="0.3">
      <c r="K170" s="41" t="s">
        <v>93</v>
      </c>
      <c r="L170" s="39"/>
    </row>
    <row r="171" spans="11:12" x14ac:dyDescent="0.3">
      <c r="K171" s="41" t="s">
        <v>94</v>
      </c>
      <c r="L171" s="39"/>
    </row>
    <row r="172" spans="11:12" x14ac:dyDescent="0.3">
      <c r="K172" s="41" t="s">
        <v>95</v>
      </c>
      <c r="L172" s="39"/>
    </row>
    <row r="173" spans="11:12" x14ac:dyDescent="0.3">
      <c r="K173" s="41" t="s">
        <v>96</v>
      </c>
      <c r="L173" s="39"/>
    </row>
    <row r="174" spans="11:12" x14ac:dyDescent="0.3">
      <c r="K174" s="41" t="s">
        <v>97</v>
      </c>
      <c r="L174" s="39"/>
    </row>
    <row r="175" spans="11:12" x14ac:dyDescent="0.3">
      <c r="K175" s="41" t="s">
        <v>98</v>
      </c>
      <c r="L175" s="39"/>
    </row>
    <row r="176" spans="11:12" x14ac:dyDescent="0.3">
      <c r="K176" s="41" t="s">
        <v>178</v>
      </c>
      <c r="L176" s="39"/>
    </row>
    <row r="177" spans="11:12" x14ac:dyDescent="0.3">
      <c r="K177" s="41" t="s">
        <v>99</v>
      </c>
      <c r="L177" s="39"/>
    </row>
    <row r="178" spans="11:12" x14ac:dyDescent="0.3">
      <c r="K178" s="42" t="s">
        <v>100</v>
      </c>
      <c r="L178" s="39"/>
    </row>
    <row r="179" spans="11:12" x14ac:dyDescent="0.3">
      <c r="K179" s="40" t="s">
        <v>101</v>
      </c>
      <c r="L179" s="39"/>
    </row>
    <row r="180" spans="11:12" x14ac:dyDescent="0.3">
      <c r="K180" s="41" t="s">
        <v>102</v>
      </c>
      <c r="L180" s="39"/>
    </row>
    <row r="181" spans="11:12" x14ac:dyDescent="0.3">
      <c r="K181" s="41" t="s">
        <v>103</v>
      </c>
      <c r="L181" s="39"/>
    </row>
    <row r="182" spans="11:12" x14ac:dyDescent="0.3">
      <c r="K182" s="41" t="s">
        <v>104</v>
      </c>
      <c r="L182" s="39"/>
    </row>
    <row r="183" spans="11:12" x14ac:dyDescent="0.3">
      <c r="K183" s="41" t="s">
        <v>105</v>
      </c>
      <c r="L183" s="39"/>
    </row>
    <row r="184" spans="11:12" x14ac:dyDescent="0.3">
      <c r="K184" s="41" t="s">
        <v>106</v>
      </c>
    </row>
    <row r="185" spans="11:12" x14ac:dyDescent="0.3">
      <c r="K185" s="41" t="s">
        <v>107</v>
      </c>
    </row>
    <row r="186" spans="11:12" x14ac:dyDescent="0.3">
      <c r="K186" s="41" t="s">
        <v>108</v>
      </c>
    </row>
    <row r="187" spans="11:12" x14ac:dyDescent="0.3">
      <c r="K187" s="41" t="s">
        <v>109</v>
      </c>
    </row>
    <row r="188" spans="11:12" x14ac:dyDescent="0.3">
      <c r="K188" s="41" t="s">
        <v>110</v>
      </c>
    </row>
    <row r="189" spans="11:12" x14ac:dyDescent="0.3">
      <c r="K189" s="41" t="s">
        <v>111</v>
      </c>
    </row>
    <row r="190" spans="11:12" x14ac:dyDescent="0.3">
      <c r="K190" s="41" t="s">
        <v>112</v>
      </c>
    </row>
    <row r="191" spans="11:12" x14ac:dyDescent="0.3">
      <c r="K191" s="41" t="s">
        <v>113</v>
      </c>
    </row>
    <row r="192" spans="11:12" x14ac:dyDescent="0.3">
      <c r="K192" s="41" t="s">
        <v>179</v>
      </c>
    </row>
    <row r="193" spans="11:11" x14ac:dyDescent="0.3">
      <c r="K193" s="42" t="s">
        <v>114</v>
      </c>
    </row>
    <row r="194" spans="11:11" x14ac:dyDescent="0.3">
      <c r="K194" s="40" t="s">
        <v>115</v>
      </c>
    </row>
    <row r="195" spans="11:11" x14ac:dyDescent="0.3">
      <c r="K195" s="41" t="s">
        <v>116</v>
      </c>
    </row>
    <row r="196" spans="11:11" x14ac:dyDescent="0.3">
      <c r="K196" s="41" t="s">
        <v>117</v>
      </c>
    </row>
    <row r="197" spans="11:11" x14ac:dyDescent="0.3">
      <c r="K197" s="41" t="s">
        <v>118</v>
      </c>
    </row>
    <row r="198" spans="11:11" x14ac:dyDescent="0.3">
      <c r="K198" s="41" t="s">
        <v>119</v>
      </c>
    </row>
    <row r="199" spans="11:11" x14ac:dyDescent="0.3">
      <c r="K199" s="41" t="s">
        <v>120</v>
      </c>
    </row>
    <row r="200" spans="11:11" x14ac:dyDescent="0.3">
      <c r="K200" s="42" t="s">
        <v>121</v>
      </c>
    </row>
    <row r="201" spans="11:11" x14ac:dyDescent="0.3">
      <c r="K201" s="40" t="s">
        <v>122</v>
      </c>
    </row>
    <row r="202" spans="11:11" x14ac:dyDescent="0.3">
      <c r="K202" s="41" t="s">
        <v>123</v>
      </c>
    </row>
    <row r="203" spans="11:11" x14ac:dyDescent="0.3">
      <c r="K203" s="41" t="s">
        <v>124</v>
      </c>
    </row>
    <row r="204" spans="11:11" x14ac:dyDescent="0.3">
      <c r="K204" s="41" t="s">
        <v>125</v>
      </c>
    </row>
    <row r="205" spans="11:11" x14ac:dyDescent="0.3">
      <c r="K205" s="41" t="s">
        <v>180</v>
      </c>
    </row>
    <row r="206" spans="11:11" x14ac:dyDescent="0.3">
      <c r="K206" s="41" t="s">
        <v>126</v>
      </c>
    </row>
    <row r="207" spans="11:11" x14ac:dyDescent="0.3">
      <c r="K207" s="41" t="s">
        <v>181</v>
      </c>
    </row>
    <row r="208" spans="11:11" x14ac:dyDescent="0.3">
      <c r="K208" s="41" t="s">
        <v>182</v>
      </c>
    </row>
    <row r="209" spans="11:11" x14ac:dyDescent="0.3">
      <c r="K209" s="41" t="s">
        <v>183</v>
      </c>
    </row>
    <row r="210" spans="11:11" x14ac:dyDescent="0.3">
      <c r="K210" s="41" t="s">
        <v>127</v>
      </c>
    </row>
    <row r="211" spans="11:11" x14ac:dyDescent="0.3">
      <c r="K211" s="41" t="s">
        <v>184</v>
      </c>
    </row>
    <row r="212" spans="11:11" x14ac:dyDescent="0.3">
      <c r="K212" s="41" t="s">
        <v>128</v>
      </c>
    </row>
    <row r="213" spans="11:11" x14ac:dyDescent="0.3">
      <c r="K213" s="41" t="s">
        <v>185</v>
      </c>
    </row>
    <row r="214" spans="11:11" x14ac:dyDescent="0.3">
      <c r="K214" s="41" t="s">
        <v>129</v>
      </c>
    </row>
    <row r="215" spans="11:11" x14ac:dyDescent="0.3">
      <c r="K215" s="41" t="s">
        <v>130</v>
      </c>
    </row>
    <row r="216" spans="11:11" x14ac:dyDescent="0.3">
      <c r="K216" s="41" t="s">
        <v>131</v>
      </c>
    </row>
    <row r="217" spans="11:11" x14ac:dyDescent="0.3">
      <c r="K217" s="41" t="s">
        <v>132</v>
      </c>
    </row>
    <row r="218" spans="11:11" x14ac:dyDescent="0.3">
      <c r="K218" s="41" t="s">
        <v>186</v>
      </c>
    </row>
    <row r="219" spans="11:11" x14ac:dyDescent="0.3">
      <c r="K219" s="41" t="s">
        <v>187</v>
      </c>
    </row>
    <row r="220" spans="11:11" x14ac:dyDescent="0.3">
      <c r="K220" s="41" t="s">
        <v>133</v>
      </c>
    </row>
    <row r="221" spans="11:11" x14ac:dyDescent="0.3">
      <c r="K221" s="42" t="s">
        <v>188</v>
      </c>
    </row>
    <row r="222" spans="11:11" x14ac:dyDescent="0.3">
      <c r="K222" s="40" t="s">
        <v>134</v>
      </c>
    </row>
    <row r="223" spans="11:11" x14ac:dyDescent="0.3">
      <c r="K223" s="41" t="s">
        <v>135</v>
      </c>
    </row>
    <row r="224" spans="11:11" x14ac:dyDescent="0.3">
      <c r="K224" s="41" t="s">
        <v>136</v>
      </c>
    </row>
    <row r="225" spans="11:11" x14ac:dyDescent="0.3">
      <c r="K225" s="41" t="s">
        <v>137</v>
      </c>
    </row>
    <row r="226" spans="11:11" x14ac:dyDescent="0.3">
      <c r="K226" s="41" t="s">
        <v>138</v>
      </c>
    </row>
    <row r="227" spans="11:11" x14ac:dyDescent="0.3">
      <c r="K227" s="41" t="s">
        <v>139</v>
      </c>
    </row>
    <row r="228" spans="11:11" x14ac:dyDescent="0.3">
      <c r="K228" s="41" t="s">
        <v>140</v>
      </c>
    </row>
    <row r="229" spans="11:11" x14ac:dyDescent="0.3">
      <c r="K229" s="42" t="s">
        <v>141</v>
      </c>
    </row>
    <row r="230" spans="11:11" x14ac:dyDescent="0.3">
      <c r="K230" s="43" t="s">
        <v>142</v>
      </c>
    </row>
    <row r="231" spans="11:11" x14ac:dyDescent="0.3">
      <c r="K231" s="43" t="s">
        <v>143</v>
      </c>
    </row>
    <row r="232" spans="11:11" x14ac:dyDescent="0.3">
      <c r="K232" s="40" t="s">
        <v>144</v>
      </c>
    </row>
    <row r="233" spans="11:11" x14ac:dyDescent="0.3">
      <c r="K233" s="41" t="s">
        <v>145</v>
      </c>
    </row>
    <row r="234" spans="11:11" x14ac:dyDescent="0.3">
      <c r="K234" s="41" t="s">
        <v>146</v>
      </c>
    </row>
    <row r="235" spans="11:11" x14ac:dyDescent="0.3">
      <c r="K235" s="41" t="s">
        <v>147</v>
      </c>
    </row>
    <row r="236" spans="11:11" x14ac:dyDescent="0.3">
      <c r="K236" s="41" t="s">
        <v>148</v>
      </c>
    </row>
    <row r="237" spans="11:11" x14ac:dyDescent="0.3">
      <c r="K237" s="41" t="s">
        <v>189</v>
      </c>
    </row>
    <row r="238" spans="11:11" x14ac:dyDescent="0.3">
      <c r="K238" s="41" t="s">
        <v>149</v>
      </c>
    </row>
    <row r="239" spans="11:11" x14ac:dyDescent="0.3">
      <c r="K239" s="42" t="s">
        <v>150</v>
      </c>
    </row>
    <row r="240" spans="11:11" x14ac:dyDescent="0.3">
      <c r="K240" s="40" t="s">
        <v>151</v>
      </c>
    </row>
    <row r="241" spans="11:11" x14ac:dyDescent="0.3">
      <c r="K241" s="41" t="s">
        <v>152</v>
      </c>
    </row>
    <row r="242" spans="11:11" x14ac:dyDescent="0.3">
      <c r="K242" s="41" t="s">
        <v>153</v>
      </c>
    </row>
    <row r="243" spans="11:11" x14ac:dyDescent="0.3">
      <c r="K243" s="41" t="s">
        <v>154</v>
      </c>
    </row>
    <row r="244" spans="11:11" x14ac:dyDescent="0.3">
      <c r="K244" s="41" t="s">
        <v>155</v>
      </c>
    </row>
    <row r="245" spans="11:11" x14ac:dyDescent="0.3">
      <c r="K245" s="41" t="s">
        <v>156</v>
      </c>
    </row>
    <row r="246" spans="11:11" x14ac:dyDescent="0.3">
      <c r="K246" s="41" t="s">
        <v>328</v>
      </c>
    </row>
    <row r="247" spans="11:11" x14ac:dyDescent="0.3">
      <c r="K247" s="41" t="s">
        <v>329</v>
      </c>
    </row>
    <row r="248" spans="11:11" x14ac:dyDescent="0.3">
      <c r="K248" s="41" t="s">
        <v>330</v>
      </c>
    </row>
    <row r="249" spans="11:11" x14ac:dyDescent="0.3">
      <c r="K249" s="41" t="s">
        <v>331</v>
      </c>
    </row>
    <row r="250" spans="11:11" x14ac:dyDescent="0.3">
      <c r="K250" s="42" t="s">
        <v>332</v>
      </c>
    </row>
    <row r="251" spans="11:11" x14ac:dyDescent="0.3">
      <c r="K251" s="40" t="s">
        <v>157</v>
      </c>
    </row>
    <row r="252" spans="11:11" x14ac:dyDescent="0.3">
      <c r="K252" s="41" t="s">
        <v>158</v>
      </c>
    </row>
    <row r="253" spans="11:11" x14ac:dyDescent="0.3">
      <c r="K253" s="41" t="s">
        <v>159</v>
      </c>
    </row>
    <row r="254" spans="11:11" x14ac:dyDescent="0.3">
      <c r="K254" s="41" t="s">
        <v>160</v>
      </c>
    </row>
    <row r="255" spans="11:11" x14ac:dyDescent="0.3">
      <c r="K255" s="41" t="s">
        <v>161</v>
      </c>
    </row>
    <row r="256" spans="11:11" x14ac:dyDescent="0.3">
      <c r="K256" s="42" t="s">
        <v>162</v>
      </c>
    </row>
    <row r="257" spans="11:11" x14ac:dyDescent="0.3">
      <c r="K257" s="40" t="s">
        <v>190</v>
      </c>
    </row>
    <row r="258" spans="11:11" x14ac:dyDescent="0.3">
      <c r="K258" s="41" t="s">
        <v>163</v>
      </c>
    </row>
    <row r="259" spans="11:11" x14ac:dyDescent="0.3">
      <c r="K259" s="41" t="s">
        <v>164</v>
      </c>
    </row>
    <row r="260" spans="11:11" x14ac:dyDescent="0.3">
      <c r="K260" s="42" t="s">
        <v>165</v>
      </c>
    </row>
    <row r="261" spans="11:11" x14ac:dyDescent="0.3">
      <c r="K261" s="40" t="s">
        <v>191</v>
      </c>
    </row>
    <row r="262" spans="11:11" x14ac:dyDescent="0.3">
      <c r="K262" s="42" t="s">
        <v>166</v>
      </c>
    </row>
    <row r="263" spans="11:11" x14ac:dyDescent="0.3">
      <c r="K263" s="101" t="s">
        <v>967</v>
      </c>
    </row>
    <row r="264" spans="11:11" x14ac:dyDescent="0.3">
      <c r="K264" s="44" t="s">
        <v>472</v>
      </c>
    </row>
    <row r="265" spans="11:11" x14ac:dyDescent="0.3">
      <c r="K265" s="44" t="s">
        <v>473</v>
      </c>
    </row>
    <row r="266" spans="11:11" x14ac:dyDescent="0.3">
      <c r="K266" s="44" t="s">
        <v>474</v>
      </c>
    </row>
    <row r="267" spans="11:11" x14ac:dyDescent="0.3">
      <c r="K267" s="44" t="s">
        <v>475</v>
      </c>
    </row>
    <row r="268" spans="11:11" x14ac:dyDescent="0.3">
      <c r="K268" s="40" t="s">
        <v>476</v>
      </c>
    </row>
    <row r="269" spans="11:11" x14ac:dyDescent="0.3">
      <c r="K269" s="44" t="s">
        <v>477</v>
      </c>
    </row>
    <row r="270" spans="11:11" x14ac:dyDescent="0.3">
      <c r="K270" s="44" t="s">
        <v>478</v>
      </c>
    </row>
    <row r="271" spans="11:11" x14ac:dyDescent="0.3">
      <c r="K271" s="44" t="s">
        <v>479</v>
      </c>
    </row>
    <row r="272" spans="11:11" x14ac:dyDescent="0.3">
      <c r="K272" s="44" t="s">
        <v>480</v>
      </c>
    </row>
  </sheetData>
  <sortState xmlns:xlrd2="http://schemas.microsoft.com/office/spreadsheetml/2017/richdata2" ref="AQ2:AS41">
    <sortCondition ref="AQ2:AQ41"/>
  </sortState>
  <phoneticPr fontId="3"/>
  <conditionalFormatting sqref="N5:N50">
    <cfRule type="duplicateValues" dxfId="6" priority="22"/>
  </conditionalFormatting>
  <conditionalFormatting sqref="N51:Q96">
    <cfRule type="duplicateValues" dxfId="5" priority="2"/>
  </conditionalFormatting>
  <conditionalFormatting sqref="O97">
    <cfRule type="duplicateValues" dxfId="4" priority="1"/>
  </conditionalFormatting>
  <hyperlinks>
    <hyperlink ref="BA2" r:id="rId1" xr:uid="{00000000-0004-0000-0400-000000000000}"/>
    <hyperlink ref="BA3" r:id="rId2" xr:uid="{4CFFECBA-F5AB-4A6F-90F9-C3F14ECAF091}"/>
  </hyperlinks>
  <pageMargins left="0.75" right="0.75" top="1" bottom="1" header="0.51200000000000001" footer="0.51200000000000001"/>
  <pageSetup paperSize="9" orientation="portrait" r:id="rId3"/>
  <headerFooter alignWithMargins="0"/>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C4"/>
  <sheetViews>
    <sheetView workbookViewId="0">
      <selection activeCell="C20" sqref="C20"/>
    </sheetView>
  </sheetViews>
  <sheetFormatPr defaultColWidth="9" defaultRowHeight="14" x14ac:dyDescent="0.35"/>
  <cols>
    <col min="1" max="1" width="5.453125" style="112" customWidth="1"/>
    <col min="2" max="2" width="6.08984375" style="112" bestFit="1" customWidth="1"/>
    <col min="3" max="3" width="89.08984375" style="112" bestFit="1" customWidth="1"/>
    <col min="4" max="16384" width="9" style="112"/>
  </cols>
  <sheetData>
    <row r="1" spans="2:3" x14ac:dyDescent="0.35">
      <c r="B1" s="112" t="s">
        <v>510</v>
      </c>
      <c r="C1" s="112" t="s">
        <v>511</v>
      </c>
    </row>
    <row r="2" spans="2:3" x14ac:dyDescent="0.35">
      <c r="C2" s="112" t="s">
        <v>567</v>
      </c>
    </row>
    <row r="3" spans="2:3" x14ac:dyDescent="0.35">
      <c r="C3" s="112" t="s">
        <v>569</v>
      </c>
    </row>
    <row r="4" spans="2:3" x14ac:dyDescent="0.35">
      <c r="B4" s="112" t="s">
        <v>1067</v>
      </c>
      <c r="C4" s="112" t="s">
        <v>1068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B5ADEF623609343A95B77611D72174E" ma:contentTypeVersion="13" ma:contentTypeDescription="Create a new document." ma:contentTypeScope="" ma:versionID="d026dd3cb2a6f0e524b72c05948a4d1b">
  <xsd:schema xmlns:xsd="http://www.w3.org/2001/XMLSchema" xmlns:xs="http://www.w3.org/2001/XMLSchema" xmlns:p="http://schemas.microsoft.com/office/2006/metadata/properties" xmlns:ns2="ca9ae2f1-2f71-4efd-9b89-8a5ee18bab67" xmlns:ns3="88ba725a-4900-4775-9b4b-a37cb0540096" targetNamespace="http://schemas.microsoft.com/office/2006/metadata/properties" ma:root="true" ma:fieldsID="fa3d3ec87b1aef1fc33323c15f2feb19" ns2:_="" ns3:_="">
    <xsd:import namespace="ca9ae2f1-2f71-4efd-9b89-8a5ee18bab67"/>
    <xsd:import namespace="88ba725a-4900-4775-9b4b-a37cb054009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9ae2f1-2f71-4efd-9b89-8a5ee18bab6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8ba725a-4900-4775-9b4b-a37cb054009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2157E39-E796-4D19-A734-BD0A23FF56A7}">
  <ds:schemaRefs>
    <ds:schemaRef ds:uri="http://schemas.microsoft.com/DataMashup"/>
  </ds:schemaRefs>
</ds:datastoreItem>
</file>

<file path=customXml/itemProps2.xml><?xml version="1.0" encoding="utf-8"?>
<ds:datastoreItem xmlns:ds="http://schemas.openxmlformats.org/officeDocument/2006/customXml" ds:itemID="{129CE3DD-6303-4AE8-981C-2E5FE0B1B5FE}">
  <ds:schemaRef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88ba725a-4900-4775-9b4b-a37cb0540096"/>
    <ds:schemaRef ds:uri="ca9ae2f1-2f71-4efd-9b89-8a5ee18bab67"/>
    <ds:schemaRef ds:uri="http://purl.org/dc/terms/"/>
    <ds:schemaRef ds:uri="http://www.w3.org/XML/1998/namespace"/>
    <ds:schemaRef ds:uri="http://purl.org/dc/dcmitype/"/>
  </ds:schemaRefs>
</ds:datastoreItem>
</file>

<file path=customXml/itemProps3.xml><?xml version="1.0" encoding="utf-8"?>
<ds:datastoreItem xmlns:ds="http://schemas.openxmlformats.org/officeDocument/2006/customXml" ds:itemID="{506C6ECC-533E-483B-9D92-B14E59FC46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a9ae2f1-2f71-4efd-9b89-8a5ee18bab67"/>
    <ds:schemaRef ds:uri="88ba725a-4900-4775-9b4b-a37cb05400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1CC0C689-C85F-4CA1-B001-5F6BFCAAB9D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88</vt:i4>
      </vt:variant>
    </vt:vector>
  </HeadingPairs>
  <TitlesOfParts>
    <vt:vector size="94" baseType="lpstr">
      <vt:lpstr>Instructions</vt:lpstr>
      <vt:lpstr>DRSEND</vt:lpstr>
      <vt:lpstr>csv</vt:lpstr>
      <vt:lpstr>Severity Matrix</vt:lpstr>
      <vt:lpstr>ListInfo</vt:lpstr>
      <vt:lpstr>Changelog</vt:lpstr>
      <vt:lpstr>ACC</vt:lpstr>
      <vt:lpstr>AEQ</vt:lpstr>
      <vt:lpstr>ahoge</vt:lpstr>
      <vt:lpstr>amoge</vt:lpstr>
      <vt:lpstr>batPath</vt:lpstr>
      <vt:lpstr>bhoge</vt:lpstr>
      <vt:lpstr>BLR</vt:lpstr>
      <vt:lpstr>bmoge</vt:lpstr>
      <vt:lpstr>choge</vt:lpstr>
      <vt:lpstr>CLS</vt:lpstr>
      <vt:lpstr>cmoge</vt:lpstr>
      <vt:lpstr>copyline</vt:lpstr>
      <vt:lpstr>CRG</vt:lpstr>
      <vt:lpstr>CRT</vt:lpstr>
      <vt:lpstr>csvSavePath</vt:lpstr>
      <vt:lpstr>DCK</vt:lpstr>
      <vt:lpstr>DCR</vt:lpstr>
      <vt:lpstr>Deatail4</vt:lpstr>
      <vt:lpstr>DefCode1</vt:lpstr>
      <vt:lpstr>DefCode2</vt:lpstr>
      <vt:lpstr>DefCode3</vt:lpstr>
      <vt:lpstr>DefCode4</vt:lpstr>
      <vt:lpstr>DefCode5</vt:lpstr>
      <vt:lpstr>DefCode6</vt:lpstr>
      <vt:lpstr>DefCode7</vt:lpstr>
      <vt:lpstr>Detail1</vt:lpstr>
      <vt:lpstr>Detail2</vt:lpstr>
      <vt:lpstr>Detail3</vt:lpstr>
      <vt:lpstr>Detail4</vt:lpstr>
      <vt:lpstr>Detail5</vt:lpstr>
      <vt:lpstr>Detail6</vt:lpstr>
      <vt:lpstr>Detail7</vt:lpstr>
      <vt:lpstr>dhoge</vt:lpstr>
      <vt:lpstr>dmoge</vt:lpstr>
      <vt:lpstr>DSH</vt:lpstr>
      <vt:lpstr>ehoge</vt:lpstr>
      <vt:lpstr>ELC</vt:lpstr>
      <vt:lpstr>emoge</vt:lpstr>
      <vt:lpstr>ext</vt:lpstr>
      <vt:lpstr>FFA</vt:lpstr>
      <vt:lpstr>fhoge</vt:lpstr>
      <vt:lpstr>FitUnfit</vt:lpstr>
      <vt:lpstr>fmoge</vt:lpstr>
      <vt:lpstr>fullDefCode</vt:lpstr>
      <vt:lpstr>fullList</vt:lpstr>
      <vt:lpstr>GEN</vt:lpstr>
      <vt:lpstr>ghoge</vt:lpstr>
      <vt:lpstr>gmoge</vt:lpstr>
      <vt:lpstr>HAC</vt:lpstr>
      <vt:lpstr>IGS</vt:lpstr>
      <vt:lpstr>ILL</vt:lpstr>
      <vt:lpstr>INJ</vt:lpstr>
      <vt:lpstr>Inspector1</vt:lpstr>
      <vt:lpstr>Inspector2</vt:lpstr>
      <vt:lpstr>Inspector3</vt:lpstr>
      <vt:lpstr>Inspector4</vt:lpstr>
      <vt:lpstr>Inspector5</vt:lpstr>
      <vt:lpstr>Inspector6</vt:lpstr>
      <vt:lpstr>Inspector7</vt:lpstr>
      <vt:lpstr>LLE</vt:lpstr>
      <vt:lpstr>LSA</vt:lpstr>
      <vt:lpstr>MacBrk</vt:lpstr>
      <vt:lpstr>MajMin</vt:lpstr>
      <vt:lpstr>MEN</vt:lpstr>
      <vt:lpstr>MMS</vt:lpstr>
      <vt:lpstr>MPR</vt:lpstr>
      <vt:lpstr>NEQ</vt:lpstr>
      <vt:lpstr>NIL</vt:lpstr>
      <vt:lpstr>ODD</vt:lpstr>
      <vt:lpstr>orgcode</vt:lpstr>
      <vt:lpstr>OTR</vt:lpstr>
      <vt:lpstr>PAE</vt:lpstr>
      <vt:lpstr>pasteline</vt:lpstr>
      <vt:lpstr>PAV</vt:lpstr>
      <vt:lpstr>DRSEND!Print_Area</vt:lpstr>
      <vt:lpstr>PSC</vt:lpstr>
      <vt:lpstr>Reason</vt:lpstr>
      <vt:lpstr>RepBy</vt:lpstr>
      <vt:lpstr>severity</vt:lpstr>
      <vt:lpstr>SHF</vt:lpstr>
      <vt:lpstr>shipname</vt:lpstr>
      <vt:lpstr>Status</vt:lpstr>
      <vt:lpstr>STR</vt:lpstr>
      <vt:lpstr>threelettershipcode</vt:lpstr>
      <vt:lpstr>vesseldata</vt:lpstr>
      <vt:lpstr>VET</vt:lpstr>
      <vt:lpstr>vettingeq</vt:lpstr>
      <vt:lpstr>WAR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DR Sender</dc:title>
  <dc:creator>Ashok Yadav</dc:creator>
  <cp:keywords>V34</cp:keywords>
  <dc:description>Version 3.4</dc:description>
  <cp:lastModifiedBy>Umang Singh Rawat</cp:lastModifiedBy>
  <cp:lastPrinted>2020-04-22T13:54:49Z</cp:lastPrinted>
  <dcterms:created xsi:type="dcterms:W3CDTF">1997-01-08T22:48:59Z</dcterms:created>
  <dcterms:modified xsi:type="dcterms:W3CDTF">2022-02-28T06:09:18Z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0x010100EB5ADEF623609343A95B77611D72174E</vt:lpwstr>
  </property>
</Properties>
</file>