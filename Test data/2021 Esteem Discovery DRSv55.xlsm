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mms_svr01\DRsender\Tanker_DR\DR sender 2021 V55\"/>
    </mc:Choice>
  </mc:AlternateContent>
  <xr:revisionPtr revIDLastSave="0" documentId="13_ncr:1_{A2162885-87F3-49E4-B5CF-846DD1A06676}" xr6:coauthVersionLast="47" xr6:coauthVersionMax="47" xr10:uidLastSave="{00000000-0000-0000-0000-000000000000}"/>
  <bookViews>
    <workbookView xWindow="-120" yWindow="-120" windowWidth="23280" windowHeight="1272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DRSEND!$A$32</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1" i="9" l="1"/>
  <c r="J31" i="9"/>
  <c r="F31" i="9"/>
  <c r="E31" i="9"/>
  <c r="L30" i="9"/>
  <c r="J30" i="9"/>
  <c r="F30" i="9"/>
  <c r="E30" i="9"/>
  <c r="L29" i="9" l="1"/>
  <c r="J29" i="9"/>
  <c r="F29" i="9"/>
  <c r="E29" i="9"/>
  <c r="L28" i="9" l="1"/>
  <c r="J28" i="9"/>
  <c r="F28" i="9"/>
  <c r="E28" i="9"/>
  <c r="L27" i="9" l="1"/>
  <c r="J27" i="9"/>
  <c r="F27" i="9"/>
  <c r="E27" i="9"/>
  <c r="L26" i="9" l="1"/>
  <c r="J26" i="9"/>
  <c r="F26" i="9"/>
  <c r="E26" i="9"/>
  <c r="D1" i="9" l="1"/>
  <c r="C5" i="9"/>
  <c r="C2" i="9"/>
  <c r="C3" i="9"/>
  <c r="AW7" i="9" l="1"/>
  <c r="AX7" i="9"/>
  <c r="AY7" i="9"/>
  <c r="AV7" i="9"/>
  <c r="L7" i="9"/>
  <c r="J7" i="9"/>
  <c r="F7" i="9"/>
  <c r="E7" i="9"/>
  <c r="AU7" i="9" l="1"/>
</calcChain>
</file>

<file path=xl/sharedStrings.xml><?xml version="1.0" encoding="utf-8"?>
<sst xmlns="http://schemas.openxmlformats.org/spreadsheetml/2006/main" count="3281" uniqueCount="1386">
  <si>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</si>
  <si>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</si>
  <si>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</si>
  <si>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</si>
  <si>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</si>
  <si>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</si>
  <si>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</si>
  <si>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</si>
  <si>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</si>
  <si>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</si>
  <si>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</si>
  <si>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</si>
  <si>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</si>
  <si>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</si>
  <si>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</si>
  <si>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</si>
  <si>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</si>
  <si>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</si>
  <si>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</si>
  <si>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</si>
  <si>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</si>
  <si>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</si>
  <si>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</si>
  <si>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</si>
  <si>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</si>
  <si>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</si>
  <si>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</si>
  <si>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</si>
  <si>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</si>
  <si>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</si>
  <si>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</si>
  <si>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</si>
  <si>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</si>
  <si>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</si>
  <si>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</si>
  <si>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</si>
  <si>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</si>
  <si>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</si>
  <si>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</si>
  <si>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</si>
  <si>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</si>
  <si>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</si>
  <si>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</si>
  <si>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</si>
  <si>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</si>
  <si>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</si>
  <si>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</si>
  <si>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</si>
  <si>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</si>
  <si>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</si>
  <si>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</si>
  <si>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</si>
  <si>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</si>
  <si>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</si>
  <si>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</si>
  <si>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</si>
  <si>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</si>
  <si>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</si>
  <si>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</si>
  <si>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</si>
  <si>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</si>
  <si>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</si>
  <si>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</si>
  <si>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</si>
  <si>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</si>
  <si>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</si>
  <si>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</si>
  <si>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</si>
  <si>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</si>
  <si>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</si>
  <si>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</si>
  <si>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</si>
  <si>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</si>
  <si>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</si>
  <si>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</si>
  <si>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</si>
  <si>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</si>
  <si>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</si>
  <si>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</si>
  <si>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</si>
  <si>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</si>
  <si>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</si>
  <si>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</si>
  <si>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</si>
  <si>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</si>
  <si>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</si>
  <si>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</si>
  <si>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</si>
  <si>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</si>
  <si>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</si>
  <si>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</si>
  <si>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</si>
  <si>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</si>
  <si>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</si>
  <si>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</si>
  <si>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</si>
  <si>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</si>
  <si>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</si>
  <si>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</si>
  <si>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</si>
  <si>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</si>
  <si>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</si>
  <si>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</si>
  <si>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</si>
  <si>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</si>
  <si>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</si>
  <si>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</si>
  <si>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</si>
  <si>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</si>
  <si>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</si>
  <si>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</si>
  <si>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</si>
  <si>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</si>
  <si>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</si>
  <si>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</si>
  <si>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</si>
  <si>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</si>
  <si>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</si>
  <si>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</si>
  <si>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</si>
  <si>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</si>
  <si>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</si>
  <si>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</si>
  <si>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</si>
  <si>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</si>
  <si>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</si>
  <si>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</si>
  <si>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</si>
  <si>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</si>
  <si>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</si>
  <si>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</si>
  <si>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</si>
  <si>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</si>
  <si>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</si>
  <si>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</si>
  <si>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</si>
  <si>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</si>
  <si>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</si>
  <si>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</si>
  <si>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</si>
  <si>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</si>
  <si>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</si>
  <si>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</si>
  <si>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</si>
  <si>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</si>
  <si>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</si>
  <si>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</si>
  <si>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</si>
  <si>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</si>
  <si>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</si>
  <si>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</si>
  <si>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</si>
  <si>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</si>
  <si>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</si>
  <si>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</si>
  <si>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</si>
  <si>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</si>
  <si>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</si>
  <si>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</si>
  <si>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</si>
  <si>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</si>
  <si>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</si>
  <si>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</si>
  <si>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</si>
  <si>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</si>
  <si>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</si>
  <si>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</si>
  <si>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</si>
  <si>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</si>
  <si>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</si>
  <si>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</si>
  <si>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</si>
  <si>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</si>
  <si>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</si>
  <si>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</si>
  <si>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</si>
  <si>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</si>
  <si>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</si>
  <si>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</si>
  <si>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</si>
  <si>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</si>
  <si>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</si>
  <si>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</si>
  <si>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</si>
  <si>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</si>
  <si>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</si>
  <si>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</si>
  <si>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</si>
  <si>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</si>
  <si>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</si>
  <si>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</si>
  <si>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</si>
  <si>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</si>
  <si>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</si>
  <si>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</si>
  <si>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</si>
  <si>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</si>
  <si>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</si>
  <si>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</si>
  <si>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</si>
  <si>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</si>
  <si>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</si>
  <si>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</si>
  <si>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</si>
  <si>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</si>
  <si>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</si>
  <si>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</si>
  <si>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</si>
  <si>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</si>
  <si>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</si>
  <si>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</si>
  <si>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</si>
  <si>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</si>
  <si>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</si>
  <si>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</si>
  <si>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</si>
  <si>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</si>
  <si>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</si>
  <si>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</si>
  <si>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</si>
  <si>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</si>
  <si>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</si>
  <si>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</si>
  <si>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</si>
  <si>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</si>
  <si>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</si>
  <si>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</si>
  <si>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</si>
  <si>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</si>
  <si>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</si>
  <si>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</si>
  <si>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</si>
  <si>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</si>
  <si>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</si>
  <si>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</si>
  <si>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</si>
  <si>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</si>
  <si>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</si>
  <si>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</si>
  <si>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</si>
  <si>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</si>
  <si>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</si>
  <si>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</si>
  <si>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</si>
  <si>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</si>
  <si>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</si>
  <si>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</si>
  <si>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</si>
  <si>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</si>
  <si>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</si>
  <si>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</si>
  <si>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</si>
  <si>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</si>
  <si>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</si>
  <si>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</si>
  <si>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</si>
  <si>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</si>
  <si>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</si>
  <si>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</si>
  <si>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</si>
  <si>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</si>
  <si>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</si>
  <si>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</si>
  <si>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</si>
  <si>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</si>
  <si>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</si>
  <si>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</si>
  <si>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</si>
  <si>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</si>
  <si>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</si>
  <si>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</si>
  <si>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</si>
  <si>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</si>
  <si>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</si>
  <si>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</si>
  <si>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</si>
  <si>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</si>
  <si>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</si>
  <si>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</si>
  <si>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</si>
  <si>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</si>
  <si>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</si>
  <si>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</si>
  <si>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</si>
  <si>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</si>
  <si>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</si>
  <si>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</si>
  <si>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</si>
  <si>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</si>
  <si>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</si>
  <si>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</si>
  <si>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</si>
  <si>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</si>
  <si>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</si>
  <si>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</si>
  <si>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</si>
  <si>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</si>
  <si>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</si>
  <si>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</si>
  <si>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</si>
  <si>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</si>
  <si>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</si>
  <si>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</si>
  <si>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</si>
  <si>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</si>
  <si>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</si>
  <si>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</si>
  <si>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</si>
  <si>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</si>
  <si>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</si>
  <si>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</si>
  <si>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</si>
  <si>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</si>
  <si>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</si>
  <si>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</si>
  <si>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</si>
  <si>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</si>
  <si>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</si>
  <si>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</si>
  <si>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</si>
  <si>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</si>
  <si>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</si>
  <si>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</si>
  <si>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</si>
  <si>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</si>
  <si>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</si>
  <si>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</si>
  <si>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</si>
  <si>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</si>
  <si>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</si>
  <si>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</si>
  <si>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</si>
  <si>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</si>
  <si>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</si>
  <si>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</si>
  <si>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</si>
  <si>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</si>
  <si>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</si>
  <si>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</si>
  <si>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</si>
  <si>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</si>
  <si>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</si>
  <si>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</si>
  <si>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</si>
  <si>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</si>
  <si>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</si>
  <si>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</si>
  <si>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</si>
  <si>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</si>
  <si>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</si>
  <si>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</si>
  <si>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</si>
  <si>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</si>
  <si>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</si>
  <si>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</si>
  <si>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</si>
  <si>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</si>
  <si>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</si>
  <si>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</si>
  <si>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</si>
  <si>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</si>
  <si>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</si>
  <si>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</si>
  <si>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</si>
  <si>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</si>
  <si>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</si>
  <si>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</si>
  <si>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</si>
  <si>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</si>
  <si>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</si>
  <si>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</si>
  <si>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</si>
  <si>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</si>
  <si>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</si>
  <si>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</si>
  <si>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</si>
  <si>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</si>
  <si>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</si>
  <si>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</si>
  <si>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</si>
  <si>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</si>
  <si>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</si>
  <si>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</si>
  <si>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</si>
  <si>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</si>
  <si>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</si>
  <si>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</si>
  <si>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</si>
  <si>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</si>
  <si>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</si>
  <si>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</si>
  <si>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</si>
  <si>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</si>
  <si>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</si>
  <si>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</si>
  <si>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</si>
  <si>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</si>
  <si>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</si>
  <si>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</si>
  <si>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</si>
  <si>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</si>
  <si>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</si>
  <si>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</si>
  <si>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</si>
  <si>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</si>
  <si>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</si>
  <si>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</si>
  <si>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</si>
  <si>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</si>
  <si>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</si>
  <si>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</si>
  <si>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</si>
  <si>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</si>
  <si>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</si>
  <si>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</si>
  <si>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</si>
  <si>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</si>
  <si>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</si>
  <si>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</si>
  <si>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</si>
  <si>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</si>
  <si>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</si>
  <si>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</si>
  <si>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</si>
  <si>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</si>
  <si>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</si>
  <si>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</si>
  <si>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</si>
  <si>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</si>
  <si>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</si>
  <si>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</si>
  <si>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</si>
  <si>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</si>
  <si>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</si>
  <si>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</si>
  <si>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</si>
  <si>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</si>
  <si>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</si>
  <si>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</si>
  <si>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</si>
  <si>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</si>
  <si>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</si>
  <si>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</si>
  <si>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</si>
  <si>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</si>
  <si>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</si>
  <si>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</si>
  <si>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</si>
  <si>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</si>
  <si>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</si>
  <si>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</si>
  <si>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</si>
  <si>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</si>
  <si>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</si>
  <si>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</si>
  <si>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</si>
  <si>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</si>
  <si>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</si>
  <si>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</si>
  <si>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</si>
  <si>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</si>
  <si>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</si>
  <si>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</si>
  <si>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</si>
  <si>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</si>
  <si>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</si>
  <si>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</si>
  <si>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</si>
  <si>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</si>
  <si>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</si>
  <si>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</si>
  <si>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</si>
  <si>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</si>
  <si>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</si>
  <si>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</si>
  <si>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</si>
  <si>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</si>
  <si>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</si>
  <si>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</si>
  <si>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</si>
  <si>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</si>
  <si>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</si>
  <si>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</si>
  <si>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</si>
  <si>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</si>
  <si>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</si>
  <si>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</si>
  <si>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</si>
  <si>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</si>
  <si>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</si>
  <si>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</si>
  <si>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</si>
  <si>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</si>
  <si>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</si>
  <si>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</si>
  <si>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</si>
  <si>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</si>
  <si>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</si>
  <si>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</si>
  <si>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</si>
  <si>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</si>
  <si>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</si>
  <si>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</si>
  <si>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</si>
  <si>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</si>
  <si>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</si>
  <si>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</si>
  <si>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</si>
  <si>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</si>
  <si>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</si>
  <si>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</si>
  <si>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</si>
  <si>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</si>
  <si>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</si>
  <si>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</si>
  <si>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</si>
  <si>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</si>
  <si>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</si>
  <si>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</si>
  <si>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</si>
  <si>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</si>
  <si>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</si>
  <si>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</si>
  <si>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</si>
  <si>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</si>
  <si>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</si>
  <si>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</si>
  <si>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</si>
  <si>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</si>
  <si>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</si>
  <si>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</si>
  <si>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</si>
  <si>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</si>
  <si>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</si>
  <si>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</si>
  <si>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</si>
  <si>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</si>
  <si>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</si>
  <si>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</si>
  <si>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</si>
  <si>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</si>
  <si>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</si>
  <si>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</si>
  <si>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</si>
  <si>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</si>
  <si>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</si>
  <si>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</si>
  <si>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</si>
  <si>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</si>
  <si>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</si>
  <si>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</si>
  <si>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</si>
  <si>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</si>
  <si>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</si>
  <si>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</si>
  <si>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</si>
  <si>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</si>
  <si>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</si>
  <si>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</si>
  <si>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</si>
  <si>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</si>
  <si>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</si>
  <si>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</si>
  <si>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</si>
  <si>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</si>
  <si>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</si>
  <si>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</si>
  <si>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</si>
  <si>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</si>
  <si>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</si>
  <si>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</si>
  <si>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</si>
  <si>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</si>
  <si>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</si>
  <si>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</si>
  <si>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</si>
  <si>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</si>
  <si>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</si>
  <si>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</si>
  <si>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</si>
  <si>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</si>
  <si>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</si>
  <si>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</si>
  <si>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</si>
  <si>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</si>
  <si>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</si>
  <si>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</si>
  <si>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</si>
  <si>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</si>
  <si>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</si>
  <si>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</si>
  <si>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</si>
  <si>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</si>
  <si>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</si>
  <si>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</si>
  <si>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</si>
  <si>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</si>
  <si>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</si>
  <si>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</si>
  <si>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</si>
  <si>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</si>
  <si>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</si>
  <si>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</si>
  <si>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</si>
  <si>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</si>
  <si>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</si>
  <si>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</si>
  <si>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</si>
  <si>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</si>
  <si>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</si>
  <si>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</si>
  <si>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</si>
  <si>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</si>
  <si>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</si>
  <si>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</si>
  <si>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</si>
  <si>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</si>
  <si>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</si>
  <si>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</si>
  <si>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</si>
  <si>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</si>
  <si>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</si>
  <si>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</si>
  <si>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</si>
  <si>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</si>
  <si>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</si>
  <si>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</si>
  <si>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</si>
  <si>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</si>
  <si>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</si>
  <si>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</si>
  <si>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</si>
  <si>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</si>
  <si>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</si>
  <si>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</si>
  <si>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</si>
  <si>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</si>
  <si>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</si>
  <si>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</si>
  <si>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</si>
  <si>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</si>
  <si>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</si>
  <si>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</si>
  <si>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</si>
  <si>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</si>
  <si>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</si>
  <si>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</si>
  <si>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</si>
  <si>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</si>
  <si>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</si>
  <si>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</si>
  <si>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</si>
  <si>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</si>
  <si>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</si>
  <si>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</si>
  <si>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</si>
  <si>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</si>
  <si>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</si>
  <si>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</si>
  <si>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</si>
  <si>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</si>
  <si>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</si>
  <si>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</si>
  <si>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</si>
  <si>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</si>
  <si>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</si>
  <si>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</si>
  <si>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</si>
  <si>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</si>
  <si>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</si>
  <si>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</si>
  <si>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</si>
  <si>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</si>
  <si>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</si>
  <si>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</si>
  <si>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</si>
  <si>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</si>
  <si>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</si>
  <si>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</si>
  <si>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</si>
  <si>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</si>
  <si>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</si>
  <si>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</si>
  <si>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</si>
  <si>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</si>
  <si>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</si>
  <si>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</si>
  <si>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</si>
  <si>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</si>
  <si>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</si>
  <si>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</si>
  <si>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</si>
  <si>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</si>
  <si>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</si>
  <si>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</si>
  <si>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</si>
  <si>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</si>
  <si>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</si>
  <si>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</si>
  <si>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</si>
  <si>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</si>
  <si>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</si>
  <si>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</si>
  <si>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</si>
  <si>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</si>
  <si>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</si>
  <si>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</si>
  <si>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</si>
  <si>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</si>
  <si>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</si>
  <si>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</si>
  <si>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</si>
  <si>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</si>
  <si>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</si>
  <si>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</si>
  <si>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</si>
  <si>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</si>
  <si>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</si>
  <si>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</si>
  <si>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</si>
  <si>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</si>
  <si>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</si>
  <si>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</si>
  <si>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</si>
  <si>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</si>
  <si>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</si>
  <si>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</si>
  <si>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</si>
  <si>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</si>
  <si>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</si>
  <si>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</si>
  <si>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</si>
  <si>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</si>
  <si>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</si>
  <si>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</si>
  <si>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</si>
  <si>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</si>
  <si>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</si>
  <si>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</si>
  <si>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</si>
  <si>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</si>
  <si>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</si>
  <si>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</si>
  <si>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</si>
  <si>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</si>
  <si>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</si>
  <si>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</si>
  <si>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</si>
  <si>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</si>
  <si>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</si>
  <si>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</si>
  <si>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</si>
  <si>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</si>
  <si>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</si>
  <si>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</si>
  <si>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</si>
  <si>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</si>
  <si>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</si>
  <si>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</si>
  <si>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</si>
  <si>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</si>
  <si>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</si>
  <si>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</si>
  <si>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</si>
  <si>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</si>
  <si>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</si>
  <si>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</si>
  <si>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</si>
  <si>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</si>
  <si>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</si>
  <si>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</si>
  <si>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</si>
  <si>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</si>
  <si>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</si>
  <si>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</si>
  <si>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</si>
  <si>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</si>
  <si>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</si>
  <si>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</si>
  <si>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</si>
  <si>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</si>
  <si>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</si>
  <si>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</si>
  <si>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</si>
  <si>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</si>
  <si>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</si>
  <si>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</si>
  <si>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</si>
  <si>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</si>
  <si>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</si>
  <si>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</si>
  <si>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</si>
  <si>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</si>
  <si>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</si>
  <si>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</si>
  <si>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</si>
  <si>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</si>
  <si>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</si>
  <si>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</si>
  <si>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</si>
  <si>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</si>
  <si>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</si>
  <si>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</si>
  <si>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</si>
  <si>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</si>
  <si>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</si>
  <si>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</si>
  <si>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</si>
  <si>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</si>
  <si>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</si>
  <si>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</si>
  <si>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</si>
  <si>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</si>
  <si>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</si>
  <si>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</si>
  <si>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</si>
  <si>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</si>
  <si>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</si>
  <si>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</si>
  <si>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</si>
  <si>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</si>
  <si>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</si>
  <si>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</si>
  <si>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</si>
  <si>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</si>
  <si>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</si>
  <si>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</si>
  <si>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</si>
  <si>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</si>
  <si>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</si>
  <si>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</si>
  <si>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</si>
  <si>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</si>
  <si>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</si>
  <si>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</si>
  <si>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</si>
  <si>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</si>
  <si>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</si>
  <si>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</si>
  <si>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</si>
  <si>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</si>
  <si>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</si>
  <si>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</si>
  <si>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</si>
  <si>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</si>
  <si>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</si>
  <si>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</si>
  <si>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</si>
  <si>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</si>
  <si>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</si>
  <si>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</si>
  <si>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</si>
  <si>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</si>
  <si>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</si>
  <si>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</si>
  <si>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</si>
  <si>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</si>
  <si>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</si>
  <si>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</si>
  <si>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</si>
  <si>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</si>
  <si>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</si>
  <si>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</si>
  <si>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</si>
  <si>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</si>
  <si>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</si>
  <si>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</si>
  <si>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</si>
  <si>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</si>
  <si>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</si>
  <si>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</si>
  <si>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</si>
  <si>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</si>
  <si>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</si>
  <si>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</si>
  <si>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</si>
  <si>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</si>
  <si>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</si>
  <si>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</si>
  <si>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</si>
  <si>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</si>
  <si>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</si>
  <si>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</si>
  <si>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</si>
  <si>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</si>
  <si>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</si>
  <si>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</si>
  <si>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</si>
  <si>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</si>
  <si>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</si>
  <si>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</si>
  <si>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</si>
  <si>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</si>
  <si>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</si>
  <si>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</si>
  <si>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</si>
  <si>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</si>
  <si>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</si>
  <si>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</si>
  <si>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</si>
  <si>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</si>
  <si>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</si>
  <si>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</si>
  <si>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</si>
  <si>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</si>
  <si>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</si>
  <si>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</si>
  <si>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</si>
  <si>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</si>
  <si>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</si>
  <si>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</si>
  <si>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</si>
  <si>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</si>
  <si>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</si>
  <si>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</si>
  <si>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</si>
  <si>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</si>
  <si>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</si>
  <si>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</si>
  <si>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</si>
  <si>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</si>
  <si>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</si>
  <si>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</si>
  <si>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</si>
  <si>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</si>
  <si>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</si>
  <si>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</si>
  <si>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</si>
  <si>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</si>
  <si>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</si>
  <si>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</si>
  <si>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</si>
  <si>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</si>
  <si>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</si>
  <si>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</si>
  <si>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</si>
  <si>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</si>
  <si>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</si>
  <si>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</si>
  <si>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</si>
  <si>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</si>
  <si>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</si>
  <si>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</si>
  <si>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</si>
  <si>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</si>
  <si>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</si>
  <si>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</si>
  <si>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</si>
  <si>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</si>
  <si>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</si>
  <si>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</si>
  <si>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</si>
  <si>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</si>
  <si>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</si>
  <si>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</si>
  <si>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</si>
  <si>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</si>
  <si>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</si>
  <si>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</si>
  <si>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</si>
  <si>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</si>
  <si>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</si>
  <si>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</si>
  <si>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</si>
  <si>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</si>
  <si>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</si>
  <si>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</si>
  <si>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</si>
  <si>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</si>
  <si>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</si>
  <si>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</si>
  <si>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</si>
  <si>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</si>
  <si>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</si>
  <si>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</si>
  <si>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</si>
  <si>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</si>
  <si>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</si>
  <si>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</si>
  <si>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</si>
  <si>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</si>
  <si>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</si>
  <si>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</si>
  <si>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</si>
  <si>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</si>
  <si>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</si>
  <si>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</si>
  <si>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</si>
  <si>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</si>
  <si>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</si>
  <si>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</si>
  <si>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</si>
  <si>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</si>
  <si>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</si>
  <si>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</si>
  <si>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</si>
  <si>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</si>
  <si>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</si>
  <si>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</si>
  <si>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</si>
  <si>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</si>
  <si>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</si>
  <si>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</si>
  <si>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</si>
  <si>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</si>
  <si>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</si>
  <si>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</si>
  <si>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</si>
  <si>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</si>
  <si>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</si>
  <si>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</si>
  <si>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</si>
  <si>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</si>
  <si>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</si>
  <si>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</si>
  <si>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</si>
  <si>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</si>
  <si>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</si>
  <si>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</si>
  <si>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</si>
  <si>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</si>
  <si>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</si>
  <si>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</si>
  <si>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</si>
  <si>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</si>
  <si>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</si>
  <si>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</si>
  <si>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</si>
  <si>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</si>
  <si>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</si>
  <si>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</si>
  <si>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</si>
  <si>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</si>
  <si>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</si>
  <si>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</si>
  <si>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</si>
  <si>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</si>
  <si>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</si>
  <si>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</si>
  <si>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</si>
  <si>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</si>
  <si>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</si>
  <si>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</si>
  <si>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</si>
  <si>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</si>
  <si>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</si>
  <si>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</si>
  <si>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</si>
  <si>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</si>
  <si>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</si>
  <si>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</si>
  <si>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</si>
  <si>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</si>
  <si>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</si>
  <si>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</si>
  <si>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</si>
  <si>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</si>
  <si>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</si>
  <si>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</si>
  <si>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</si>
  <si>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</si>
  <si>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</si>
  <si>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</si>
  <si>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</si>
  <si>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</si>
  <si>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</si>
  <si>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</si>
  <si>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</si>
  <si>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</si>
  <si>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</si>
  <si>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</si>
  <si>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</si>
  <si>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</si>
  <si>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</si>
  <si>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</si>
  <si>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</si>
  <si>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</si>
  <si>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</si>
  <si>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</si>
  <si>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</si>
  <si>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</si>
  <si>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</si>
  <si>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</si>
  <si>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</si>
  <si>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</si>
  <si>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</si>
  <si>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</si>
  <si>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</si>
  <si>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</si>
  <si>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</si>
  <si>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</si>
  <si>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</si>
  <si>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</si>
  <si>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</si>
  <si>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</si>
  <si>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</si>
  <si>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</si>
  <si>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</si>
  <si>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</si>
  <si>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</si>
  <si>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</si>
  <si>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Capt. Arvind Kumar Sharma</t>
  </si>
  <si>
    <t>TP202001020210212124631</t>
  </si>
  <si>
    <t>EDS-2021-012</t>
  </si>
  <si>
    <t>Amoge</t>
  </si>
  <si>
    <t>Ahoge</t>
  </si>
  <si>
    <t>Nelson Miranda</t>
  </si>
  <si>
    <t>VET</t>
  </si>
  <si>
    <t>VET07</t>
  </si>
  <si>
    <t>Inspector Observations: It was observed that the anti-virus software of three computer units was showing an alarm " Virus and spy ware protection definitions are out of date"._x000D_
Other Inspector Comments: The Master mentioned that IT department was already contacted, however downloading large update file while at the berth was difficult.</t>
  </si>
  <si>
    <t>This is a fact stated. Anti Virus was not updated and company's IT team was in the process of updating same. All workstations have now been updated to latest definitions.</t>
  </si>
  <si>
    <t>IT team in process of updating Anti virus for said PC's.</t>
  </si>
  <si>
    <t xml:space="preserve">All PC's Anti Virus updated to latest edition. </t>
  </si>
  <si>
    <t>The vessel is provided with Antivirus &amp; Malware security by PORT-IT which automatically updates the server onboard on a regular basis and from which all other PCs onboard get updated. The status of all the PCs are also reported back to Port-IT website which is monitored by our inhouse IT team. Our IT team had noticed that 3 PCs were not getting updated and were in the process of reinstalling the program on the 3 PCs during the inspection as was also stated by the Inspector._x000D_
We confirm that all workstations on board have been updated now to latest definitions._x000D_
As part of our information sharing procedures, we have also sent a fleetwide alert.</t>
  </si>
  <si>
    <t>CAPT. SAURABH MITTAL</t>
  </si>
  <si>
    <t>OK</t>
  </si>
  <si>
    <t>7.17</t>
  </si>
  <si>
    <t>No</t>
  </si>
  <si>
    <t>9882358_VET_20201115_01</t>
  </si>
  <si>
    <t>Philippines</t>
  </si>
  <si>
    <t>Batangas</t>
  </si>
  <si>
    <t>Tanker 2</t>
  </si>
  <si>
    <t>OIL</t>
  </si>
  <si>
    <t>Ranjeet  Kumar</t>
  </si>
  <si>
    <t>Ramesh  Garg</t>
  </si>
  <si>
    <t xml:space="preserve">Sarvajit  Kottaiappan </t>
  </si>
  <si>
    <t>Pac Marine Services</t>
  </si>
  <si>
    <t>NONE</t>
  </si>
  <si>
    <t>v55_2021/11/09 08:23:46</t>
  </si>
  <si>
    <t>EDS-2021-02</t>
  </si>
  <si>
    <t>TP202001020210520200413</t>
  </si>
  <si>
    <t>Kalaisevam Ramaswamy</t>
  </si>
  <si>
    <t>VET09</t>
  </si>
  <si>
    <t>Vessel had rigged the fire wire starboard side forward as per terminal requirements. The fire wire was completely blocking the safe walk way on the ship side starboard walkway that caused a tripping hazard. This was well cleared for safe passage on pointing out.</t>
  </si>
  <si>
    <t>Appreciate the hardwork and efforts put in by the Management team and the crew</t>
  </si>
  <si>
    <t>Fire wire immediately cleared for safe passage.</t>
  </si>
  <si>
    <t>9882358_VET_20210428_01</t>
  </si>
  <si>
    <t>Japan</t>
  </si>
  <si>
    <t>Chiba</t>
  </si>
  <si>
    <t>Vandit  Malhotra</t>
  </si>
  <si>
    <t xml:space="preserve">Sameer Lall  </t>
  </si>
  <si>
    <t>Vijay  Upadhyay</t>
  </si>
  <si>
    <t>Blue Marine Services</t>
  </si>
  <si>
    <t>v55_2021/11/09 08:23:47</t>
  </si>
  <si>
    <t>EDS-2021-03</t>
  </si>
  <si>
    <t>TP202001020210520200504</t>
  </si>
  <si>
    <t>Dmoge</t>
  </si>
  <si>
    <t>Dhoge</t>
  </si>
  <si>
    <t>PSC</t>
  </si>
  <si>
    <t>PSC24</t>
  </si>
  <si>
    <t>Nil Observation</t>
  </si>
  <si>
    <t>Saurabh Mittal</t>
  </si>
  <si>
    <t>9882358_PSC_20210208_01</t>
  </si>
  <si>
    <t>Australia</t>
  </si>
  <si>
    <t>Botany Sydney</t>
  </si>
  <si>
    <t>TANKER 2</t>
  </si>
  <si>
    <t>OIL/CHEM</t>
  </si>
  <si>
    <t>Yuvaraj  Krishnamoorthi</t>
  </si>
  <si>
    <t>Exxon</t>
  </si>
  <si>
    <t>MKCA</t>
  </si>
  <si>
    <t>Panama</t>
  </si>
  <si>
    <t>ABS</t>
  </si>
  <si>
    <t>v55_2021/11/09 08:23:48</t>
  </si>
  <si>
    <t>EDS-2021-04</t>
  </si>
  <si>
    <t>TP202001020210601090223</t>
  </si>
  <si>
    <t>Cmoge</t>
  </si>
  <si>
    <t>Choge</t>
  </si>
  <si>
    <t>Capt. Saurabh Mittal</t>
  </si>
  <si>
    <t>MMS</t>
  </si>
  <si>
    <t>MMS01</t>
  </si>
  <si>
    <t>Old Company Form of Muster List ECP-03-00C in use in SMPEP, where New Form Available in MDCS</t>
  </si>
  <si>
    <t>Due to recent SQEMS Unification, missed out to change the muster list in SMPEP</t>
  </si>
  <si>
    <t>Muster list change and filed in SMPEP</t>
  </si>
  <si>
    <t>N/A, This defect can be closed</t>
  </si>
  <si>
    <t>Due to recent SQEMS Unification, missed out to change the muster list in SMPEP. Same updated now.</t>
  </si>
  <si>
    <t>Capt. S. Mittal</t>
  </si>
  <si>
    <t>v55_2021/11/09 08:23:49</t>
  </si>
  <si>
    <t>EDS-2021-05</t>
  </si>
  <si>
    <t>TP202001020210601091254</t>
  </si>
  <si>
    <t>MMS23</t>
  </si>
  <si>
    <t>Manifold hose rail colour codding id faded, to be re painted</t>
  </si>
  <si>
    <t xml:space="preserve">Due to various hose connection in past it got faded. </t>
  </si>
  <si>
    <t xml:space="preserve">Will re paint the manifold hoserail at next available opprtunity. </t>
  </si>
  <si>
    <t>Manifold Hose Rail Re Painted. All found satisfactory. This defect can be closed.</t>
  </si>
  <si>
    <t>Manifold Hose Rail Re Painted. Report received from vessel.</t>
  </si>
  <si>
    <t>This is carried out as part of regular maintenance and was aptly highlighted during cargo audit.</t>
  </si>
  <si>
    <t>v55_2021/11/09 08:23:50</t>
  </si>
  <si>
    <t>EDS-2021-06</t>
  </si>
  <si>
    <t>TP202001020210601092225</t>
  </si>
  <si>
    <t>MMS11</t>
  </si>
  <si>
    <t>Duty Officer unaware of filling CHPT forms in proper manner as per company standard.</t>
  </si>
  <si>
    <t>Familiarisation and training to be carried out regularly and whenever deemed required.</t>
  </si>
  <si>
    <t>v55_2021/11/09 08:23:51</t>
  </si>
  <si>
    <t>EDS-2021-07</t>
  </si>
  <si>
    <t>TP202001020210901193728</t>
  </si>
  <si>
    <t>Ankit Chaudhary</t>
  </si>
  <si>
    <t>9882358_PSC_20210901_01</t>
  </si>
  <si>
    <t>Netherlands</t>
  </si>
  <si>
    <t>Rotterdam</t>
  </si>
  <si>
    <t>Imran  Siddiuqi</t>
  </si>
  <si>
    <t>Sahil  Merchant</t>
  </si>
  <si>
    <t>Shwetabh  Kumar</t>
  </si>
  <si>
    <t>v55_2021/11/09 08:23:52</t>
  </si>
  <si>
    <t>EDS-2021-08</t>
  </si>
  <si>
    <t>TP202001020211007143134</t>
  </si>
  <si>
    <t xml:space="preserve">  Umang Singh Rawat</t>
  </si>
  <si>
    <t>MMS17</t>
  </si>
  <si>
    <t>ER sounding pipes not marked on bottom platform</t>
  </si>
  <si>
    <t>ER sounding pipes not marked on bottom platform missed out by crew</t>
  </si>
  <si>
    <t>Vessel started making stencills for ER sounding pipes on bottom platform</t>
  </si>
  <si>
    <t>ER sounding pipes on  bottom platform are stencilled</t>
  </si>
  <si>
    <t xml:space="preserve">USR : This was a newly delivered vessel and marking of the valves has been missed out by the shipstaff.  </t>
  </si>
  <si>
    <t xml:space="preserve">USR : Sounding pipes in E/R marked and identified. </t>
  </si>
  <si>
    <t>Umang Singh Rawat</t>
  </si>
  <si>
    <t>9882358_SI_20210910_01</t>
  </si>
  <si>
    <t>v55_2021/11/09 08:23:53</t>
  </si>
  <si>
    <t>EDS-2021-09</t>
  </si>
  <si>
    <t>TP202001020211007143136</t>
  </si>
  <si>
    <t>Warning notice (Do not usewithout C/E permission) missing on Emcy Bilge Suction valve</t>
  </si>
  <si>
    <t xml:space="preserve">Warning notice (Do not usewithout C/E permission) missing on Emcy Bilge Suction valve missed out  by crew </t>
  </si>
  <si>
    <t xml:space="preserve">Vessel started making stencils for warning notice </t>
  </si>
  <si>
    <t>Warning notice (Do not usewithout C/E permission)on Emcy Bilge Suction valve is stencilled</t>
  </si>
  <si>
    <t xml:space="preserve">USR : Missed out by staff after delivery. </t>
  </si>
  <si>
    <t>USR : Warning noticed posted</t>
  </si>
  <si>
    <t>v55_2021/11/09 08:23:54</t>
  </si>
  <si>
    <t>EDS-2021-010</t>
  </si>
  <si>
    <t>TP202001020211007143138</t>
  </si>
  <si>
    <t>MMS09</t>
  </si>
  <si>
    <t>E/R workshop lathe,drill m/c and griner Emcy Stop not marked</t>
  </si>
  <si>
    <t>Stencilling of E/R workshop lathe, drill m/c and grinder Emcy Stop were missed out by crew.</t>
  </si>
  <si>
    <t>Vessel started making stencils for E/R workshop lathe, drill m/c and grinder Emcy Stop.</t>
  </si>
  <si>
    <t>E/R workshop lathe, drill m/c and grinder Emcy Stop are stencilled.</t>
  </si>
  <si>
    <t>USR:  Missed out since delivery</t>
  </si>
  <si>
    <t>USR : Vessel has marked the Emcy stops</t>
  </si>
  <si>
    <t>v55_2021/11/09 08:23:55</t>
  </si>
  <si>
    <t>EDS-2021-011</t>
  </si>
  <si>
    <t>TP202001020211007143140</t>
  </si>
  <si>
    <t>MMS06</t>
  </si>
  <si>
    <t>Lifeboats not resting on horn. Weight on falls.</t>
  </si>
  <si>
    <t>After weekly checks of lifeboats it was inadvertently missed out by crew.</t>
  </si>
  <si>
    <t>Both Lifeboats weight released from falls and properly rested on horns.</t>
  </si>
  <si>
    <t>All crew were briefed on properly securing of lifeboats on the horns.</t>
  </si>
  <si>
    <t xml:space="preserve">USR: Missed out after last drill. Crew briefed. </t>
  </si>
  <si>
    <t xml:space="preserve">USR : Crew briefed and lifeboat rested on the horns. </t>
  </si>
  <si>
    <t>v55_2021/11/09 08:23:56</t>
  </si>
  <si>
    <t>TP202001020211007143141</t>
  </si>
  <si>
    <t>Port side wilden pump bonding cable broken</t>
  </si>
  <si>
    <t>Bonding cable was not properly secured to wilden pump.</t>
  </si>
  <si>
    <t>Bonding cable properly secured to wilden pump.</t>
  </si>
  <si>
    <t>All crew were briefed on the importance of bonding cable in wilden pump. All bonding cables to be checked regularly.</t>
  </si>
  <si>
    <t xml:space="preserve">USR : Cable broken during service. Same rectified once noticed. </t>
  </si>
  <si>
    <t xml:space="preserve">USR : Bonding cable secured. </t>
  </si>
  <si>
    <t>v55_2021/11/09 08:23:57</t>
  </si>
  <si>
    <t>EDS-2021-013</t>
  </si>
  <si>
    <t>TP202001020211007143143</t>
  </si>
  <si>
    <t>High level and overfill alarms on Main Deck not marked</t>
  </si>
  <si>
    <t>Stenciling of High level and overfill alarms on Main Deck were missed out by crew.</t>
  </si>
  <si>
    <t>Vessel started making stenciling for High level and overfill alarms on Main Deck.</t>
  </si>
  <si>
    <t>High &amp; Overfill alarma stencilled on main deck.</t>
  </si>
  <si>
    <t xml:space="preserve">USR : Was not marked at yard or after delivery. </t>
  </si>
  <si>
    <t xml:space="preserve">USR : Sentilling done. </t>
  </si>
  <si>
    <t>v55_2021/11/09 08:23:58</t>
  </si>
  <si>
    <t>EDS-2021-014</t>
  </si>
  <si>
    <t>TP202001020211007143144</t>
  </si>
  <si>
    <t>MMS14</t>
  </si>
  <si>
    <t>Refer compressor No. 2 not working when tried out for changeover</t>
  </si>
  <si>
    <t xml:space="preserve">Refer Comp # 2 , while starting , run option was enabling but no supply from contactor to Motor was detected, Suspect faulty main contactor . </t>
  </si>
  <si>
    <t xml:space="preserve">_x000D_
Refer compressor # 2 Main contactor opened and found aux contacts were fitted in wrong direction _x000D_
</t>
  </si>
  <si>
    <t xml:space="preserve">_x000D_
Aux. contactor boxed back in correct direction with new  metal contacts . Main contactor fitted back and Ref Comp tried out, running in order._x000D_
</t>
  </si>
  <si>
    <t xml:space="preserve">USR: There was an electrical issue which was sorted out by ships staff. </t>
  </si>
  <si>
    <t xml:space="preserve">USR : Contactors fitted correectly and compressor tried out and found working fine.  </t>
  </si>
  <si>
    <t>v55_2021/11/09 08:23:59</t>
  </si>
  <si>
    <t>EDS-2021-015</t>
  </si>
  <si>
    <t>TP202001020211007143146</t>
  </si>
  <si>
    <t>E/R &amp; Deck flexible hoses were not tagged</t>
  </si>
  <si>
    <t>Tags were detached during the use.</t>
  </si>
  <si>
    <t>Vessel prepared tags for the hoses.</t>
  </si>
  <si>
    <t>All flexible hoses tagged.</t>
  </si>
  <si>
    <t xml:space="preserve">USR : Staff was advised on this and the hoses were tagged. </t>
  </si>
  <si>
    <t xml:space="preserve">USR : Flexible hoses tagged. </t>
  </si>
  <si>
    <t>v55_2021/11/09 08:24:00</t>
  </si>
  <si>
    <t>EDS-2021-016</t>
  </si>
  <si>
    <t>TP202001020211008162044</t>
  </si>
  <si>
    <t>Fmoge</t>
  </si>
  <si>
    <t>Fhoge</t>
  </si>
  <si>
    <t xml:space="preserve">Chief Engineer </t>
  </si>
  <si>
    <t>PAE</t>
  </si>
  <si>
    <t>PAE01</t>
  </si>
  <si>
    <t xml:space="preserve">A pin hole in Sewage overboard Storm valve </t>
  </si>
  <si>
    <t xml:space="preserve">Material Failure </t>
  </si>
  <si>
    <t xml:space="preserve">Leak has been arrested by metal bracket arrangements along with rubber gasket </t>
  </si>
  <si>
    <t xml:space="preserve">Vessel has received class approved storm valve and awaiting for suitable opportunity to replace. Company will arrange divers at this call Houston.EDS-2021-076 Storm valve-Sewage OVBD received at Montreal ._x000D_
- Diving team blanked o/b at Bayport layberth and valve was replaced with new one. Blank removed and checked, no leaks. Occasional suvey also conducted with Class annuals and FT ISPP issued. </t>
  </si>
  <si>
    <t xml:space="preserve">USR: This is a new valve as possible cause is material failure. Vessel fitted a bracket arrangement which has arrested the leak. ABS has reviewed this at Montreal and found it satisfactory and allowed the vessel to operate like this till 28th Nov 2021 with a COC issued. New valve has been supplied to the vessel and we are presently on the lookout for suitable opportunity to carry out this job which requires diving operation to plug the overboard during valve renewal. Diving ops was not possible at Montreal due to the water current. </t>
  </si>
  <si>
    <t xml:space="preserve">USR: - Diving team blanked o/b at Bayport layberth and valve was replaced with new one. Blank removed and checked, no leaks. Occasional suvey also conducted with Class annuals and FT ISPP issued. </t>
  </si>
  <si>
    <t>3</t>
  </si>
  <si>
    <t>EDS-2021-076</t>
  </si>
  <si>
    <t>v55_2021/11/09 08:24:01</t>
  </si>
  <si>
    <t>EDS-2021-017</t>
  </si>
  <si>
    <t>TP202001020211109000631</t>
  </si>
  <si>
    <t>Sumeet Rawla</t>
  </si>
  <si>
    <t>VET10</t>
  </si>
  <si>
    <t>During the voyage from Antwerp to Montreal, a pin hole was noted on the sewage overboard storm valve located on the engine room bottom platform (About 4.6 metre) from the keel on 16 September 2021. Temporary repairs were carried out during the voyage. Class/ Flag and Transport Canada were notified. As informed by the Master, a layup berth was arranged after completion of discharge, where class was to attend the vessel and permanent repairs to be completed.</t>
  </si>
  <si>
    <t xml:space="preserve">Pin hole leakage happened due to material failure. Office informed, temporary repairs carried out, regularly monitored, repairs holding good and effective. Requisition for new valve raised. </t>
  </si>
  <si>
    <t xml:space="preserve">Class approved valve supplied to the vessel at Montreal. Diving operations not possible at Montreal due to water current. Class surveyed and confirmed temporary repairs satisfactory for time being and allowed vessel to continue operation with a COC and short term ISPP. _x000D_
Diving team arranged at layberth at Bayport on 14th Oct and o/b blanked, valve renewed and checked, found no leaks. Occasional survey conducted by class with Class annuals and COC closed, Full term ISPP resissued. </t>
  </si>
  <si>
    <t>The sewage overboard storm valve had developed a pin hole and started leaking during the voyage to Montreal. The leak was arrested by temporary repairs and at present there is no leakage from the valve. Class, Flag and Transport Canada were informed. The vessel was supplied with a new valve for replacement but diving operations could not be carried out at Montreal due to the high current. Class attended the vessel at Montreal, confirmed efficacy of the temporary repairs and found it acceptable for the vessel to continue operations till a safe opportunity for replacement and not later than 28th Nov 2021.  Guarantee Claim for this defect has been raised to shipyard and vessel’s managers are trying to get the valve renewed at the earliest available opportunity. _x000D_
_x000D_
As part of our Information sharing, this observation has been shared with other fleet vessels.</t>
  </si>
  <si>
    <t xml:space="preserve">USR : Diving team blanked o/b at Bayport layberth and valve was replaced with new one. Blank removed and checked, no leaks. Occasional suvey also conducted with Class annuals and FT ISPP issued.  </t>
  </si>
  <si>
    <t>10.32</t>
  </si>
  <si>
    <t>9882358_VET_20210927_01</t>
  </si>
  <si>
    <t>Canada</t>
  </si>
  <si>
    <t>Montreal</t>
  </si>
  <si>
    <t>Imran  Siddiqui</t>
  </si>
  <si>
    <t>Vikas  Yadav</t>
  </si>
  <si>
    <t>CAPT. PANKAJ KAPOOR</t>
  </si>
  <si>
    <t>v55_2021/11/09 08:24:02</t>
  </si>
  <si>
    <t>EDS-2021-018</t>
  </si>
  <si>
    <t>TP202001020211109000830</t>
  </si>
  <si>
    <t>Capt. Pankaj Kapoor</t>
  </si>
  <si>
    <t>9882358_PSC_20211016_01</t>
  </si>
  <si>
    <t>United States </t>
  </si>
  <si>
    <t>Houston</t>
  </si>
  <si>
    <t>TP202001020211202083755</t>
  </si>
  <si>
    <t>EDS-2021-019</t>
  </si>
  <si>
    <t>C/E VIKAS YADAV</t>
  </si>
  <si>
    <t>Inferior quality of material/equipment  used in breaker.</t>
  </si>
  <si>
    <t>Main Breaker put in OFF condition.Earth fault was checked from MSB to galley sub breaker on G1 panel located in galley.Found OK.Then earth fault was checked from G1 panel to cooking range.Found satisfactory.All breakers put in OFF condition(Main and on G1 panel).Continuity of the lines were checked one by one from Main Breaker to cooking range.Found no breakage and continuity was satisfactory.Again tried to reset the breaker but still not getting reset. Basis assesment  vessel zeroed down the root cause to be faulty breaker and it was renewed with spare breaker available.</t>
  </si>
  <si>
    <t>EDS-2021- CONTACTORS</t>
  </si>
  <si>
    <t>TP202001020211202090123</t>
  </si>
  <si>
    <t>EDS-2021-020</t>
  </si>
  <si>
    <t>CE VIKAS YADAV</t>
  </si>
  <si>
    <t>While FWG in operation it was observed that feed pressure dropped from 4.5 bar to 1.5 bar subsequently affecting fresh water production.</t>
  </si>
  <si>
    <t>On investigation it was found that FWG Ejector Pump pressure has reduced and mechanical seal also found leaking .Basis assesment it was decided to overhaul the pump.</t>
  </si>
  <si>
    <t>EDS-2021-FWG Ejector Pump</t>
  </si>
  <si>
    <t xml:space="preserve">FWG ejector pump takes direct suction from sea chest which could have caused sea shells and barnicals choking impeller . </t>
  </si>
  <si>
    <t>Pump was opened up and found impeller eye and discharge vanes full of sea shells/ Barnicals which could have lead to mechanical seal damage and reduction in discharge pressure.Pump was overhauled with new mechanical seal and boxed back..Pump tried out , found all satisfactory.FWG tried out found satisfactory.Requistion for mechanical seal raised.This defect can be closed.</t>
  </si>
  <si>
    <t>Found no power for galley equipment available.On checking found Main Breaker on MSB Panel in ECR in  tripped condition.On resetting the breaker it was found that breaker not getting reset and remaining in that tripped position.</t>
  </si>
  <si>
    <t>Main breaker for galley located on MSB in ECR renewed with new spare available.Breaker, switched ON and power to Galley cooking Range resumed .It was observed for one hour and  found satisfactory.Requisition raised.                                This defect can be closed.</t>
  </si>
  <si>
    <t xml:space="preserve">USR : Malfunction / failure of the main breaker for the galley. </t>
  </si>
  <si>
    <t xml:space="preserve">USR : Replaced with spare and working fine. Will suppply additonal spare. </t>
  </si>
  <si>
    <t>v55_2021/12/07 10:31:24</t>
  </si>
  <si>
    <t xml:space="preserve">USR : Choking of the impeller led to drop in pressure / performance of pump. It is possible that the pump was run in shallow waters causing ingress of marine matter into the pump. </t>
  </si>
  <si>
    <t xml:space="preserve">USR : Pump overhauled and cleaned. </t>
  </si>
  <si>
    <t>v55_2021/12/07 10:33:45</t>
  </si>
  <si>
    <t>v55_2021/12/07 10:34:36</t>
  </si>
  <si>
    <t>ELC</t>
  </si>
  <si>
    <t>ELC01</t>
  </si>
  <si>
    <t>AEQ</t>
  </si>
  <si>
    <t>AEQ14</t>
  </si>
  <si>
    <t>TP202001020211231203944</t>
  </si>
  <si>
    <t>EDS-2021-021</t>
  </si>
  <si>
    <t>EDS-2021-115 ME ANGLE ENCODER BRACKET</t>
  </si>
  <si>
    <t>TP202001020211231210441</t>
  </si>
  <si>
    <t>EDS-2021-022</t>
  </si>
  <si>
    <t>On starting the FWG it was observed that Fresh Water Distillate pump discharge pressure going into vaccuum and pump not able to discharge.</t>
  </si>
  <si>
    <t>Upon investigation it was found that solenoid valve for circulation of fresh water back to FWG when the salinity of fresh water is higher than set point of 10PPM was leaking due to faulty coil of the solenoid valve.</t>
  </si>
  <si>
    <t>EDS-2021-112 FWG</t>
  </si>
  <si>
    <t>TP202001020211231211703</t>
  </si>
  <si>
    <t>EDS-2021-023</t>
  </si>
  <si>
    <t>While arrival at Panama anchorage vessel recieved M/E SAFETY SYSTEM ABNORMAL, M/E BMS CONTROL SYS ABNORMAL alarms and followed by BMS COMMUNICATION FAIL alarm.</t>
  </si>
  <si>
    <t>Poor quality and un-reliability of I/O module HISCM 1.</t>
  </si>
  <si>
    <t xml:space="preserve">Vessel tried to reset the alarm from ME CDP unit (ECR Telegraph unit), but still alarm persists. While checking the error alarm in CDP unit, it was found abnormal condition in both   ECR MAIN and SUB line   whereas Bridge and local are normal condition.                                                         Vessel tried to reset NO 1 &amp;2 AMS servers (root cause for alarm is mentioned as AMS MAIN COMM ABNORMAL) but  alarm condition remains same. Also, tried to reset D-CPU unit but condition remain standstill.                                                       ME was in bridge control and at manoeuvring RPM and responding in satisfactory condition. There is no alarm in MOP and all parameters are normal .       It was decide that after anchorage we will check the wiring condition of CDP unit, D-CPU unit, HNRM and HRS unit and revert with our finding. Also, we may try to reset main supply unit of PSC 28 of NABTESCO. </t>
  </si>
  <si>
    <t>All wirings of CDP unit, D-CPU unit, HNRM and HRS unit were checked and tightened.Upon further investigation it was observed that in one I/O module HISCM 1 which recieves signal from HR M and HR S units there are no lights at the input and output and only RED light which as per manual was for error.                                                              I/O module was pulled out and fitted back which has reset all alarms.                                             All alarms of  ME CDP  DISPLAY unit and Aconis AMS display monitors has been reset.             ME  tried out several times on ahead and astern from Bridge, all parameters were on normal condition and response was satisfactory.                                                            This defect can be closed.</t>
  </si>
  <si>
    <t>Poor quality of coil material of solenoid valve for high salinity recirculation.</t>
  </si>
  <si>
    <t>Coil for the solenoid was replaced with spare new coil and FWG tried out and found all satisfactory. Requsition was raised for the new coil .                                                                This dfect can be closed now.</t>
  </si>
  <si>
    <t xml:space="preserve">During arrival Baytown manouevering vessel recieved main engine TACHO A and TACHO B allingment error and CCU 1 to CCU 6 Tacho error on the MOP.Vessel tried to reset the alarm but again recieving the same alarms. </t>
  </si>
  <si>
    <t>Poor design and less robust material of the old bracket of Tacho .</t>
  </si>
  <si>
    <t>As pilot was onboard it was decided to manually cut out the alarms as it did not affect main engine operation and investigate further once the vessel is anchored.</t>
  </si>
  <si>
    <t>Upon Investigation It Was Found That One Of The Bracket On The Tsa B Angle Encoder Had Broken Down Owing To Which Vessel Was Recieving The Tacho Allingment Error. Both The Brackets For Tsa B Were Replaced By The New Spare Present Onboard.New Brackets Are Of Different Design And More Robust.           Tsa B Adjusted As Per Makers Instructions Manual.                                                          Function Test Of Tacho Carried Out From Mop.It Was Found Successful.                                                   12 Dec 2021 : No Alarm Recieved On Departure From Baytown And Henceforth. Requisition For New Brackets Raised.                                             This Defect Can Be Closed.</t>
  </si>
  <si>
    <t>TP202001020220106125130</t>
  </si>
  <si>
    <t>9882358_PSC_20220105_01</t>
  </si>
  <si>
    <t>Chile</t>
  </si>
  <si>
    <t>Quintero</t>
  </si>
  <si>
    <t>Shashank  Mishra</t>
  </si>
  <si>
    <t>Yaduraj Singh Tyagi</t>
  </si>
  <si>
    <t>USR 2022/01/06 : Cracked bracket for Tacho encoder B was the issue. Replaced with new  upgraded design one and Tacho alignment test done. All in order</t>
  </si>
  <si>
    <t>v55_2022/01/06 13:11:03</t>
  </si>
  <si>
    <t xml:space="preserve">USR 2022/01/06 : Defective coil for solenoid v/v was the issue. Replaced with spare and new spare ordered. </t>
  </si>
  <si>
    <t>v55_2022/01/06 13:11:51</t>
  </si>
  <si>
    <t xml:space="preserve">USR 2022/01/06 : the HiSCM module had got hung and this caused communication issue. </t>
  </si>
  <si>
    <t xml:space="preserve">USR 2022/01/06 : the HiSCM module had got hung and this caused communication issue. Module removed and fitted back. It worked fine after rebooting. </t>
  </si>
  <si>
    <t>v55_2022/01/06 13:13:22</t>
  </si>
  <si>
    <t>MEN</t>
  </si>
  <si>
    <t>MEN18</t>
  </si>
  <si>
    <t>AEQ16</t>
  </si>
  <si>
    <t>MEN15</t>
  </si>
  <si>
    <t>DELETE</t>
  </si>
  <si>
    <t>v55_2022/01/06 8:06:47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</si>
</sst>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29">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1600200</xdr:colOff>
          <xdr:row>2</xdr:row>
          <xdr:rowOff>219075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333375</xdr:colOff>
          <xdr:row>4</xdr:row>
          <xdr:rowOff>171450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1647825</xdr:colOff>
          <xdr:row>4</xdr:row>
          <xdr:rowOff>219075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1628775</xdr:colOff>
          <xdr:row>1</xdr:row>
          <xdr:rowOff>57150</xdr:rowOff>
        </xdr:from>
        <xdr:to>
          <xdr:col>13</xdr:col>
          <xdr:colOff>333375</xdr:colOff>
          <xdr:row>2</xdr:row>
          <xdr:rowOff>200025</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57150</xdr:colOff>
          <xdr:row>1</xdr:row>
          <xdr:rowOff>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yaduraj/AppData/Local/Microsoft/Windows/INetCache/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25" x14ac:dyDescent="0.15"/>
  <cols>
    <col min="1" max="1" width="4.25" style="55" bestFit="1" customWidth="1"/>
    <col min="2" max="2" width="91" style="57" bestFit="1" customWidth="1"/>
    <col min="3" max="3" width="3.5" style="57" customWidth="1"/>
    <col min="4" max="4" width="4.625" style="57" customWidth="1"/>
    <col min="5" max="5" width="11.875" style="57" customWidth="1"/>
    <col min="6" max="6" width="62.875" style="57" customWidth="1"/>
    <col min="7" max="7" width="0" style="57" hidden="1" customWidth="1"/>
    <col min="8" max="16384" width="9" style="57" hidden="1"/>
  </cols>
  <sheetData>
    <row r="1" spans="1:6" s="54" customFormat="1" ht="27.75" x14ac:dyDescent="0.15">
      <c r="A1" s="125" t="s">
        <v>894</v>
      </c>
      <c r="B1" s="125"/>
      <c r="C1" s="75"/>
      <c r="D1" s="124" t="s">
        <v>603</v>
      </c>
      <c r="E1" s="124"/>
      <c r="F1" s="124"/>
    </row>
    <row r="2" spans="1:6" ht="7.5" customHeight="1" x14ac:dyDescent="0.15">
      <c r="B2" s="56"/>
      <c r="C2" s="73"/>
      <c r="E2" s="56"/>
    </row>
    <row r="3" spans="1:6" ht="15" x14ac:dyDescent="0.15">
      <c r="A3" s="55" t="s">
        <v>587</v>
      </c>
      <c r="B3" s="72" t="s">
        <v>894</v>
      </c>
      <c r="C3" s="73"/>
      <c r="D3" s="58" t="s">
        <v>587</v>
      </c>
      <c r="E3" s="59" t="s">
        <v>588</v>
      </c>
      <c r="F3" s="60" t="s">
        <v>589</v>
      </c>
    </row>
    <row r="4" spans="1:6" ht="25.5" x14ac:dyDescent="0.15">
      <c r="A4" s="61">
        <v>1</v>
      </c>
      <c r="B4" s="62" t="s">
        <v>623</v>
      </c>
      <c r="C4" s="73"/>
      <c r="D4" s="63">
        <v>1</v>
      </c>
      <c r="E4" s="64" t="s">
        <v>602</v>
      </c>
      <c r="F4" s="65" t="s">
        <v>622</v>
      </c>
    </row>
    <row r="5" spans="1:6" ht="25.5" x14ac:dyDescent="0.15">
      <c r="A5" s="61">
        <v>2</v>
      </c>
      <c r="B5" s="62" t="s">
        <v>624</v>
      </c>
      <c r="C5" s="73"/>
      <c r="D5" s="63">
        <v>2</v>
      </c>
      <c r="E5" s="64" t="s">
        <v>600</v>
      </c>
      <c r="F5" s="65" t="s">
        <v>601</v>
      </c>
    </row>
    <row r="6" spans="1:6" ht="25.5" x14ac:dyDescent="0.15">
      <c r="A6" s="61">
        <v>3</v>
      </c>
      <c r="B6" s="62" t="s">
        <v>898</v>
      </c>
      <c r="C6" s="73"/>
      <c r="D6" s="63">
        <v>3</v>
      </c>
      <c r="E6" s="64" t="s">
        <v>304</v>
      </c>
      <c r="F6" s="65" t="s">
        <v>599</v>
      </c>
    </row>
    <row r="7" spans="1:6" x14ac:dyDescent="0.15">
      <c r="A7" s="61">
        <v>4</v>
      </c>
      <c r="B7" s="62" t="s">
        <v>604</v>
      </c>
      <c r="C7" s="73"/>
      <c r="D7" s="63">
        <v>4</v>
      </c>
      <c r="E7" s="64" t="s">
        <v>598</v>
      </c>
      <c r="F7" s="65" t="s">
        <v>621</v>
      </c>
    </row>
    <row r="8" spans="1:6" x14ac:dyDescent="0.15">
      <c r="A8" s="61">
        <v>5</v>
      </c>
      <c r="B8" s="62" t="s">
        <v>625</v>
      </c>
      <c r="C8" s="73"/>
      <c r="D8" s="63">
        <v>5</v>
      </c>
      <c r="E8" s="64" t="s">
        <v>596</v>
      </c>
      <c r="F8" s="65" t="s">
        <v>597</v>
      </c>
    </row>
    <row r="9" spans="1:6" ht="38.25" x14ac:dyDescent="0.15">
      <c r="A9" s="61">
        <v>6</v>
      </c>
      <c r="B9" s="78" t="s">
        <v>1043</v>
      </c>
      <c r="C9" s="73"/>
      <c r="D9" s="63">
        <v>6</v>
      </c>
      <c r="E9" s="64" t="s">
        <v>896</v>
      </c>
      <c r="F9" s="65" t="s">
        <v>1044</v>
      </c>
    </row>
    <row r="10" spans="1:6" x14ac:dyDescent="0.15">
      <c r="A10" s="61">
        <v>7</v>
      </c>
      <c r="B10" s="78" t="s">
        <v>605</v>
      </c>
      <c r="C10" s="73"/>
      <c r="D10" s="63">
        <v>7</v>
      </c>
      <c r="E10" s="64" t="s">
        <v>897</v>
      </c>
      <c r="F10" s="65" t="s">
        <v>595</v>
      </c>
    </row>
    <row r="11" spans="1:6" ht="25.5" x14ac:dyDescent="0.15">
      <c r="A11" s="61">
        <v>8</v>
      </c>
      <c r="B11" s="113" t="s">
        <v>1097</v>
      </c>
      <c r="C11" s="73"/>
      <c r="D11" s="63">
        <v>8</v>
      </c>
      <c r="E11" s="64" t="s">
        <v>593</v>
      </c>
      <c r="F11" s="65" t="s">
        <v>594</v>
      </c>
    </row>
    <row r="12" spans="1:6" ht="25.5" x14ac:dyDescent="0.15">
      <c r="C12" s="73"/>
      <c r="D12" s="63">
        <v>9</v>
      </c>
      <c r="E12" s="64" t="s">
        <v>592</v>
      </c>
      <c r="F12" s="65" t="s">
        <v>620</v>
      </c>
    </row>
    <row r="13" spans="1:6" ht="25.5" x14ac:dyDescent="0.15">
      <c r="C13" s="73"/>
      <c r="D13" s="63">
        <v>10</v>
      </c>
      <c r="E13" s="64" t="s">
        <v>890</v>
      </c>
      <c r="F13" s="65" t="s">
        <v>975</v>
      </c>
    </row>
    <row r="14" spans="1:6" ht="25.5" x14ac:dyDescent="0.15">
      <c r="C14" s="73"/>
      <c r="D14" s="63">
        <v>11</v>
      </c>
      <c r="E14" s="64" t="s">
        <v>591</v>
      </c>
      <c r="F14" s="65" t="s">
        <v>976</v>
      </c>
    </row>
    <row r="15" spans="1:6" x14ac:dyDescent="0.15">
      <c r="C15" s="73"/>
      <c r="D15" s="63">
        <v>12</v>
      </c>
      <c r="E15" s="64" t="s">
        <v>590</v>
      </c>
      <c r="F15" s="65" t="s">
        <v>586</v>
      </c>
    </row>
    <row r="16" spans="1:6" ht="25.5" x14ac:dyDescent="0.15">
      <c r="C16" s="73"/>
      <c r="D16" s="63">
        <v>13</v>
      </c>
      <c r="E16" s="64" t="s">
        <v>606</v>
      </c>
      <c r="F16" s="65" t="s">
        <v>613</v>
      </c>
    </row>
    <row r="17" spans="3:6" ht="38.25" x14ac:dyDescent="0.15">
      <c r="C17" s="73"/>
      <c r="D17" s="63">
        <v>14</v>
      </c>
      <c r="E17" s="64" t="s">
        <v>607</v>
      </c>
      <c r="F17" s="65" t="s">
        <v>614</v>
      </c>
    </row>
    <row r="18" spans="3:6" ht="25.5" x14ac:dyDescent="0.15">
      <c r="C18" s="73"/>
      <c r="D18" s="63">
        <v>15</v>
      </c>
      <c r="E18" s="64" t="s">
        <v>608</v>
      </c>
      <c r="F18" s="65" t="s">
        <v>615</v>
      </c>
    </row>
    <row r="19" spans="3:6" ht="38.25" x14ac:dyDescent="0.15">
      <c r="C19" s="73"/>
      <c r="D19" s="63">
        <v>16</v>
      </c>
      <c r="E19" s="64" t="s">
        <v>609</v>
      </c>
      <c r="F19" s="65" t="s">
        <v>616</v>
      </c>
    </row>
    <row r="20" spans="3:6" ht="25.5" x14ac:dyDescent="0.15">
      <c r="C20" s="73"/>
      <c r="D20" s="66">
        <v>17</v>
      </c>
      <c r="E20" s="67" t="s">
        <v>610</v>
      </c>
      <c r="F20" s="68" t="s">
        <v>617</v>
      </c>
    </row>
    <row r="21" spans="3:6" x14ac:dyDescent="0.15">
      <c r="C21" s="73"/>
      <c r="D21" s="63">
        <v>18</v>
      </c>
      <c r="E21" s="67" t="s">
        <v>611</v>
      </c>
      <c r="F21" s="68"/>
    </row>
    <row r="22" spans="3:6" ht="25.5" x14ac:dyDescent="0.15">
      <c r="C22" s="73"/>
      <c r="D22" s="66">
        <v>19</v>
      </c>
      <c r="E22" s="67" t="s">
        <v>487</v>
      </c>
      <c r="F22" s="68" t="s">
        <v>618</v>
      </c>
    </row>
    <row r="23" spans="3:6" x14ac:dyDescent="0.15">
      <c r="C23" s="73"/>
      <c r="D23" s="63">
        <v>20</v>
      </c>
      <c r="E23" s="69" t="s">
        <v>488</v>
      </c>
      <c r="F23" s="68" t="s">
        <v>619</v>
      </c>
    </row>
    <row r="24" spans="3:6" ht="25.5" x14ac:dyDescent="0.15">
      <c r="C24" s="73"/>
      <c r="D24" s="66">
        <v>21</v>
      </c>
      <c r="E24" s="69" t="s">
        <v>612</v>
      </c>
      <c r="F24" s="68" t="s">
        <v>1045</v>
      </c>
    </row>
    <row r="25" spans="3:6" ht="25.5" x14ac:dyDescent="0.15">
      <c r="C25" s="73"/>
      <c r="D25" s="63">
        <v>22</v>
      </c>
      <c r="E25" s="69" t="s">
        <v>1046</v>
      </c>
      <c r="F25" s="68" t="s">
        <v>1047</v>
      </c>
    </row>
    <row r="26" spans="3:6" x14ac:dyDescent="0.15">
      <c r="C26" s="73"/>
      <c r="D26" s="74"/>
      <c r="E26" s="74"/>
      <c r="F26" s="74"/>
    </row>
    <row r="27" spans="3:6" x14ac:dyDescent="0.15">
      <c r="C27" s="73"/>
      <c r="D27" s="74"/>
      <c r="E27" s="74"/>
      <c r="F27" s="74"/>
    </row>
    <row r="28" spans="3:6" x14ac:dyDescent="0.15">
      <c r="D28" s="70"/>
      <c r="E28" s="70"/>
      <c r="F28" s="70"/>
    </row>
    <row r="29" spans="3:6" x14ac:dyDescent="0.15">
      <c r="D29" s="71"/>
      <c r="E29" s="71"/>
    </row>
    <row r="30" spans="3:6" x14ac:dyDescent="0.15">
      <c r="D30" s="71"/>
      <c r="E30" s="71"/>
      <c r="F30" s="71"/>
    </row>
    <row r="31" spans="3:6" x14ac:dyDescent="0.15">
      <c r="D31" s="71"/>
      <c r="E31" s="71"/>
      <c r="F31" s="71"/>
    </row>
    <row r="32" spans="3:6" x14ac:dyDescent="0.15">
      <c r="D32" s="71"/>
      <c r="E32" s="71"/>
      <c r="F32" s="71"/>
    </row>
    <row r="33" spans="4:6" x14ac:dyDescent="0.15">
      <c r="D33" s="71"/>
      <c r="E33" s="71"/>
      <c r="F33" s="71"/>
    </row>
    <row r="34" spans="4:6" x14ac:dyDescent="0.15">
      <c r="D34" s="71"/>
      <c r="E34" s="71"/>
      <c r="F34" s="71"/>
    </row>
    <row r="4333" spans="1:1" x14ac:dyDescent="0.15">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32"/>
  <sheetViews>
    <sheetView tabSelected="1" topLeftCell="B1" zoomScaleNormal="100" workbookViewId="0">
      <pane ySplit="6" topLeftCell="A8" activePane="bottomLeft" state="frozen"/>
      <selection pane="bottomLeft" activeCell="B31" sqref="B31"/>
    </sheetView>
  </sheetViews>
  <sheetFormatPr defaultColWidth="9" defaultRowHeight="15" customHeight="1" x14ac:dyDescent="0.15"/>
  <cols>
    <col min="1" max="1" width="9.75" style="17" hidden="1" customWidth="1"/>
    <col min="2" max="2" width="11.875" style="17" customWidth="1"/>
    <col min="3" max="3" width="20.25" style="17" customWidth="1"/>
    <col min="4" max="4" width="14.875" style="17" customWidth="1"/>
    <col min="5" max="5" width="6.75" style="17" hidden="1" customWidth="1"/>
    <col min="6" max="6" width="9.375" style="17" hidden="1" customWidth="1"/>
    <col min="7" max="7" width="11.5" style="17" customWidth="1"/>
    <col min="8" max="8" width="16" style="17" customWidth="1"/>
    <col min="9" max="9" width="19.625" style="17" customWidth="1"/>
    <col min="10" max="10" width="8.625" style="17" customWidth="1"/>
    <col min="11" max="11" width="31.5" style="17" customWidth="1"/>
    <col min="12" max="12" width="15.25" style="17" hidden="1" customWidth="1"/>
    <col min="13" max="13" width="9" style="17" customWidth="1"/>
    <col min="14" max="14" width="43" style="17" customWidth="1"/>
    <col min="15" max="15" width="33.5" style="17" customWidth="1"/>
    <col min="16" max="16" width="11.5" style="17" customWidth="1"/>
    <col min="17" max="17" width="13.25" style="17" customWidth="1"/>
    <col min="18" max="18" width="9.625" style="17" bestFit="1" customWidth="1"/>
    <col min="19" max="19" width="21.5" style="17" customWidth="1"/>
    <col min="20" max="20" width="12.875" style="17" customWidth="1"/>
    <col min="21" max="23" width="9" style="17" customWidth="1"/>
    <col min="24" max="24" width="21.5" style="17" customWidth="1"/>
    <col min="25" max="25" width="11.125" style="17" customWidth="1"/>
    <col min="26" max="26" width="10.5" style="17" customWidth="1"/>
    <col min="27" max="27" width="16.875" style="17" customWidth="1"/>
    <col min="28" max="28" width="23.5" style="17" customWidth="1"/>
    <col min="29" max="29" width="13.5" style="17" customWidth="1"/>
    <col min="30" max="30" width="9" style="17" customWidth="1"/>
    <col min="31" max="31" width="11.5" style="17" customWidth="1"/>
    <col min="32" max="33" width="11" style="17" hidden="1" customWidth="1"/>
    <col min="34" max="34" width="11" style="17" customWidth="1"/>
    <col min="35" max="35" width="11.25" style="17" customWidth="1"/>
    <col min="36" max="36" width="11.625" style="17" customWidth="1"/>
    <col min="37" max="37" width="15.125" style="17" customWidth="1"/>
    <col min="38" max="38" width="15.5" style="17" customWidth="1"/>
    <col min="39" max="39" width="20.5" style="17" customWidth="1"/>
    <col min="40" max="40" width="11.25" style="17" customWidth="1"/>
    <col min="41" max="42" width="11" style="17" customWidth="1"/>
    <col min="43" max="43" width="14.5" style="17" customWidth="1"/>
    <col min="44" max="47" width="11" style="17" customWidth="1"/>
    <col min="48" max="48" width="12.625" style="17" customWidth="1"/>
    <col min="49" max="49" width="12.5" style="17" hidden="1" customWidth="1"/>
    <col min="50" max="50" width="14" style="17" hidden="1" customWidth="1"/>
    <col min="51" max="51" width="11" style="17" hidden="1" customWidth="1"/>
    <col min="52" max="52" width="11.5" style="17" hidden="1" customWidth="1"/>
    <col min="53" max="53" width="11.25" style="17" hidden="1" customWidth="1"/>
    <col min="54" max="54" width="11" style="17" hidden="1" customWidth="1"/>
    <col min="55" max="55" width="12.5" style="17" hidden="1" customWidth="1"/>
    <col min="56" max="56" width="15.25" style="17" hidden="1" customWidth="1"/>
    <col min="57" max="57" width="12.875" style="17" hidden="1" customWidth="1"/>
    <col min="58" max="59" width="11" style="17" hidden="1" customWidth="1"/>
    <col min="60" max="60" width="12.5" style="17" hidden="1" customWidth="1"/>
    <col min="61" max="63" width="11" style="17" hidden="1" customWidth="1"/>
    <col min="64" max="64" width="25.25" style="17" hidden="1" customWidth="1"/>
    <col min="65" max="65" width="13.625" style="17" hidden="1" customWidth="1"/>
    <col min="66" max="66" width="13.5" style="17" hidden="1" customWidth="1"/>
    <col min="67" max="68" width="11.625" style="17" hidden="1" customWidth="1"/>
    <col min="69" max="69" width="11.25" style="17" hidden="1" customWidth="1"/>
    <col min="70" max="70" width="10" style="17" hidden="1" customWidth="1"/>
    <col min="71" max="74" width="9" style="17" hidden="1" customWidth="1"/>
    <col min="75" max="75" width="11.5" style="17" hidden="1" customWidth="1"/>
    <col min="76" max="76" width="9" style="17" hidden="1" customWidth="1"/>
    <col min="77" max="77" width="10.875" style="17" hidden="1" customWidth="1"/>
    <col min="78" max="78" width="8.5" style="17" hidden="1" customWidth="1"/>
    <col min="79" max="81" width="10.5" style="17" hidden="1" customWidth="1"/>
    <col min="82" max="99" width="9.875" style="17" hidden="1" customWidth="1"/>
    <col min="100" max="100" width="13.625" style="17" hidden="1" customWidth="1"/>
    <col min="101" max="132" width="9" style="17" customWidth="1"/>
    <col min="133" max="133" width="38.625" style="17" customWidth="1"/>
    <col min="134" max="16384" width="9" style="17"/>
  </cols>
  <sheetData>
    <row r="1" spans="1:100" ht="18" customHeight="1" thickBot="1" x14ac:dyDescent="0.25">
      <c r="A1" s="14"/>
      <c r="B1" s="19" t="s">
        <v>799</v>
      </c>
      <c r="C1" s="13" t="s">
        <v>982</v>
      </c>
      <c r="D1" s="24" t="str">
        <f>VLOOKUP(C1,vesseldata,3,FALSE)</f>
        <v>EDS</v>
      </c>
      <c r="E1" s="14"/>
      <c r="F1" s="14"/>
      <c r="G1" s="14"/>
      <c r="H1" s="16" t="s">
        <v>296</v>
      </c>
      <c r="I1" s="10">
        <v>44567.551238425927</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x14ac:dyDescent="0.25">
      <c r="A2" s="14"/>
      <c r="B2" s="15" t="s">
        <v>297</v>
      </c>
      <c r="C2" s="82" t="str">
        <f>VLOOKUP($C$1,vesseldata,4,FALSE)</f>
        <v>TP2020010</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x14ac:dyDescent="0.25">
      <c r="A3" s="14"/>
      <c r="B3" s="15" t="s">
        <v>298</v>
      </c>
      <c r="C3" s="24">
        <f ca="1">TODAY()</f>
        <v>44593</v>
      </c>
      <c r="D3" s="14"/>
      <c r="E3" s="14"/>
      <c r="F3" s="14"/>
      <c r="G3" s="14"/>
      <c r="H3" s="16" t="s">
        <v>299</v>
      </c>
      <c r="I3" s="10">
        <v>44593.819965277777</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x14ac:dyDescent="0.3">
      <c r="A4" s="14"/>
      <c r="B4" s="15" t="s">
        <v>300</v>
      </c>
      <c r="C4" s="20" t="s">
        <v>1101</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x14ac:dyDescent="0.2">
      <c r="A5" s="14"/>
      <c r="B5" s="77" t="s">
        <v>481</v>
      </c>
      <c r="C5" s="79">
        <f>VLOOKUP($C$1,vesseldata,2,FALSE)</f>
        <v>9882358</v>
      </c>
      <c r="D5" s="14"/>
      <c r="E5" s="14"/>
      <c r="F5" s="14"/>
      <c r="G5" s="14"/>
      <c r="H5" s="14"/>
      <c r="I5" s="14"/>
      <c r="J5" s="14"/>
      <c r="K5" s="76"/>
      <c r="L5" s="76"/>
      <c r="M5" s="76"/>
      <c r="N5" s="76"/>
      <c r="O5" s="14"/>
      <c r="P5" s="14"/>
      <c r="Q5" s="14"/>
      <c r="R5" s="14"/>
      <c r="S5" s="14"/>
      <c r="T5" s="14"/>
      <c r="U5" s="14"/>
      <c r="V5" s="14"/>
      <c r="W5" s="14"/>
      <c r="X5" s="126" t="s">
        <v>301</v>
      </c>
      <c r="Y5" s="127"/>
      <c r="Z5" s="127"/>
      <c r="AA5" s="127"/>
      <c r="AB5" s="127"/>
      <c r="AC5" s="127"/>
      <c r="AD5" s="127"/>
      <c r="AE5" s="128"/>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x14ac:dyDescent="0.15">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x14ac:dyDescent="0.2">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9882358</v>
      </c>
      <c r="AV7" s="90" t="str">
        <f>$C$1</f>
        <v>Esteem Discovery</v>
      </c>
      <c r="AW7" s="108" t="str">
        <f>$C$2</f>
        <v>TP2020010</v>
      </c>
      <c r="AX7" s="91">
        <f ca="1">$C$3</f>
        <v>44593</v>
      </c>
      <c r="AY7" s="108" t="str">
        <f>$C$4</f>
        <v>Capt. Arvind Kumar Sharma</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x14ac:dyDescent="0.2">
      <c r="A8" s="117" t="s">
        <v>1102</v>
      </c>
      <c r="B8" s="118">
        <v>44150</v>
      </c>
      <c r="C8" s="117" t="s">
        <v>1103</v>
      </c>
      <c r="D8" s="117" t="s">
        <v>337</v>
      </c>
      <c r="E8" s="119" t="s">
        <v>1104</v>
      </c>
      <c r="F8" s="117" t="s">
        <v>1105</v>
      </c>
      <c r="G8" s="117" t="s">
        <v>338</v>
      </c>
      <c r="H8" s="117" t="s">
        <v>1106</v>
      </c>
      <c r="I8" s="117" t="s">
        <v>339</v>
      </c>
      <c r="J8" s="117" t="s">
        <v>1107</v>
      </c>
      <c r="K8" s="117" t="s">
        <v>576</v>
      </c>
      <c r="L8" s="117" t="s">
        <v>1108</v>
      </c>
      <c r="M8" s="119" t="s">
        <v>346</v>
      </c>
      <c r="N8" s="117" t="s">
        <v>1109</v>
      </c>
      <c r="O8" s="117" t="s">
        <v>1110</v>
      </c>
      <c r="P8" s="117" t="s">
        <v>1111</v>
      </c>
      <c r="Q8" s="118">
        <v>44150</v>
      </c>
      <c r="R8" s="118">
        <v>44165</v>
      </c>
      <c r="S8" s="117" t="s">
        <v>1112</v>
      </c>
      <c r="T8" s="118">
        <v>44152</v>
      </c>
      <c r="U8" s="120" t="s">
        <v>295</v>
      </c>
      <c r="V8" s="120" t="s">
        <v>295</v>
      </c>
      <c r="W8" s="121" t="s">
        <v>262</v>
      </c>
      <c r="X8" s="117" t="s">
        <v>1113</v>
      </c>
      <c r="Y8" s="117"/>
      <c r="Z8" s="117"/>
      <c r="AA8" s="117" t="s">
        <v>5</v>
      </c>
      <c r="AB8" s="117" t="s">
        <v>1112</v>
      </c>
      <c r="AC8" s="118">
        <v>44152</v>
      </c>
      <c r="AD8" s="117" t="s">
        <v>349</v>
      </c>
      <c r="AE8" s="117" t="s">
        <v>1114</v>
      </c>
      <c r="AF8" s="90" t="s">
        <v>1115</v>
      </c>
      <c r="AG8" s="90" t="s">
        <v>0</v>
      </c>
      <c r="AH8" s="93" t="s">
        <v>972</v>
      </c>
      <c r="AI8" s="93" t="b">
        <v>0</v>
      </c>
      <c r="AJ8" s="93"/>
      <c r="AK8" s="93" t="b">
        <v>0</v>
      </c>
      <c r="AL8" s="93"/>
      <c r="AM8" s="93" t="b">
        <v>0</v>
      </c>
      <c r="AN8" s="93" t="b">
        <v>0</v>
      </c>
      <c r="AO8" s="93" t="b">
        <v>0</v>
      </c>
      <c r="AP8" s="93" t="b">
        <v>0</v>
      </c>
      <c r="AQ8" s="93" t="b">
        <v>0</v>
      </c>
      <c r="AR8" s="93" t="b">
        <v>0</v>
      </c>
      <c r="AS8" s="93" t="b">
        <v>0</v>
      </c>
      <c r="AT8" s="107" t="s">
        <v>1128</v>
      </c>
      <c r="AU8" s="94">
        <v>9882358</v>
      </c>
      <c r="AV8" s="90" t="s">
        <v>982</v>
      </c>
      <c r="AW8" s="108" t="s">
        <v>1052</v>
      </c>
      <c r="AX8" s="91">
        <v>44509</v>
      </c>
      <c r="AY8" s="108" t="s">
        <v>1101</v>
      </c>
      <c r="AZ8" s="90" t="s">
        <v>13</v>
      </c>
      <c r="BA8" s="90" t="s">
        <v>83</v>
      </c>
      <c r="BB8" s="90" t="s">
        <v>52</v>
      </c>
      <c r="BC8" s="90"/>
      <c r="BD8" s="90" t="s">
        <v>576</v>
      </c>
      <c r="BE8" s="90" t="s">
        <v>1116</v>
      </c>
      <c r="BF8" s="90"/>
      <c r="BG8" s="91"/>
      <c r="BH8" s="93" t="b">
        <v>0</v>
      </c>
      <c r="BI8" s="90"/>
      <c r="BJ8" s="90" t="s">
        <v>499</v>
      </c>
      <c r="BK8" s="90" t="s">
        <v>1117</v>
      </c>
      <c r="BL8" s="90" t="s">
        <v>1118</v>
      </c>
      <c r="BM8" s="90"/>
      <c r="BN8" s="90" t="s">
        <v>1119</v>
      </c>
      <c r="BO8" s="90" t="s">
        <v>1120</v>
      </c>
      <c r="BP8" s="90" t="s">
        <v>1121</v>
      </c>
      <c r="BQ8" s="90" t="s">
        <v>1122</v>
      </c>
      <c r="BR8" s="95"/>
      <c r="BS8" s="90" t="s">
        <v>1123</v>
      </c>
      <c r="BT8" s="90" t="s">
        <v>1124</v>
      </c>
      <c r="BU8" s="90" t="s">
        <v>1125</v>
      </c>
      <c r="BV8" s="90"/>
      <c r="BW8" s="90"/>
      <c r="BX8" s="90"/>
      <c r="BY8" s="90"/>
      <c r="BZ8" s="90"/>
      <c r="CA8" s="90"/>
      <c r="CB8" s="90"/>
      <c r="CC8" s="91"/>
      <c r="CD8" s="90"/>
      <c r="CE8" s="91"/>
      <c r="CF8" s="90"/>
      <c r="CG8" s="91"/>
      <c r="CH8" s="90"/>
      <c r="CI8" s="91"/>
      <c r="CJ8" s="90"/>
      <c r="CK8" s="91"/>
      <c r="CL8" s="90"/>
      <c r="CM8" s="91"/>
      <c r="CN8" s="96"/>
      <c r="CO8" s="91"/>
      <c r="CP8" s="90" t="s">
        <v>775</v>
      </c>
      <c r="CQ8" s="90" t="s">
        <v>1126</v>
      </c>
      <c r="CR8" s="90" t="s">
        <v>1127</v>
      </c>
      <c r="CS8" s="90">
        <v>8</v>
      </c>
      <c r="CT8" s="91">
        <v>44152</v>
      </c>
      <c r="CU8" s="90" t="s">
        <v>1114</v>
      </c>
      <c r="CV8" s="97"/>
    </row>
    <row r="9" spans="1:100" ht="15" customHeight="1" x14ac:dyDescent="0.2">
      <c r="A9" s="117" t="s">
        <v>1130</v>
      </c>
      <c r="B9" s="118">
        <v>44314</v>
      </c>
      <c r="C9" s="117" t="s">
        <v>1129</v>
      </c>
      <c r="D9" s="117" t="s">
        <v>337</v>
      </c>
      <c r="E9" s="119" t="s">
        <v>1104</v>
      </c>
      <c r="F9" s="117" t="s">
        <v>1105</v>
      </c>
      <c r="G9" s="117" t="s">
        <v>370</v>
      </c>
      <c r="H9" s="117" t="s">
        <v>1131</v>
      </c>
      <c r="I9" s="117" t="s">
        <v>339</v>
      </c>
      <c r="J9" s="117" t="s">
        <v>1107</v>
      </c>
      <c r="K9" s="117" t="s">
        <v>801</v>
      </c>
      <c r="L9" s="117" t="s">
        <v>1132</v>
      </c>
      <c r="M9" s="119" t="s">
        <v>346</v>
      </c>
      <c r="N9" s="117" t="s">
        <v>1133</v>
      </c>
      <c r="O9" s="117" t="s">
        <v>262</v>
      </c>
      <c r="P9" s="117" t="s">
        <v>262</v>
      </c>
      <c r="Q9" s="118">
        <v>44314</v>
      </c>
      <c r="R9" s="118">
        <v>44314</v>
      </c>
      <c r="S9" s="117" t="s">
        <v>262</v>
      </c>
      <c r="T9" s="118"/>
      <c r="U9" s="120" t="s">
        <v>295</v>
      </c>
      <c r="V9" s="120" t="s">
        <v>295</v>
      </c>
      <c r="W9" s="121" t="s">
        <v>262</v>
      </c>
      <c r="X9" s="117" t="s">
        <v>1134</v>
      </c>
      <c r="Y9" s="117"/>
      <c r="Z9" s="117"/>
      <c r="AA9" s="117" t="s">
        <v>5</v>
      </c>
      <c r="AB9" s="117" t="s">
        <v>1135</v>
      </c>
      <c r="AC9" s="118">
        <v>44314</v>
      </c>
      <c r="AD9" s="117" t="s">
        <v>349</v>
      </c>
      <c r="AE9" s="117" t="s">
        <v>1114</v>
      </c>
      <c r="AF9" s="90" t="s">
        <v>1115</v>
      </c>
      <c r="AG9" s="90" t="s">
        <v>0</v>
      </c>
      <c r="AH9" s="93" t="s">
        <v>972</v>
      </c>
      <c r="AI9" s="93" t="b">
        <v>0</v>
      </c>
      <c r="AJ9" s="93"/>
      <c r="AK9" s="93" t="b">
        <v>0</v>
      </c>
      <c r="AL9" s="93"/>
      <c r="AM9" s="93" t="b">
        <v>0</v>
      </c>
      <c r="AN9" s="93" t="b">
        <v>0</v>
      </c>
      <c r="AO9" s="93" t="b">
        <v>0</v>
      </c>
      <c r="AP9" s="93" t="b">
        <v>0</v>
      </c>
      <c r="AQ9" s="93" t="b">
        <v>0</v>
      </c>
      <c r="AR9" s="93" t="b">
        <v>0</v>
      </c>
      <c r="AS9" s="93" t="b">
        <v>0</v>
      </c>
      <c r="AT9" s="107" t="s">
        <v>1143</v>
      </c>
      <c r="AU9" s="94">
        <v>9882358</v>
      </c>
      <c r="AV9" s="90" t="s">
        <v>982</v>
      </c>
      <c r="AW9" s="108" t="s">
        <v>1052</v>
      </c>
      <c r="AX9" s="91">
        <v>44509</v>
      </c>
      <c r="AY9" s="108" t="s">
        <v>1101</v>
      </c>
      <c r="AZ9" s="90"/>
      <c r="BA9" s="90"/>
      <c r="BB9" s="90" t="s">
        <v>402</v>
      </c>
      <c r="BC9" s="90" t="s">
        <v>262</v>
      </c>
      <c r="BD9" s="90" t="s">
        <v>801</v>
      </c>
      <c r="BE9" s="90"/>
      <c r="BF9" s="90"/>
      <c r="BG9" s="91"/>
      <c r="BH9" s="93" t="b">
        <v>0</v>
      </c>
      <c r="BI9" s="90"/>
      <c r="BJ9" s="90"/>
      <c r="BK9" s="90" t="s">
        <v>1117</v>
      </c>
      <c r="BL9" s="90" t="s">
        <v>1136</v>
      </c>
      <c r="BM9" s="90"/>
      <c r="BN9" s="90" t="s">
        <v>1137</v>
      </c>
      <c r="BO9" s="90" t="s">
        <v>1138</v>
      </c>
      <c r="BP9" s="90" t="s">
        <v>1121</v>
      </c>
      <c r="BQ9" s="90" t="s">
        <v>1122</v>
      </c>
      <c r="BR9" s="95"/>
      <c r="BS9" s="90" t="s">
        <v>1139</v>
      </c>
      <c r="BT9" s="90" t="s">
        <v>1140</v>
      </c>
      <c r="BU9" s="90" t="s">
        <v>1141</v>
      </c>
      <c r="BV9" s="90"/>
      <c r="BW9" s="90"/>
      <c r="BX9" s="90"/>
      <c r="BY9" s="90"/>
      <c r="BZ9" s="90"/>
      <c r="CA9" s="90"/>
      <c r="CB9" s="90"/>
      <c r="CC9" s="91"/>
      <c r="CD9" s="90"/>
      <c r="CE9" s="91"/>
      <c r="CF9" s="90"/>
      <c r="CG9" s="91"/>
      <c r="CH9" s="90"/>
      <c r="CI9" s="91"/>
      <c r="CJ9" s="90"/>
      <c r="CK9" s="91"/>
      <c r="CL9" s="90"/>
      <c r="CM9" s="91"/>
      <c r="CN9" s="96"/>
      <c r="CO9" s="91"/>
      <c r="CP9" s="90" t="s">
        <v>773</v>
      </c>
      <c r="CQ9" s="90" t="s">
        <v>1142</v>
      </c>
      <c r="CR9" s="90" t="s">
        <v>1127</v>
      </c>
      <c r="CS9" s="90">
        <v>2</v>
      </c>
      <c r="CT9" s="91">
        <v>44319</v>
      </c>
      <c r="CU9" s="90" t="s">
        <v>1114</v>
      </c>
      <c r="CV9" s="97"/>
    </row>
    <row r="10" spans="1:100" ht="15" customHeight="1" x14ac:dyDescent="0.2">
      <c r="A10" s="117" t="s">
        <v>1145</v>
      </c>
      <c r="B10" s="118">
        <v>44235</v>
      </c>
      <c r="C10" s="117" t="s">
        <v>1144</v>
      </c>
      <c r="D10" s="117" t="s">
        <v>358</v>
      </c>
      <c r="E10" s="119" t="s">
        <v>1146</v>
      </c>
      <c r="F10" s="117" t="s">
        <v>1147</v>
      </c>
      <c r="G10" s="117" t="s">
        <v>377</v>
      </c>
      <c r="H10" s="117"/>
      <c r="I10" s="117" t="s">
        <v>360</v>
      </c>
      <c r="J10" s="117" t="s">
        <v>1148</v>
      </c>
      <c r="K10" s="117" t="s">
        <v>402</v>
      </c>
      <c r="L10" s="117" t="s">
        <v>1149</v>
      </c>
      <c r="M10" s="119" t="s">
        <v>346</v>
      </c>
      <c r="N10" s="117" t="s">
        <v>1150</v>
      </c>
      <c r="O10" s="117" t="s">
        <v>262</v>
      </c>
      <c r="P10" s="117" t="s">
        <v>262</v>
      </c>
      <c r="Q10" s="118"/>
      <c r="R10" s="118">
        <v>44235</v>
      </c>
      <c r="S10" s="117" t="s">
        <v>262</v>
      </c>
      <c r="T10" s="118"/>
      <c r="U10" s="120" t="s">
        <v>295</v>
      </c>
      <c r="V10" s="120" t="s">
        <v>295</v>
      </c>
      <c r="W10" s="121" t="s">
        <v>262</v>
      </c>
      <c r="X10" s="117" t="s">
        <v>1134</v>
      </c>
      <c r="Y10" s="117"/>
      <c r="Z10" s="117"/>
      <c r="AA10" s="117" t="s">
        <v>5</v>
      </c>
      <c r="AB10" s="117" t="s">
        <v>262</v>
      </c>
      <c r="AC10" s="118">
        <v>44235</v>
      </c>
      <c r="AD10" s="117" t="s">
        <v>349</v>
      </c>
      <c r="AE10" s="117" t="s">
        <v>1151</v>
      </c>
      <c r="AF10" s="90" t="s">
        <v>1115</v>
      </c>
      <c r="AG10" s="90" t="s">
        <v>0</v>
      </c>
      <c r="AH10" s="93" t="s">
        <v>972</v>
      </c>
      <c r="AI10" s="93" t="b">
        <v>0</v>
      </c>
      <c r="AJ10" s="93"/>
      <c r="AK10" s="93" t="b">
        <v>0</v>
      </c>
      <c r="AL10" s="93"/>
      <c r="AM10" s="93" t="b">
        <v>0</v>
      </c>
      <c r="AN10" s="93" t="b">
        <v>0</v>
      </c>
      <c r="AO10" s="93" t="b">
        <v>0</v>
      </c>
      <c r="AP10" s="93" t="b">
        <v>0</v>
      </c>
      <c r="AQ10" s="93" t="b">
        <v>0</v>
      </c>
      <c r="AR10" s="93" t="b">
        <v>0</v>
      </c>
      <c r="AS10" s="93" t="b">
        <v>0</v>
      </c>
      <c r="AT10" s="107" t="s">
        <v>1162</v>
      </c>
      <c r="AU10" s="94">
        <v>9882358</v>
      </c>
      <c r="AV10" s="90" t="s">
        <v>982</v>
      </c>
      <c r="AW10" s="108" t="s">
        <v>1052</v>
      </c>
      <c r="AX10" s="91">
        <v>44509</v>
      </c>
      <c r="AY10" s="108" t="s">
        <v>1101</v>
      </c>
      <c r="AZ10" s="90"/>
      <c r="BA10" s="90"/>
      <c r="BB10" s="90" t="s">
        <v>402</v>
      </c>
      <c r="BC10" s="90" t="s">
        <v>262</v>
      </c>
      <c r="BD10" s="90" t="s">
        <v>801</v>
      </c>
      <c r="BE10" s="90"/>
      <c r="BF10" s="90"/>
      <c r="BG10" s="91"/>
      <c r="BH10" s="93" t="b">
        <v>0</v>
      </c>
      <c r="BI10" s="90"/>
      <c r="BJ10" s="90"/>
      <c r="BK10" s="90" t="s">
        <v>1117</v>
      </c>
      <c r="BL10" s="90" t="s">
        <v>1152</v>
      </c>
      <c r="BM10" s="90" t="s">
        <v>842</v>
      </c>
      <c r="BN10" s="90" t="s">
        <v>1153</v>
      </c>
      <c r="BO10" s="90" t="s">
        <v>1154</v>
      </c>
      <c r="BP10" s="90" t="s">
        <v>1155</v>
      </c>
      <c r="BQ10" s="90" t="s">
        <v>1156</v>
      </c>
      <c r="BR10" s="95">
        <v>203.83687499999999</v>
      </c>
      <c r="BS10" s="90" t="s">
        <v>1139</v>
      </c>
      <c r="BT10" s="90" t="s">
        <v>1140</v>
      </c>
      <c r="BU10" s="90" t="s">
        <v>1157</v>
      </c>
      <c r="BV10" s="90" t="s">
        <v>1158</v>
      </c>
      <c r="BW10" s="90" t="s">
        <v>1159</v>
      </c>
      <c r="BX10" s="90" t="s">
        <v>1160</v>
      </c>
      <c r="BY10" s="90" t="s">
        <v>1161</v>
      </c>
      <c r="BZ10" s="90" t="s">
        <v>346</v>
      </c>
      <c r="CA10" s="90" t="s">
        <v>341</v>
      </c>
      <c r="CB10" s="90" t="s">
        <v>1151</v>
      </c>
      <c r="CC10" s="91">
        <v>44235</v>
      </c>
      <c r="CD10" s="90" t="s">
        <v>341</v>
      </c>
      <c r="CE10" s="91">
        <v>44235</v>
      </c>
      <c r="CF10" s="90" t="s">
        <v>341</v>
      </c>
      <c r="CG10" s="91">
        <v>44235</v>
      </c>
      <c r="CH10" s="90" t="s">
        <v>262</v>
      </c>
      <c r="CI10" s="91"/>
      <c r="CJ10" s="90" t="s">
        <v>341</v>
      </c>
      <c r="CK10" s="91">
        <v>44235</v>
      </c>
      <c r="CL10" s="90" t="s">
        <v>341</v>
      </c>
      <c r="CM10" s="91">
        <v>44235</v>
      </c>
      <c r="CN10" s="96"/>
      <c r="CO10" s="91"/>
      <c r="CP10" s="90"/>
      <c r="CQ10" s="90"/>
      <c r="CR10" s="90"/>
      <c r="CS10" s="90"/>
      <c r="CT10" s="91"/>
      <c r="CU10" s="90"/>
      <c r="CV10" s="97"/>
    </row>
    <row r="11" spans="1:100" ht="15" customHeight="1" x14ac:dyDescent="0.2">
      <c r="A11" s="117" t="s">
        <v>1164</v>
      </c>
      <c r="B11" s="118">
        <v>44343</v>
      </c>
      <c r="C11" s="117" t="s">
        <v>1163</v>
      </c>
      <c r="D11" s="117" t="s">
        <v>352</v>
      </c>
      <c r="E11" s="119" t="s">
        <v>1165</v>
      </c>
      <c r="F11" s="117" t="s">
        <v>1166</v>
      </c>
      <c r="G11" s="117" t="s">
        <v>374</v>
      </c>
      <c r="H11" s="117" t="s">
        <v>1167</v>
      </c>
      <c r="I11" s="117" t="s">
        <v>354</v>
      </c>
      <c r="J11" s="117" t="s">
        <v>1168</v>
      </c>
      <c r="K11" s="117" t="s">
        <v>335</v>
      </c>
      <c r="L11" s="117" t="s">
        <v>1169</v>
      </c>
      <c r="M11" s="119" t="s">
        <v>346</v>
      </c>
      <c r="N11" s="117" t="s">
        <v>1170</v>
      </c>
      <c r="O11" s="117" t="s">
        <v>1171</v>
      </c>
      <c r="P11" s="117" t="s">
        <v>1172</v>
      </c>
      <c r="Q11" s="118">
        <v>44343</v>
      </c>
      <c r="R11" s="118">
        <v>44433</v>
      </c>
      <c r="S11" s="117" t="s">
        <v>1173</v>
      </c>
      <c r="T11" s="118"/>
      <c r="U11" s="120" t="s">
        <v>295</v>
      </c>
      <c r="V11" s="120" t="s">
        <v>295</v>
      </c>
      <c r="W11" s="121" t="s">
        <v>262</v>
      </c>
      <c r="X11" s="117" t="s">
        <v>1174</v>
      </c>
      <c r="Y11" s="117"/>
      <c r="Z11" s="117"/>
      <c r="AA11" s="117" t="s">
        <v>5</v>
      </c>
      <c r="AB11" s="117" t="s">
        <v>1174</v>
      </c>
      <c r="AC11" s="118">
        <v>44343</v>
      </c>
      <c r="AD11" s="117" t="s">
        <v>349</v>
      </c>
      <c r="AE11" s="117" t="s">
        <v>1175</v>
      </c>
      <c r="AF11" s="90" t="s">
        <v>1115</v>
      </c>
      <c r="AG11" s="90" t="s">
        <v>0</v>
      </c>
      <c r="AH11" s="93" t="s">
        <v>972</v>
      </c>
      <c r="AI11" s="93" t="b">
        <v>0</v>
      </c>
      <c r="AJ11" s="93"/>
      <c r="AK11" s="93" t="b">
        <v>0</v>
      </c>
      <c r="AL11" s="93"/>
      <c r="AM11" s="93" t="b">
        <v>0</v>
      </c>
      <c r="AN11" s="93" t="b">
        <v>0</v>
      </c>
      <c r="AO11" s="93" t="b">
        <v>0</v>
      </c>
      <c r="AP11" s="93" t="b">
        <v>0</v>
      </c>
      <c r="AQ11" s="93" t="b">
        <v>0</v>
      </c>
      <c r="AR11" s="93" t="b">
        <v>0</v>
      </c>
      <c r="AS11" s="93" t="b">
        <v>0</v>
      </c>
      <c r="AT11" s="107" t="s">
        <v>1176</v>
      </c>
      <c r="AU11" s="94">
        <v>9882358</v>
      </c>
      <c r="AV11" s="90" t="s">
        <v>982</v>
      </c>
      <c r="AW11" s="108" t="s">
        <v>1052</v>
      </c>
      <c r="AX11" s="91">
        <v>44509</v>
      </c>
      <c r="AY11" s="108" t="s">
        <v>1101</v>
      </c>
      <c r="AZ11" s="90" t="s">
        <v>23</v>
      </c>
      <c r="BA11" s="90" t="s">
        <v>164</v>
      </c>
      <c r="BB11" s="90" t="s">
        <v>336</v>
      </c>
      <c r="BC11" s="90"/>
      <c r="BD11" s="90" t="s">
        <v>29</v>
      </c>
      <c r="BE11" s="90"/>
      <c r="BF11" s="90"/>
      <c r="BG11" s="91"/>
      <c r="BH11" s="93" t="b">
        <v>0</v>
      </c>
      <c r="BI11" s="90"/>
      <c r="BJ11" s="90"/>
      <c r="BK11" s="90" t="s">
        <v>1117</v>
      </c>
      <c r="BL11" s="90"/>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x14ac:dyDescent="0.2">
      <c r="A12" s="117" t="s">
        <v>1178</v>
      </c>
      <c r="B12" s="118">
        <v>44343</v>
      </c>
      <c r="C12" s="117" t="s">
        <v>1177</v>
      </c>
      <c r="D12" s="117" t="s">
        <v>352</v>
      </c>
      <c r="E12" s="119" t="s">
        <v>1165</v>
      </c>
      <c r="F12" s="117" t="s">
        <v>1166</v>
      </c>
      <c r="G12" s="117" t="s">
        <v>374</v>
      </c>
      <c r="H12" s="117" t="s">
        <v>1167</v>
      </c>
      <c r="I12" s="117" t="s">
        <v>354</v>
      </c>
      <c r="J12" s="117" t="s">
        <v>1168</v>
      </c>
      <c r="K12" s="117" t="s">
        <v>426</v>
      </c>
      <c r="L12" s="117" t="s">
        <v>1179</v>
      </c>
      <c r="M12" s="119" t="s">
        <v>346</v>
      </c>
      <c r="N12" s="117" t="s">
        <v>1180</v>
      </c>
      <c r="O12" s="117" t="s">
        <v>1181</v>
      </c>
      <c r="P12" s="117" t="s">
        <v>1182</v>
      </c>
      <c r="Q12" s="118">
        <v>44345</v>
      </c>
      <c r="R12" s="118">
        <v>44433</v>
      </c>
      <c r="S12" s="117" t="s">
        <v>1183</v>
      </c>
      <c r="T12" s="118">
        <v>44348</v>
      </c>
      <c r="U12" s="120" t="s">
        <v>295</v>
      </c>
      <c r="V12" s="120" t="s">
        <v>295</v>
      </c>
      <c r="W12" s="121" t="s">
        <v>262</v>
      </c>
      <c r="X12" s="117" t="s">
        <v>1184</v>
      </c>
      <c r="Y12" s="117"/>
      <c r="Z12" s="117"/>
      <c r="AA12" s="117" t="s">
        <v>1</v>
      </c>
      <c r="AB12" s="117" t="s">
        <v>1185</v>
      </c>
      <c r="AC12" s="118">
        <v>44348</v>
      </c>
      <c r="AD12" s="117" t="s">
        <v>349</v>
      </c>
      <c r="AE12" s="117" t="s">
        <v>1175</v>
      </c>
      <c r="AF12" s="90" t="s">
        <v>1115</v>
      </c>
      <c r="AG12" s="90" t="s">
        <v>0</v>
      </c>
      <c r="AH12" s="93" t="s">
        <v>972</v>
      </c>
      <c r="AI12" s="93" t="b">
        <v>0</v>
      </c>
      <c r="AJ12" s="93"/>
      <c r="AK12" s="93" t="b">
        <v>0</v>
      </c>
      <c r="AL12" s="93"/>
      <c r="AM12" s="93" t="b">
        <v>0</v>
      </c>
      <c r="AN12" s="93" t="b">
        <v>0</v>
      </c>
      <c r="AO12" s="93" t="b">
        <v>0</v>
      </c>
      <c r="AP12" s="93" t="b">
        <v>0</v>
      </c>
      <c r="AQ12" s="93" t="b">
        <v>0</v>
      </c>
      <c r="AR12" s="93" t="b">
        <v>0</v>
      </c>
      <c r="AS12" s="93" t="b">
        <v>0</v>
      </c>
      <c r="AT12" s="107" t="s">
        <v>1186</v>
      </c>
      <c r="AU12" s="94">
        <v>9882358</v>
      </c>
      <c r="AV12" s="90" t="s">
        <v>982</v>
      </c>
      <c r="AW12" s="108" t="s">
        <v>1052</v>
      </c>
      <c r="AX12" s="91">
        <v>44509</v>
      </c>
      <c r="AY12" s="108" t="s">
        <v>1101</v>
      </c>
      <c r="AZ12" s="90" t="s">
        <v>13</v>
      </c>
      <c r="BA12" s="90" t="s">
        <v>83</v>
      </c>
      <c r="BB12" s="90" t="s">
        <v>52</v>
      </c>
      <c r="BC12" s="90"/>
      <c r="BD12" s="90" t="s">
        <v>30</v>
      </c>
      <c r="BE12" s="90"/>
      <c r="BF12" s="90"/>
      <c r="BG12" s="91"/>
      <c r="BH12" s="93" t="b">
        <v>0</v>
      </c>
      <c r="BI12" s="90"/>
      <c r="BJ12" s="90"/>
      <c r="BK12" s="90" t="s">
        <v>1117</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x14ac:dyDescent="0.2">
      <c r="A13" s="117" t="s">
        <v>1188</v>
      </c>
      <c r="B13" s="118">
        <v>44343</v>
      </c>
      <c r="C13" s="117" t="s">
        <v>1187</v>
      </c>
      <c r="D13" s="117" t="s">
        <v>352</v>
      </c>
      <c r="E13" s="119" t="s">
        <v>1165</v>
      </c>
      <c r="F13" s="117" t="s">
        <v>1166</v>
      </c>
      <c r="G13" s="117" t="s">
        <v>374</v>
      </c>
      <c r="H13" s="117" t="s">
        <v>1167</v>
      </c>
      <c r="I13" s="117" t="s">
        <v>354</v>
      </c>
      <c r="J13" s="117" t="s">
        <v>1168</v>
      </c>
      <c r="K13" s="117" t="s">
        <v>402</v>
      </c>
      <c r="L13" s="117" t="s">
        <v>1189</v>
      </c>
      <c r="M13" s="119" t="s">
        <v>346</v>
      </c>
      <c r="N13" s="117" t="s">
        <v>1190</v>
      </c>
      <c r="O13" s="117" t="s">
        <v>262</v>
      </c>
      <c r="P13" s="117" t="s">
        <v>262</v>
      </c>
      <c r="Q13" s="118">
        <v>44343</v>
      </c>
      <c r="R13" s="118">
        <v>44343</v>
      </c>
      <c r="S13" s="117" t="s">
        <v>262</v>
      </c>
      <c r="T13" s="118">
        <v>44348</v>
      </c>
      <c r="U13" s="120" t="s">
        <v>295</v>
      </c>
      <c r="V13" s="120" t="s">
        <v>295</v>
      </c>
      <c r="W13" s="121" t="s">
        <v>262</v>
      </c>
      <c r="X13" s="117" t="s">
        <v>1134</v>
      </c>
      <c r="Y13" s="117"/>
      <c r="Z13" s="117"/>
      <c r="AA13" s="117" t="s">
        <v>5</v>
      </c>
      <c r="AB13" s="117" t="s">
        <v>1191</v>
      </c>
      <c r="AC13" s="118">
        <v>44343</v>
      </c>
      <c r="AD13" s="117" t="s">
        <v>349</v>
      </c>
      <c r="AE13" s="117" t="s">
        <v>1167</v>
      </c>
      <c r="AF13" s="90" t="s">
        <v>1115</v>
      </c>
      <c r="AG13" s="90" t="s">
        <v>0</v>
      </c>
      <c r="AH13" s="93" t="s">
        <v>972</v>
      </c>
      <c r="AI13" s="93" t="b">
        <v>0</v>
      </c>
      <c r="AJ13" s="93"/>
      <c r="AK13" s="93" t="b">
        <v>0</v>
      </c>
      <c r="AL13" s="93"/>
      <c r="AM13" s="93" t="b">
        <v>0</v>
      </c>
      <c r="AN13" s="93" t="b">
        <v>0</v>
      </c>
      <c r="AO13" s="93" t="b">
        <v>0</v>
      </c>
      <c r="AP13" s="93" t="b">
        <v>0</v>
      </c>
      <c r="AQ13" s="93" t="b">
        <v>0</v>
      </c>
      <c r="AR13" s="93" t="b">
        <v>0</v>
      </c>
      <c r="AS13" s="93" t="b">
        <v>0</v>
      </c>
      <c r="AT13" s="107" t="s">
        <v>1192</v>
      </c>
      <c r="AU13" s="94">
        <v>9882358</v>
      </c>
      <c r="AV13" s="90" t="s">
        <v>982</v>
      </c>
      <c r="AW13" s="108" t="s">
        <v>1052</v>
      </c>
      <c r="AX13" s="91">
        <v>44509</v>
      </c>
      <c r="AY13" s="108" t="s">
        <v>1101</v>
      </c>
      <c r="AZ13" s="90"/>
      <c r="BA13" s="90"/>
      <c r="BB13" s="90" t="s">
        <v>402</v>
      </c>
      <c r="BC13" s="90" t="s">
        <v>262</v>
      </c>
      <c r="BD13" s="90" t="s">
        <v>801</v>
      </c>
      <c r="BE13" s="90"/>
      <c r="BF13" s="90"/>
      <c r="BG13" s="91"/>
      <c r="BH13" s="93" t="b">
        <v>0</v>
      </c>
      <c r="BI13" s="90"/>
      <c r="BJ13" s="90"/>
      <c r="BK13" s="90" t="s">
        <v>1117</v>
      </c>
      <c r="BL13" s="90"/>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x14ac:dyDescent="0.2">
      <c r="A14" s="117" t="s">
        <v>1194</v>
      </c>
      <c r="B14" s="118">
        <v>44440</v>
      </c>
      <c r="C14" s="117" t="s">
        <v>1193</v>
      </c>
      <c r="D14" s="117" t="s">
        <v>358</v>
      </c>
      <c r="E14" s="119" t="s">
        <v>1146</v>
      </c>
      <c r="F14" s="117" t="s">
        <v>1147</v>
      </c>
      <c r="G14" s="117" t="s">
        <v>379</v>
      </c>
      <c r="H14" s="117"/>
      <c r="I14" s="117" t="s">
        <v>360</v>
      </c>
      <c r="J14" s="117" t="s">
        <v>1148</v>
      </c>
      <c r="K14" s="117" t="s">
        <v>402</v>
      </c>
      <c r="L14" s="117" t="s">
        <v>1149</v>
      </c>
      <c r="M14" s="119" t="s">
        <v>346</v>
      </c>
      <c r="N14" s="117" t="s">
        <v>1150</v>
      </c>
      <c r="O14" s="117" t="s">
        <v>262</v>
      </c>
      <c r="P14" s="117" t="s">
        <v>262</v>
      </c>
      <c r="Q14" s="118"/>
      <c r="R14" s="118">
        <v>44440</v>
      </c>
      <c r="S14" s="117" t="s">
        <v>262</v>
      </c>
      <c r="T14" s="118"/>
      <c r="U14" s="120" t="s">
        <v>295</v>
      </c>
      <c r="V14" s="120" t="s">
        <v>295</v>
      </c>
      <c r="W14" s="121" t="s">
        <v>262</v>
      </c>
      <c r="X14" s="117" t="s">
        <v>1134</v>
      </c>
      <c r="Y14" s="117"/>
      <c r="Z14" s="117"/>
      <c r="AA14" s="117" t="s">
        <v>5</v>
      </c>
      <c r="AB14" s="117" t="s">
        <v>262</v>
      </c>
      <c r="AC14" s="118">
        <v>44440</v>
      </c>
      <c r="AD14" s="117" t="s">
        <v>349</v>
      </c>
      <c r="AE14" s="117" t="s">
        <v>1195</v>
      </c>
      <c r="AF14" s="90" t="s">
        <v>1115</v>
      </c>
      <c r="AG14" s="90" t="s">
        <v>0</v>
      </c>
      <c r="AH14" s="93" t="s">
        <v>972</v>
      </c>
      <c r="AI14" s="93" t="b">
        <v>0</v>
      </c>
      <c r="AJ14" s="93"/>
      <c r="AK14" s="93" t="b">
        <v>0</v>
      </c>
      <c r="AL14" s="93"/>
      <c r="AM14" s="93" t="b">
        <v>0</v>
      </c>
      <c r="AN14" s="93" t="b">
        <v>0</v>
      </c>
      <c r="AO14" s="93" t="b">
        <v>0</v>
      </c>
      <c r="AP14" s="93" t="b">
        <v>0</v>
      </c>
      <c r="AQ14" s="93" t="b">
        <v>0</v>
      </c>
      <c r="AR14" s="93" t="b">
        <v>0</v>
      </c>
      <c r="AS14" s="93" t="b">
        <v>0</v>
      </c>
      <c r="AT14" s="107" t="s">
        <v>1202</v>
      </c>
      <c r="AU14" s="94">
        <v>9882358</v>
      </c>
      <c r="AV14" s="90" t="s">
        <v>982</v>
      </c>
      <c r="AW14" s="108" t="s">
        <v>1052</v>
      </c>
      <c r="AX14" s="91">
        <v>44509</v>
      </c>
      <c r="AY14" s="108" t="s">
        <v>1101</v>
      </c>
      <c r="AZ14" s="90"/>
      <c r="BA14" s="90"/>
      <c r="BB14" s="90" t="s">
        <v>402</v>
      </c>
      <c r="BC14" s="90" t="s">
        <v>262</v>
      </c>
      <c r="BD14" s="90" t="s">
        <v>801</v>
      </c>
      <c r="BE14" s="90"/>
      <c r="BF14" s="90"/>
      <c r="BG14" s="91"/>
      <c r="BH14" s="93" t="b">
        <v>0</v>
      </c>
      <c r="BI14" s="90"/>
      <c r="BJ14" s="90"/>
      <c r="BK14" s="90" t="s">
        <v>1117</v>
      </c>
      <c r="BL14" s="90" t="s">
        <v>1196</v>
      </c>
      <c r="BM14" s="90" t="s">
        <v>849</v>
      </c>
      <c r="BN14" s="90" t="s">
        <v>1197</v>
      </c>
      <c r="BO14" s="90" t="s">
        <v>1198</v>
      </c>
      <c r="BP14" s="90" t="s">
        <v>1155</v>
      </c>
      <c r="BQ14" s="90" t="s">
        <v>1156</v>
      </c>
      <c r="BR14" s="95">
        <v>307.81770833333331</v>
      </c>
      <c r="BS14" s="90" t="s">
        <v>1199</v>
      </c>
      <c r="BT14" s="90" t="s">
        <v>1200</v>
      </c>
      <c r="BU14" s="90" t="s">
        <v>1201</v>
      </c>
      <c r="BV14" s="90" t="s">
        <v>1158</v>
      </c>
      <c r="BW14" s="90" t="s">
        <v>1159</v>
      </c>
      <c r="BX14" s="90" t="s">
        <v>1160</v>
      </c>
      <c r="BY14" s="90" t="s">
        <v>1161</v>
      </c>
      <c r="BZ14" s="90" t="s">
        <v>346</v>
      </c>
      <c r="CA14" s="90" t="s">
        <v>341</v>
      </c>
      <c r="CB14" s="90" t="s">
        <v>1195</v>
      </c>
      <c r="CC14" s="91">
        <v>44440</v>
      </c>
      <c r="CD14" s="90" t="s">
        <v>346</v>
      </c>
      <c r="CE14" s="91"/>
      <c r="CF14" s="90" t="s">
        <v>346</v>
      </c>
      <c r="CG14" s="91"/>
      <c r="CH14" s="90" t="s">
        <v>262</v>
      </c>
      <c r="CI14" s="91"/>
      <c r="CJ14" s="90" t="s">
        <v>262</v>
      </c>
      <c r="CK14" s="91"/>
      <c r="CL14" s="90" t="s">
        <v>341</v>
      </c>
      <c r="CM14" s="91">
        <v>44440</v>
      </c>
      <c r="CN14" s="96" t="s">
        <v>341</v>
      </c>
      <c r="CO14" s="91">
        <v>44440</v>
      </c>
      <c r="CP14" s="90"/>
      <c r="CQ14" s="90"/>
      <c r="CR14" s="90"/>
      <c r="CS14" s="90"/>
      <c r="CT14" s="91"/>
      <c r="CU14" s="90"/>
      <c r="CV14" s="97"/>
    </row>
    <row r="15" spans="1:100" ht="15" customHeight="1" x14ac:dyDescent="0.2">
      <c r="A15" s="117" t="s">
        <v>1204</v>
      </c>
      <c r="B15" s="118">
        <v>44449</v>
      </c>
      <c r="C15" s="117" t="s">
        <v>1203</v>
      </c>
      <c r="D15" s="117" t="s">
        <v>352</v>
      </c>
      <c r="E15" s="119" t="s">
        <v>1165</v>
      </c>
      <c r="F15" s="117" t="s">
        <v>1166</v>
      </c>
      <c r="G15" s="117" t="s">
        <v>374</v>
      </c>
      <c r="H15" s="117" t="s">
        <v>1205</v>
      </c>
      <c r="I15" s="117" t="s">
        <v>354</v>
      </c>
      <c r="J15" s="117" t="s">
        <v>1168</v>
      </c>
      <c r="K15" s="117" t="s">
        <v>420</v>
      </c>
      <c r="L15" s="117" t="s">
        <v>1206</v>
      </c>
      <c r="M15" s="119" t="s">
        <v>346</v>
      </c>
      <c r="N15" s="117" t="s">
        <v>1207</v>
      </c>
      <c r="O15" s="117" t="s">
        <v>1208</v>
      </c>
      <c r="P15" s="117" t="s">
        <v>1209</v>
      </c>
      <c r="Q15" s="118">
        <v>44450</v>
      </c>
      <c r="R15" s="118">
        <v>44469</v>
      </c>
      <c r="S15" s="117" t="s">
        <v>1210</v>
      </c>
      <c r="T15" s="118">
        <v>44454</v>
      </c>
      <c r="U15" s="120" t="s">
        <v>295</v>
      </c>
      <c r="V15" s="120" t="s">
        <v>295</v>
      </c>
      <c r="W15" s="121" t="s">
        <v>262</v>
      </c>
      <c r="X15" s="117" t="s">
        <v>1211</v>
      </c>
      <c r="Y15" s="117"/>
      <c r="Z15" s="117"/>
      <c r="AA15" s="117" t="s">
        <v>1</v>
      </c>
      <c r="AB15" s="117" t="s">
        <v>1212</v>
      </c>
      <c r="AC15" s="118">
        <v>44454</v>
      </c>
      <c r="AD15" s="117" t="s">
        <v>349</v>
      </c>
      <c r="AE15" s="117" t="s">
        <v>1213</v>
      </c>
      <c r="AF15" s="90" t="s">
        <v>1115</v>
      </c>
      <c r="AG15" s="90" t="s">
        <v>0</v>
      </c>
      <c r="AH15" s="93" t="s">
        <v>972</v>
      </c>
      <c r="AI15" s="93" t="b">
        <v>0</v>
      </c>
      <c r="AJ15" s="93"/>
      <c r="AK15" s="93" t="b">
        <v>0</v>
      </c>
      <c r="AL15" s="93"/>
      <c r="AM15" s="93" t="b">
        <v>0</v>
      </c>
      <c r="AN15" s="93" t="b">
        <v>0</v>
      </c>
      <c r="AO15" s="93" t="b">
        <v>0</v>
      </c>
      <c r="AP15" s="93" t="b">
        <v>0</v>
      </c>
      <c r="AQ15" s="93" t="b">
        <v>0</v>
      </c>
      <c r="AR15" s="93" t="b">
        <v>0</v>
      </c>
      <c r="AS15" s="93" t="b">
        <v>0</v>
      </c>
      <c r="AT15" s="107" t="s">
        <v>1215</v>
      </c>
      <c r="AU15" s="94">
        <v>9882358</v>
      </c>
      <c r="AV15" s="90" t="s">
        <v>982</v>
      </c>
      <c r="AW15" s="108" t="s">
        <v>1052</v>
      </c>
      <c r="AX15" s="91">
        <v>44509</v>
      </c>
      <c r="AY15" s="108" t="s">
        <v>1101</v>
      </c>
      <c r="AZ15" s="90" t="s">
        <v>583</v>
      </c>
      <c r="BA15" s="90" t="s">
        <v>143</v>
      </c>
      <c r="BB15" s="90" t="s">
        <v>46</v>
      </c>
      <c r="BC15" s="90"/>
      <c r="BD15" s="90" t="s">
        <v>29</v>
      </c>
      <c r="BE15" s="90"/>
      <c r="BF15" s="90"/>
      <c r="BG15" s="91"/>
      <c r="BH15" s="93" t="b">
        <v>0</v>
      </c>
      <c r="BI15" s="90"/>
      <c r="BJ15" s="90"/>
      <c r="BK15" s="90" t="s">
        <v>1117</v>
      </c>
      <c r="BL15" s="90" t="s">
        <v>1214</v>
      </c>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x14ac:dyDescent="0.2">
      <c r="A16" s="117" t="s">
        <v>1217</v>
      </c>
      <c r="B16" s="118">
        <v>44449</v>
      </c>
      <c r="C16" s="117" t="s">
        <v>1216</v>
      </c>
      <c r="D16" s="117" t="s">
        <v>352</v>
      </c>
      <c r="E16" s="119" t="s">
        <v>1165</v>
      </c>
      <c r="F16" s="117" t="s">
        <v>1166</v>
      </c>
      <c r="G16" s="117" t="s">
        <v>374</v>
      </c>
      <c r="H16" s="117" t="s">
        <v>1205</v>
      </c>
      <c r="I16" s="117" t="s">
        <v>354</v>
      </c>
      <c r="J16" s="117" t="s">
        <v>1168</v>
      </c>
      <c r="K16" s="117" t="s">
        <v>420</v>
      </c>
      <c r="L16" s="117" t="s">
        <v>1206</v>
      </c>
      <c r="M16" s="119" t="s">
        <v>346</v>
      </c>
      <c r="N16" s="117" t="s">
        <v>1218</v>
      </c>
      <c r="O16" s="117" t="s">
        <v>1219</v>
      </c>
      <c r="P16" s="117" t="s">
        <v>1220</v>
      </c>
      <c r="Q16" s="118">
        <v>44450</v>
      </c>
      <c r="R16" s="118">
        <v>44469</v>
      </c>
      <c r="S16" s="117" t="s">
        <v>1221</v>
      </c>
      <c r="T16" s="118">
        <v>44451</v>
      </c>
      <c r="U16" s="120" t="s">
        <v>295</v>
      </c>
      <c r="V16" s="120" t="s">
        <v>295</v>
      </c>
      <c r="W16" s="121" t="s">
        <v>262</v>
      </c>
      <c r="X16" s="117" t="s">
        <v>1222</v>
      </c>
      <c r="Y16" s="117"/>
      <c r="Z16" s="117"/>
      <c r="AA16" s="117" t="s">
        <v>804</v>
      </c>
      <c r="AB16" s="117" t="s">
        <v>1223</v>
      </c>
      <c r="AC16" s="118">
        <v>44451</v>
      </c>
      <c r="AD16" s="117" t="s">
        <v>349</v>
      </c>
      <c r="AE16" s="117" t="s">
        <v>1213</v>
      </c>
      <c r="AF16" s="90" t="s">
        <v>1115</v>
      </c>
      <c r="AG16" s="90" t="s">
        <v>0</v>
      </c>
      <c r="AH16" s="93" t="s">
        <v>972</v>
      </c>
      <c r="AI16" s="93" t="b">
        <v>0</v>
      </c>
      <c r="AJ16" s="93"/>
      <c r="AK16" s="93" t="b">
        <v>0</v>
      </c>
      <c r="AL16" s="93"/>
      <c r="AM16" s="93" t="b">
        <v>0</v>
      </c>
      <c r="AN16" s="93" t="b">
        <v>0</v>
      </c>
      <c r="AO16" s="93" t="b">
        <v>0</v>
      </c>
      <c r="AP16" s="93" t="b">
        <v>0</v>
      </c>
      <c r="AQ16" s="93" t="b">
        <v>0</v>
      </c>
      <c r="AR16" s="93" t="b">
        <v>0</v>
      </c>
      <c r="AS16" s="93" t="b">
        <v>0</v>
      </c>
      <c r="AT16" s="107" t="s">
        <v>1224</v>
      </c>
      <c r="AU16" s="94">
        <v>9882358</v>
      </c>
      <c r="AV16" s="90" t="s">
        <v>982</v>
      </c>
      <c r="AW16" s="108" t="s">
        <v>1052</v>
      </c>
      <c r="AX16" s="91">
        <v>44509</v>
      </c>
      <c r="AY16" s="108" t="s">
        <v>1101</v>
      </c>
      <c r="AZ16" s="90" t="s">
        <v>583</v>
      </c>
      <c r="BA16" s="90" t="s">
        <v>143</v>
      </c>
      <c r="BB16" s="90" t="s">
        <v>46</v>
      </c>
      <c r="BC16" s="90"/>
      <c r="BD16" s="90" t="s">
        <v>29</v>
      </c>
      <c r="BE16" s="90"/>
      <c r="BF16" s="90"/>
      <c r="BG16" s="91"/>
      <c r="BH16" s="93" t="b">
        <v>0</v>
      </c>
      <c r="BI16" s="90"/>
      <c r="BJ16" s="90"/>
      <c r="BK16" s="90" t="s">
        <v>1117</v>
      </c>
      <c r="BL16" s="90" t="s">
        <v>1214</v>
      </c>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x14ac:dyDescent="0.2">
      <c r="A17" s="117" t="s">
        <v>1226</v>
      </c>
      <c r="B17" s="118">
        <v>44449</v>
      </c>
      <c r="C17" s="117" t="s">
        <v>1225</v>
      </c>
      <c r="D17" s="117" t="s">
        <v>352</v>
      </c>
      <c r="E17" s="119" t="s">
        <v>1165</v>
      </c>
      <c r="F17" s="117" t="s">
        <v>1166</v>
      </c>
      <c r="G17" s="117" t="s">
        <v>374</v>
      </c>
      <c r="H17" s="117" t="s">
        <v>1205</v>
      </c>
      <c r="I17" s="117" t="s">
        <v>354</v>
      </c>
      <c r="J17" s="117" t="s">
        <v>1168</v>
      </c>
      <c r="K17" s="117" t="s">
        <v>412</v>
      </c>
      <c r="L17" s="117" t="s">
        <v>1227</v>
      </c>
      <c r="M17" s="119" t="s">
        <v>346</v>
      </c>
      <c r="N17" s="117" t="s">
        <v>1228</v>
      </c>
      <c r="O17" s="117" t="s">
        <v>1229</v>
      </c>
      <c r="P17" s="117" t="s">
        <v>1230</v>
      </c>
      <c r="Q17" s="118">
        <v>44450</v>
      </c>
      <c r="R17" s="118">
        <v>44469</v>
      </c>
      <c r="S17" s="117" t="s">
        <v>1231</v>
      </c>
      <c r="T17" s="118">
        <v>44453</v>
      </c>
      <c r="U17" s="120" t="s">
        <v>295</v>
      </c>
      <c r="V17" s="120" t="s">
        <v>295</v>
      </c>
      <c r="W17" s="121" t="s">
        <v>262</v>
      </c>
      <c r="X17" s="117" t="s">
        <v>1232</v>
      </c>
      <c r="Y17" s="117"/>
      <c r="Z17" s="117"/>
      <c r="AA17" s="117" t="s">
        <v>804</v>
      </c>
      <c r="AB17" s="117" t="s">
        <v>1233</v>
      </c>
      <c r="AC17" s="118">
        <v>44453</v>
      </c>
      <c r="AD17" s="117" t="s">
        <v>349</v>
      </c>
      <c r="AE17" s="117" t="s">
        <v>1213</v>
      </c>
      <c r="AF17" s="90" t="s">
        <v>1115</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1234</v>
      </c>
      <c r="AU17" s="94">
        <v>9882358</v>
      </c>
      <c r="AV17" s="90" t="s">
        <v>982</v>
      </c>
      <c r="AW17" s="108" t="s">
        <v>1052</v>
      </c>
      <c r="AX17" s="91">
        <v>44509</v>
      </c>
      <c r="AY17" s="108" t="s">
        <v>1101</v>
      </c>
      <c r="AZ17" s="90" t="s">
        <v>17</v>
      </c>
      <c r="BA17" s="90" t="s">
        <v>125</v>
      </c>
      <c r="BB17" s="90" t="s">
        <v>38</v>
      </c>
      <c r="BC17" s="90"/>
      <c r="BD17" s="90" t="s">
        <v>28</v>
      </c>
      <c r="BE17" s="90"/>
      <c r="BF17" s="90"/>
      <c r="BG17" s="91"/>
      <c r="BH17" s="93" t="b">
        <v>0</v>
      </c>
      <c r="BI17" s="90"/>
      <c r="BJ17" s="90"/>
      <c r="BK17" s="90" t="s">
        <v>1117</v>
      </c>
      <c r="BL17" s="90" t="s">
        <v>1214</v>
      </c>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x14ac:dyDescent="0.2">
      <c r="A18" s="117" t="s">
        <v>1236</v>
      </c>
      <c r="B18" s="118">
        <v>44449</v>
      </c>
      <c r="C18" s="117" t="s">
        <v>1235</v>
      </c>
      <c r="D18" s="117" t="s">
        <v>352</v>
      </c>
      <c r="E18" s="119" t="s">
        <v>1165</v>
      </c>
      <c r="F18" s="117" t="s">
        <v>1166</v>
      </c>
      <c r="G18" s="117" t="s">
        <v>374</v>
      </c>
      <c r="H18" s="117" t="s">
        <v>1205</v>
      </c>
      <c r="I18" s="117" t="s">
        <v>354</v>
      </c>
      <c r="J18" s="117" t="s">
        <v>1168</v>
      </c>
      <c r="K18" s="117" t="s">
        <v>408</v>
      </c>
      <c r="L18" s="117" t="s">
        <v>1237</v>
      </c>
      <c r="M18" s="119" t="s">
        <v>346</v>
      </c>
      <c r="N18" s="117" t="s">
        <v>1238</v>
      </c>
      <c r="O18" s="117" t="s">
        <v>1239</v>
      </c>
      <c r="P18" s="117" t="s">
        <v>1240</v>
      </c>
      <c r="Q18" s="118">
        <v>44449</v>
      </c>
      <c r="R18" s="118">
        <v>44469</v>
      </c>
      <c r="S18" s="117" t="s">
        <v>1241</v>
      </c>
      <c r="T18" s="118">
        <v>44449</v>
      </c>
      <c r="U18" s="120" t="s">
        <v>295</v>
      </c>
      <c r="V18" s="120" t="s">
        <v>295</v>
      </c>
      <c r="W18" s="121" t="s">
        <v>262</v>
      </c>
      <c r="X18" s="117" t="s">
        <v>1242</v>
      </c>
      <c r="Y18" s="117"/>
      <c r="Z18" s="117"/>
      <c r="AA18" s="117" t="s">
        <v>3</v>
      </c>
      <c r="AB18" s="117" t="s">
        <v>1243</v>
      </c>
      <c r="AC18" s="118">
        <v>44449</v>
      </c>
      <c r="AD18" s="117" t="s">
        <v>349</v>
      </c>
      <c r="AE18" s="117" t="s">
        <v>1213</v>
      </c>
      <c r="AF18" s="90" t="s">
        <v>1115</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1244</v>
      </c>
      <c r="AU18" s="94">
        <v>9882358</v>
      </c>
      <c r="AV18" s="90" t="s">
        <v>982</v>
      </c>
      <c r="AW18" s="108" t="s">
        <v>1052</v>
      </c>
      <c r="AX18" s="91">
        <v>44509</v>
      </c>
      <c r="AY18" s="108" t="s">
        <v>1101</v>
      </c>
      <c r="AZ18" s="90" t="s">
        <v>11</v>
      </c>
      <c r="BA18" s="90" t="s">
        <v>81</v>
      </c>
      <c r="BB18" s="90" t="s">
        <v>35</v>
      </c>
      <c r="BC18" s="90"/>
      <c r="BD18" s="90" t="s">
        <v>28</v>
      </c>
      <c r="BE18" s="90"/>
      <c r="BF18" s="90"/>
      <c r="BG18" s="91"/>
      <c r="BH18" s="93" t="b">
        <v>0</v>
      </c>
      <c r="BI18" s="90"/>
      <c r="BJ18" s="90"/>
      <c r="BK18" s="90" t="s">
        <v>1117</v>
      </c>
      <c r="BL18" s="90" t="s">
        <v>1214</v>
      </c>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x14ac:dyDescent="0.2">
      <c r="A19" s="117" t="s">
        <v>1245</v>
      </c>
      <c r="B19" s="118">
        <v>44449</v>
      </c>
      <c r="C19" s="117" t="s">
        <v>1103</v>
      </c>
      <c r="D19" s="117" t="s">
        <v>352</v>
      </c>
      <c r="E19" s="119" t="s">
        <v>1165</v>
      </c>
      <c r="F19" s="117" t="s">
        <v>1166</v>
      </c>
      <c r="G19" s="117" t="s">
        <v>374</v>
      </c>
      <c r="H19" s="117" t="s">
        <v>1205</v>
      </c>
      <c r="I19" s="117" t="s">
        <v>354</v>
      </c>
      <c r="J19" s="117" t="s">
        <v>1168</v>
      </c>
      <c r="K19" s="117" t="s">
        <v>412</v>
      </c>
      <c r="L19" s="117" t="s">
        <v>1227</v>
      </c>
      <c r="M19" s="119" t="s">
        <v>346</v>
      </c>
      <c r="N19" s="117" t="s">
        <v>1246</v>
      </c>
      <c r="O19" s="117" t="s">
        <v>1247</v>
      </c>
      <c r="P19" s="117" t="s">
        <v>1248</v>
      </c>
      <c r="Q19" s="118">
        <v>44449</v>
      </c>
      <c r="R19" s="118">
        <v>44469</v>
      </c>
      <c r="S19" s="117" t="s">
        <v>1249</v>
      </c>
      <c r="T19" s="118">
        <v>44449</v>
      </c>
      <c r="U19" s="120" t="s">
        <v>295</v>
      </c>
      <c r="V19" s="120" t="s">
        <v>295</v>
      </c>
      <c r="W19" s="121" t="s">
        <v>262</v>
      </c>
      <c r="X19" s="117" t="s">
        <v>1250</v>
      </c>
      <c r="Y19" s="117"/>
      <c r="Z19" s="117"/>
      <c r="AA19" s="117" t="s">
        <v>1</v>
      </c>
      <c r="AB19" s="117" t="s">
        <v>1251</v>
      </c>
      <c r="AC19" s="118">
        <v>44449</v>
      </c>
      <c r="AD19" s="117" t="s">
        <v>349</v>
      </c>
      <c r="AE19" s="117" t="s">
        <v>1213</v>
      </c>
      <c r="AF19" s="90" t="s">
        <v>1115</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1252</v>
      </c>
      <c r="AU19" s="94">
        <v>9882358</v>
      </c>
      <c r="AV19" s="90" t="s">
        <v>982</v>
      </c>
      <c r="AW19" s="108" t="s">
        <v>1052</v>
      </c>
      <c r="AX19" s="91">
        <v>44509</v>
      </c>
      <c r="AY19" s="108" t="s">
        <v>1101</v>
      </c>
      <c r="AZ19" s="90" t="s">
        <v>13</v>
      </c>
      <c r="BA19" s="90" t="s">
        <v>83</v>
      </c>
      <c r="BB19" s="90" t="s">
        <v>38</v>
      </c>
      <c r="BC19" s="90"/>
      <c r="BD19" s="90" t="s">
        <v>28</v>
      </c>
      <c r="BE19" s="90"/>
      <c r="BF19" s="90"/>
      <c r="BG19" s="91"/>
      <c r="BH19" s="93" t="b">
        <v>0</v>
      </c>
      <c r="BI19" s="90"/>
      <c r="BJ19" s="90"/>
      <c r="BK19" s="90" t="s">
        <v>1117</v>
      </c>
      <c r="BL19" s="90" t="s">
        <v>1214</v>
      </c>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x14ac:dyDescent="0.2">
      <c r="A20" s="117" t="s">
        <v>1254</v>
      </c>
      <c r="B20" s="118">
        <v>44449</v>
      </c>
      <c r="C20" s="117" t="s">
        <v>1253</v>
      </c>
      <c r="D20" s="117" t="s">
        <v>352</v>
      </c>
      <c r="E20" s="119" t="s">
        <v>1165</v>
      </c>
      <c r="F20" s="117" t="s">
        <v>1166</v>
      </c>
      <c r="G20" s="117" t="s">
        <v>374</v>
      </c>
      <c r="H20" s="117" t="s">
        <v>1205</v>
      </c>
      <c r="I20" s="117" t="s">
        <v>354</v>
      </c>
      <c r="J20" s="117" t="s">
        <v>1168</v>
      </c>
      <c r="K20" s="117" t="s">
        <v>414</v>
      </c>
      <c r="L20" s="117" t="s">
        <v>1189</v>
      </c>
      <c r="M20" s="119" t="s">
        <v>346</v>
      </c>
      <c r="N20" s="117" t="s">
        <v>1255</v>
      </c>
      <c r="O20" s="117" t="s">
        <v>1256</v>
      </c>
      <c r="P20" s="117" t="s">
        <v>1257</v>
      </c>
      <c r="Q20" s="118">
        <v>44449</v>
      </c>
      <c r="R20" s="118">
        <v>44484</v>
      </c>
      <c r="S20" s="117" t="s">
        <v>1258</v>
      </c>
      <c r="T20" s="118">
        <v>44449</v>
      </c>
      <c r="U20" s="120" t="s">
        <v>295</v>
      </c>
      <c r="V20" s="120" t="s">
        <v>295</v>
      </c>
      <c r="W20" s="121" t="s">
        <v>262</v>
      </c>
      <c r="X20" s="117" t="s">
        <v>1259</v>
      </c>
      <c r="Y20" s="117"/>
      <c r="Z20" s="117"/>
      <c r="AA20" s="117" t="s">
        <v>1</v>
      </c>
      <c r="AB20" s="117" t="s">
        <v>1260</v>
      </c>
      <c r="AC20" s="118">
        <v>44449</v>
      </c>
      <c r="AD20" s="117" t="s">
        <v>349</v>
      </c>
      <c r="AE20" s="117" t="s">
        <v>1213</v>
      </c>
      <c r="AF20" s="90" t="s">
        <v>1115</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1261</v>
      </c>
      <c r="AU20" s="94">
        <v>9882358</v>
      </c>
      <c r="AV20" s="90" t="s">
        <v>982</v>
      </c>
      <c r="AW20" s="108" t="s">
        <v>1052</v>
      </c>
      <c r="AX20" s="91">
        <v>44509</v>
      </c>
      <c r="AY20" s="108" t="s">
        <v>1101</v>
      </c>
      <c r="AZ20" s="90" t="s">
        <v>13</v>
      </c>
      <c r="BA20" s="90" t="s">
        <v>83</v>
      </c>
      <c r="BB20" s="90" t="s">
        <v>40</v>
      </c>
      <c r="BC20" s="90"/>
      <c r="BD20" s="90" t="s">
        <v>30</v>
      </c>
      <c r="BE20" s="90"/>
      <c r="BF20" s="90"/>
      <c r="BG20" s="91"/>
      <c r="BH20" s="93" t="b">
        <v>0</v>
      </c>
      <c r="BI20" s="90"/>
      <c r="BJ20" s="90"/>
      <c r="BK20" s="90" t="s">
        <v>1117</v>
      </c>
      <c r="BL20" s="90" t="s">
        <v>1214</v>
      </c>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x14ac:dyDescent="0.2">
      <c r="A21" s="117" t="s">
        <v>1263</v>
      </c>
      <c r="B21" s="118">
        <v>44449</v>
      </c>
      <c r="C21" s="117" t="s">
        <v>1262</v>
      </c>
      <c r="D21" s="117" t="s">
        <v>352</v>
      </c>
      <c r="E21" s="119" t="s">
        <v>1165</v>
      </c>
      <c r="F21" s="117" t="s">
        <v>1166</v>
      </c>
      <c r="G21" s="117" t="s">
        <v>374</v>
      </c>
      <c r="H21" s="117" t="s">
        <v>1205</v>
      </c>
      <c r="I21" s="117" t="s">
        <v>354</v>
      </c>
      <c r="J21" s="117" t="s">
        <v>1168</v>
      </c>
      <c r="K21" s="117" t="s">
        <v>417</v>
      </c>
      <c r="L21" s="117" t="s">
        <v>1264</v>
      </c>
      <c r="M21" s="119" t="s">
        <v>346</v>
      </c>
      <c r="N21" s="117" t="s">
        <v>1265</v>
      </c>
      <c r="O21" s="117" t="s">
        <v>1266</v>
      </c>
      <c r="P21" s="117" t="s">
        <v>1267</v>
      </c>
      <c r="Q21" s="118">
        <v>44449</v>
      </c>
      <c r="R21" s="118">
        <v>44484</v>
      </c>
      <c r="S21" s="117" t="s">
        <v>1268</v>
      </c>
      <c r="T21" s="118">
        <v>44480</v>
      </c>
      <c r="U21" s="120" t="s">
        <v>295</v>
      </c>
      <c r="V21" s="120" t="s">
        <v>295</v>
      </c>
      <c r="W21" s="121" t="s">
        <v>262</v>
      </c>
      <c r="X21" s="117" t="s">
        <v>1269</v>
      </c>
      <c r="Y21" s="117"/>
      <c r="Z21" s="117"/>
      <c r="AA21" s="117" t="s">
        <v>1</v>
      </c>
      <c r="AB21" s="117" t="s">
        <v>1270</v>
      </c>
      <c r="AC21" s="118">
        <v>44480</v>
      </c>
      <c r="AD21" s="117" t="s">
        <v>349</v>
      </c>
      <c r="AE21" s="117" t="s">
        <v>1213</v>
      </c>
      <c r="AF21" s="90" t="s">
        <v>1115</v>
      </c>
      <c r="AG21" s="90" t="s">
        <v>0</v>
      </c>
      <c r="AH21" s="93" t="s">
        <v>972</v>
      </c>
      <c r="AI21" s="93" t="b">
        <v>0</v>
      </c>
      <c r="AJ21" s="93"/>
      <c r="AK21" s="93" t="b">
        <v>0</v>
      </c>
      <c r="AL21" s="93"/>
      <c r="AM21" s="93" t="b">
        <v>0</v>
      </c>
      <c r="AN21" s="93" t="b">
        <v>0</v>
      </c>
      <c r="AO21" s="93" t="b">
        <v>0</v>
      </c>
      <c r="AP21" s="93" t="b">
        <v>0</v>
      </c>
      <c r="AQ21" s="93" t="b">
        <v>0</v>
      </c>
      <c r="AR21" s="93" t="b">
        <v>0</v>
      </c>
      <c r="AS21" s="93" t="b">
        <v>0</v>
      </c>
      <c r="AT21" s="107" t="s">
        <v>1271</v>
      </c>
      <c r="AU21" s="94">
        <v>9882358</v>
      </c>
      <c r="AV21" s="90" t="s">
        <v>982</v>
      </c>
      <c r="AW21" s="108" t="s">
        <v>1052</v>
      </c>
      <c r="AX21" s="91">
        <v>44509</v>
      </c>
      <c r="AY21" s="108" t="s">
        <v>1101</v>
      </c>
      <c r="AZ21" s="90" t="s">
        <v>17</v>
      </c>
      <c r="BA21" s="90" t="s">
        <v>181</v>
      </c>
      <c r="BB21" s="90" t="s">
        <v>43</v>
      </c>
      <c r="BC21" s="90"/>
      <c r="BD21" s="90" t="s">
        <v>756</v>
      </c>
      <c r="BE21" s="90"/>
      <c r="BF21" s="90"/>
      <c r="BG21" s="91"/>
      <c r="BH21" s="93" t="b">
        <v>0</v>
      </c>
      <c r="BI21" s="90"/>
      <c r="BJ21" s="90"/>
      <c r="BK21" s="90" t="s">
        <v>1117</v>
      </c>
      <c r="BL21" s="90" t="s">
        <v>1214</v>
      </c>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x14ac:dyDescent="0.2">
      <c r="A22" s="117" t="s">
        <v>1273</v>
      </c>
      <c r="B22" s="118">
        <v>44449</v>
      </c>
      <c r="C22" s="117" t="s">
        <v>1272</v>
      </c>
      <c r="D22" s="117" t="s">
        <v>352</v>
      </c>
      <c r="E22" s="119" t="s">
        <v>1165</v>
      </c>
      <c r="F22" s="117" t="s">
        <v>1166</v>
      </c>
      <c r="G22" s="117" t="s">
        <v>374</v>
      </c>
      <c r="H22" s="117" t="s">
        <v>1205</v>
      </c>
      <c r="I22" s="117" t="s">
        <v>354</v>
      </c>
      <c r="J22" s="117" t="s">
        <v>1168</v>
      </c>
      <c r="K22" s="117" t="s">
        <v>420</v>
      </c>
      <c r="L22" s="117" t="s">
        <v>1206</v>
      </c>
      <c r="M22" s="119" t="s">
        <v>346</v>
      </c>
      <c r="N22" s="117" t="s">
        <v>1274</v>
      </c>
      <c r="O22" s="117" t="s">
        <v>1275</v>
      </c>
      <c r="P22" s="117" t="s">
        <v>1276</v>
      </c>
      <c r="Q22" s="118">
        <v>44449</v>
      </c>
      <c r="R22" s="118">
        <v>44484</v>
      </c>
      <c r="S22" s="117" t="s">
        <v>1277</v>
      </c>
      <c r="T22" s="118">
        <v>44449</v>
      </c>
      <c r="U22" s="120" t="s">
        <v>295</v>
      </c>
      <c r="V22" s="120" t="s">
        <v>295</v>
      </c>
      <c r="W22" s="121" t="s">
        <v>262</v>
      </c>
      <c r="X22" s="117" t="s">
        <v>1278</v>
      </c>
      <c r="Y22" s="117"/>
      <c r="Z22" s="117"/>
      <c r="AA22" s="117" t="s">
        <v>1</v>
      </c>
      <c r="AB22" s="117" t="s">
        <v>1279</v>
      </c>
      <c r="AC22" s="118">
        <v>44449</v>
      </c>
      <c r="AD22" s="117" t="s">
        <v>349</v>
      </c>
      <c r="AE22" s="117" t="s">
        <v>1213</v>
      </c>
      <c r="AF22" s="90" t="s">
        <v>1115</v>
      </c>
      <c r="AG22" s="90" t="s">
        <v>0</v>
      </c>
      <c r="AH22" s="93" t="s">
        <v>972</v>
      </c>
      <c r="AI22" s="93" t="b">
        <v>0</v>
      </c>
      <c r="AJ22" s="93"/>
      <c r="AK22" s="93" t="b">
        <v>0</v>
      </c>
      <c r="AL22" s="93"/>
      <c r="AM22" s="93" t="b">
        <v>0</v>
      </c>
      <c r="AN22" s="93" t="b">
        <v>0</v>
      </c>
      <c r="AO22" s="93" t="b">
        <v>0</v>
      </c>
      <c r="AP22" s="93" t="b">
        <v>0</v>
      </c>
      <c r="AQ22" s="93" t="b">
        <v>0</v>
      </c>
      <c r="AR22" s="93" t="b">
        <v>0</v>
      </c>
      <c r="AS22" s="93" t="b">
        <v>0</v>
      </c>
      <c r="AT22" s="107" t="s">
        <v>1280</v>
      </c>
      <c r="AU22" s="94">
        <v>9882358</v>
      </c>
      <c r="AV22" s="90" t="s">
        <v>982</v>
      </c>
      <c r="AW22" s="108" t="s">
        <v>1052</v>
      </c>
      <c r="AX22" s="91">
        <v>44509</v>
      </c>
      <c r="AY22" s="108" t="s">
        <v>1101</v>
      </c>
      <c r="AZ22" s="90" t="s">
        <v>13</v>
      </c>
      <c r="BA22" s="90" t="s">
        <v>83</v>
      </c>
      <c r="BB22" s="90" t="s">
        <v>46</v>
      </c>
      <c r="BC22" s="90"/>
      <c r="BD22" s="90" t="s">
        <v>29</v>
      </c>
      <c r="BE22" s="90"/>
      <c r="BF22" s="90"/>
      <c r="BG22" s="91"/>
      <c r="BH22" s="93" t="b">
        <v>0</v>
      </c>
      <c r="BI22" s="90"/>
      <c r="BJ22" s="90"/>
      <c r="BK22" s="90" t="s">
        <v>1117</v>
      </c>
      <c r="BL22" s="90" t="s">
        <v>1214</v>
      </c>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x14ac:dyDescent="0.2">
      <c r="A23" s="117" t="s">
        <v>1282</v>
      </c>
      <c r="B23" s="118">
        <v>44455</v>
      </c>
      <c r="C23" s="117" t="s">
        <v>1281</v>
      </c>
      <c r="D23" s="117" t="s">
        <v>364</v>
      </c>
      <c r="E23" s="119" t="s">
        <v>1283</v>
      </c>
      <c r="F23" s="117" t="s">
        <v>1284</v>
      </c>
      <c r="G23" s="117" t="s">
        <v>390</v>
      </c>
      <c r="H23" s="117" t="s">
        <v>1285</v>
      </c>
      <c r="I23" s="117" t="s">
        <v>583</v>
      </c>
      <c r="J23" s="117" t="s">
        <v>1286</v>
      </c>
      <c r="K23" s="117" t="s">
        <v>143</v>
      </c>
      <c r="L23" s="117" t="s">
        <v>1287</v>
      </c>
      <c r="M23" s="119" t="s">
        <v>346</v>
      </c>
      <c r="N23" s="117" t="s">
        <v>1288</v>
      </c>
      <c r="O23" s="117" t="s">
        <v>1289</v>
      </c>
      <c r="P23" s="117" t="s">
        <v>1290</v>
      </c>
      <c r="Q23" s="118">
        <v>44455</v>
      </c>
      <c r="R23" s="118">
        <v>44515</v>
      </c>
      <c r="S23" s="117" t="s">
        <v>1291</v>
      </c>
      <c r="T23" s="118">
        <v>44483</v>
      </c>
      <c r="U23" s="120" t="s">
        <v>295</v>
      </c>
      <c r="V23" s="120" t="s">
        <v>295</v>
      </c>
      <c r="W23" s="121" t="s">
        <v>262</v>
      </c>
      <c r="X23" s="117" t="s">
        <v>1292</v>
      </c>
      <c r="Y23" s="117"/>
      <c r="Z23" s="117"/>
      <c r="AA23" s="117" t="s">
        <v>4</v>
      </c>
      <c r="AB23" s="117" t="s">
        <v>1293</v>
      </c>
      <c r="AC23" s="118">
        <v>44483</v>
      </c>
      <c r="AD23" s="117" t="s">
        <v>349</v>
      </c>
      <c r="AE23" s="117" t="s">
        <v>1213</v>
      </c>
      <c r="AF23" s="90" t="s">
        <v>1115</v>
      </c>
      <c r="AG23" s="90" t="s">
        <v>0</v>
      </c>
      <c r="AH23" s="93" t="s">
        <v>1294</v>
      </c>
      <c r="AI23" s="93" t="b">
        <v>0</v>
      </c>
      <c r="AJ23" s="93"/>
      <c r="AK23" s="93" t="b">
        <v>0</v>
      </c>
      <c r="AL23" s="93"/>
      <c r="AM23" s="93" t="b">
        <v>0</v>
      </c>
      <c r="AN23" s="93" t="b">
        <v>0</v>
      </c>
      <c r="AO23" s="93" t="b">
        <v>0</v>
      </c>
      <c r="AP23" s="93" t="b">
        <v>0</v>
      </c>
      <c r="AQ23" s="93" t="b">
        <v>0</v>
      </c>
      <c r="AR23" s="93" t="b">
        <v>1</v>
      </c>
      <c r="AS23" s="93" t="b">
        <v>0</v>
      </c>
      <c r="AT23" s="107" t="s">
        <v>1296</v>
      </c>
      <c r="AU23" s="94">
        <v>9882358</v>
      </c>
      <c r="AV23" s="90" t="s">
        <v>982</v>
      </c>
      <c r="AW23" s="108" t="s">
        <v>1052</v>
      </c>
      <c r="AX23" s="91">
        <v>44509</v>
      </c>
      <c r="AY23" s="108" t="s">
        <v>1101</v>
      </c>
      <c r="AZ23" s="90" t="s">
        <v>583</v>
      </c>
      <c r="BA23" s="90" t="s">
        <v>143</v>
      </c>
      <c r="BB23" s="90" t="s">
        <v>50</v>
      </c>
      <c r="BC23" s="90"/>
      <c r="BD23" s="90" t="s">
        <v>756</v>
      </c>
      <c r="BE23" s="90"/>
      <c r="BF23" s="90"/>
      <c r="BG23" s="91"/>
      <c r="BH23" s="93" t="b">
        <v>0</v>
      </c>
      <c r="BI23" s="90" t="s">
        <v>1295</v>
      </c>
      <c r="BJ23" s="90"/>
      <c r="BK23" s="90" t="s">
        <v>1117</v>
      </c>
      <c r="BL23" s="90"/>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x14ac:dyDescent="0.2">
      <c r="A24" s="117" t="s">
        <v>1298</v>
      </c>
      <c r="B24" s="118">
        <v>44466</v>
      </c>
      <c r="C24" s="117" t="s">
        <v>1297</v>
      </c>
      <c r="D24" s="117" t="s">
        <v>337</v>
      </c>
      <c r="E24" s="119" t="s">
        <v>1104</v>
      </c>
      <c r="F24" s="117" t="s">
        <v>1105</v>
      </c>
      <c r="G24" s="117" t="s">
        <v>370</v>
      </c>
      <c r="H24" s="117" t="s">
        <v>1299</v>
      </c>
      <c r="I24" s="117" t="s">
        <v>339</v>
      </c>
      <c r="J24" s="117" t="s">
        <v>1107</v>
      </c>
      <c r="K24" s="117" t="s">
        <v>756</v>
      </c>
      <c r="L24" s="117" t="s">
        <v>1300</v>
      </c>
      <c r="M24" s="119" t="s">
        <v>346</v>
      </c>
      <c r="N24" s="117" t="s">
        <v>1301</v>
      </c>
      <c r="O24" s="117" t="s">
        <v>1302</v>
      </c>
      <c r="P24" s="117" t="s">
        <v>1302</v>
      </c>
      <c r="Q24" s="118">
        <v>44455</v>
      </c>
      <c r="R24" s="118">
        <v>44526</v>
      </c>
      <c r="S24" s="117" t="s">
        <v>1303</v>
      </c>
      <c r="T24" s="118">
        <v>44483</v>
      </c>
      <c r="U24" s="120" t="s">
        <v>295</v>
      </c>
      <c r="V24" s="120" t="s">
        <v>295</v>
      </c>
      <c r="W24" s="121" t="s">
        <v>262</v>
      </c>
      <c r="X24" s="117" t="s">
        <v>1304</v>
      </c>
      <c r="Y24" s="117"/>
      <c r="Z24" s="117"/>
      <c r="AA24" s="117" t="s">
        <v>4</v>
      </c>
      <c r="AB24" s="117" t="s">
        <v>1305</v>
      </c>
      <c r="AC24" s="118">
        <v>44483</v>
      </c>
      <c r="AD24" s="117" t="s">
        <v>349</v>
      </c>
      <c r="AE24" s="117" t="s">
        <v>1213</v>
      </c>
      <c r="AF24" s="90" t="s">
        <v>1115</v>
      </c>
      <c r="AG24" s="90" t="s">
        <v>0</v>
      </c>
      <c r="AH24" s="93" t="s">
        <v>1294</v>
      </c>
      <c r="AI24" s="93" t="b">
        <v>0</v>
      </c>
      <c r="AJ24" s="93"/>
      <c r="AK24" s="93" t="b">
        <v>0</v>
      </c>
      <c r="AL24" s="93"/>
      <c r="AM24" s="93" t="b">
        <v>0</v>
      </c>
      <c r="AN24" s="93" t="b">
        <v>0</v>
      </c>
      <c r="AO24" s="93" t="b">
        <v>0</v>
      </c>
      <c r="AP24" s="93" t="b">
        <v>0</v>
      </c>
      <c r="AQ24" s="93" t="b">
        <v>0</v>
      </c>
      <c r="AR24" s="93" t="b">
        <v>0</v>
      </c>
      <c r="AS24" s="93" t="b">
        <v>0</v>
      </c>
      <c r="AT24" s="107" t="s">
        <v>1313</v>
      </c>
      <c r="AU24" s="94">
        <v>9882358</v>
      </c>
      <c r="AV24" s="90" t="s">
        <v>982</v>
      </c>
      <c r="AW24" s="108" t="s">
        <v>1052</v>
      </c>
      <c r="AX24" s="91">
        <v>44509</v>
      </c>
      <c r="AY24" s="108" t="s">
        <v>1101</v>
      </c>
      <c r="AZ24" s="90" t="s">
        <v>583</v>
      </c>
      <c r="BA24" s="90" t="s">
        <v>143</v>
      </c>
      <c r="BB24" s="90" t="s">
        <v>50</v>
      </c>
      <c r="BC24" s="90"/>
      <c r="BD24" s="90" t="s">
        <v>756</v>
      </c>
      <c r="BE24" s="90" t="s">
        <v>1306</v>
      </c>
      <c r="BF24" s="90"/>
      <c r="BG24" s="91"/>
      <c r="BH24" s="93" t="b">
        <v>0</v>
      </c>
      <c r="BI24" s="90"/>
      <c r="BJ24" s="90"/>
      <c r="BK24" s="90" t="s">
        <v>1117</v>
      </c>
      <c r="BL24" s="90" t="s">
        <v>1307</v>
      </c>
      <c r="BM24" s="90"/>
      <c r="BN24" s="90" t="s">
        <v>1308</v>
      </c>
      <c r="BO24" s="90" t="s">
        <v>1309</v>
      </c>
      <c r="BP24" s="90" t="s">
        <v>1121</v>
      </c>
      <c r="BQ24" s="90" t="s">
        <v>1122</v>
      </c>
      <c r="BR24" s="95"/>
      <c r="BS24" s="90" t="s">
        <v>1310</v>
      </c>
      <c r="BT24" s="90" t="s">
        <v>1311</v>
      </c>
      <c r="BU24" s="90" t="s">
        <v>1201</v>
      </c>
      <c r="BV24" s="90"/>
      <c r="BW24" s="90"/>
      <c r="BX24" s="90"/>
      <c r="BY24" s="90"/>
      <c r="BZ24" s="90"/>
      <c r="CA24" s="90"/>
      <c r="CB24" s="90"/>
      <c r="CC24" s="91"/>
      <c r="CD24" s="90"/>
      <c r="CE24" s="91"/>
      <c r="CF24" s="90"/>
      <c r="CG24" s="91"/>
      <c r="CH24" s="90"/>
      <c r="CI24" s="91"/>
      <c r="CJ24" s="90"/>
      <c r="CK24" s="91"/>
      <c r="CL24" s="90"/>
      <c r="CM24" s="91"/>
      <c r="CN24" s="96"/>
      <c r="CO24" s="91"/>
      <c r="CP24" s="90" t="s">
        <v>771</v>
      </c>
      <c r="CQ24" s="90" t="s">
        <v>568</v>
      </c>
      <c r="CR24" s="90" t="s">
        <v>1127</v>
      </c>
      <c r="CS24" s="90">
        <v>10</v>
      </c>
      <c r="CT24" s="91">
        <v>44476</v>
      </c>
      <c r="CU24" s="90" t="s">
        <v>1312</v>
      </c>
      <c r="CV24" s="97">
        <v>44476</v>
      </c>
    </row>
    <row r="25" spans="1:100" ht="15" customHeight="1" x14ac:dyDescent="0.2">
      <c r="A25" s="117" t="s">
        <v>1315</v>
      </c>
      <c r="B25" s="118">
        <v>44485</v>
      </c>
      <c r="C25" s="117" t="s">
        <v>1314</v>
      </c>
      <c r="D25" s="117" t="s">
        <v>358</v>
      </c>
      <c r="E25" s="119" t="s">
        <v>1146</v>
      </c>
      <c r="F25" s="117" t="s">
        <v>1147</v>
      </c>
      <c r="G25" s="117" t="s">
        <v>375</v>
      </c>
      <c r="H25" s="117"/>
      <c r="I25" s="117" t="s">
        <v>360</v>
      </c>
      <c r="J25" s="117" t="s">
        <v>1148</v>
      </c>
      <c r="K25" s="117" t="s">
        <v>402</v>
      </c>
      <c r="L25" s="117" t="s">
        <v>1149</v>
      </c>
      <c r="M25" s="119" t="s">
        <v>346</v>
      </c>
      <c r="N25" s="117" t="s">
        <v>1150</v>
      </c>
      <c r="O25" s="117" t="s">
        <v>262</v>
      </c>
      <c r="P25" s="117" t="s">
        <v>262</v>
      </c>
      <c r="Q25" s="118"/>
      <c r="R25" s="118">
        <v>44485</v>
      </c>
      <c r="S25" s="117" t="s">
        <v>262</v>
      </c>
      <c r="T25" s="118"/>
      <c r="U25" s="120" t="s">
        <v>295</v>
      </c>
      <c r="V25" s="120" t="s">
        <v>295</v>
      </c>
      <c r="W25" s="121" t="s">
        <v>262</v>
      </c>
      <c r="X25" s="117" t="s">
        <v>1134</v>
      </c>
      <c r="Y25" s="117"/>
      <c r="Z25" s="117"/>
      <c r="AA25" s="117" t="s">
        <v>5</v>
      </c>
      <c r="AB25" s="117" t="s">
        <v>262</v>
      </c>
      <c r="AC25" s="118">
        <v>44485</v>
      </c>
      <c r="AD25" s="117" t="s">
        <v>349</v>
      </c>
      <c r="AE25" s="117" t="s">
        <v>1316</v>
      </c>
      <c r="AF25" s="90" t="s">
        <v>1115</v>
      </c>
      <c r="AG25" s="90" t="s">
        <v>0</v>
      </c>
      <c r="AH25" s="93" t="s">
        <v>972</v>
      </c>
      <c r="AI25" s="93" t="b">
        <v>0</v>
      </c>
      <c r="AJ25" s="93"/>
      <c r="AK25" s="93" t="b">
        <v>0</v>
      </c>
      <c r="AL25" s="93"/>
      <c r="AM25" s="93" t="b">
        <v>0</v>
      </c>
      <c r="AN25" s="93" t="b">
        <v>0</v>
      </c>
      <c r="AO25" s="93" t="b">
        <v>0</v>
      </c>
      <c r="AP25" s="93" t="b">
        <v>0</v>
      </c>
      <c r="AQ25" s="93" t="b">
        <v>0</v>
      </c>
      <c r="AR25" s="93" t="b">
        <v>0</v>
      </c>
      <c r="AS25" s="93" t="b">
        <v>0</v>
      </c>
      <c r="AT25" s="107" t="s">
        <v>1342</v>
      </c>
      <c r="AU25" s="94">
        <v>9882358</v>
      </c>
      <c r="AV25" s="90" t="s">
        <v>982</v>
      </c>
      <c r="AW25" s="108" t="s">
        <v>1052</v>
      </c>
      <c r="AX25" s="91">
        <v>44537</v>
      </c>
      <c r="AY25" s="108" t="s">
        <v>1101</v>
      </c>
      <c r="AZ25" s="90"/>
      <c r="BA25" s="90"/>
      <c r="BB25" s="90" t="s">
        <v>402</v>
      </c>
      <c r="BC25" s="90"/>
      <c r="BD25" s="90" t="s">
        <v>801</v>
      </c>
      <c r="BE25" s="90"/>
      <c r="BF25" s="90"/>
      <c r="BG25" s="91"/>
      <c r="BH25" s="93" t="b">
        <v>0</v>
      </c>
      <c r="BI25" s="90"/>
      <c r="BJ25" s="90"/>
      <c r="BK25" s="90" t="s">
        <v>1117</v>
      </c>
      <c r="BL25" s="90" t="s">
        <v>1317</v>
      </c>
      <c r="BM25" s="90" t="s">
        <v>852</v>
      </c>
      <c r="BN25" s="90" t="s">
        <v>1318</v>
      </c>
      <c r="BO25" s="90" t="s">
        <v>1319</v>
      </c>
      <c r="BP25" s="90" t="s">
        <v>1155</v>
      </c>
      <c r="BQ25" s="90" t="s">
        <v>1156</v>
      </c>
      <c r="BR25" s="95">
        <v>376.00591435185186</v>
      </c>
      <c r="BS25" s="90" t="s">
        <v>1199</v>
      </c>
      <c r="BT25" s="90" t="s">
        <v>1311</v>
      </c>
      <c r="BU25" s="90" t="s">
        <v>1201</v>
      </c>
      <c r="BV25" s="90" t="s">
        <v>1158</v>
      </c>
      <c r="BW25" s="90" t="s">
        <v>1159</v>
      </c>
      <c r="BX25" s="90" t="s">
        <v>1160</v>
      </c>
      <c r="BY25" s="90" t="s">
        <v>1161</v>
      </c>
      <c r="BZ25" s="90" t="s">
        <v>346</v>
      </c>
      <c r="CA25" s="90" t="s">
        <v>341</v>
      </c>
      <c r="CB25" s="90" t="s">
        <v>1316</v>
      </c>
      <c r="CC25" s="91">
        <v>44486</v>
      </c>
      <c r="CD25" s="90" t="s">
        <v>341</v>
      </c>
      <c r="CE25" s="91">
        <v>44486</v>
      </c>
      <c r="CF25" s="90" t="s">
        <v>341</v>
      </c>
      <c r="CG25" s="91">
        <v>44486</v>
      </c>
      <c r="CH25" s="90" t="s">
        <v>262</v>
      </c>
      <c r="CI25" s="91"/>
      <c r="CJ25" s="90" t="s">
        <v>341</v>
      </c>
      <c r="CK25" s="91">
        <v>44486</v>
      </c>
      <c r="CL25" s="90" t="s">
        <v>341</v>
      </c>
      <c r="CM25" s="91">
        <v>44486</v>
      </c>
      <c r="CN25" s="96" t="s">
        <v>341</v>
      </c>
      <c r="CO25" s="91">
        <v>44486</v>
      </c>
      <c r="CP25" s="90"/>
      <c r="CQ25" s="90"/>
      <c r="CR25" s="90"/>
      <c r="CS25" s="90"/>
      <c r="CT25" s="91"/>
      <c r="CU25" s="90"/>
      <c r="CV25" s="97"/>
    </row>
    <row r="26" spans="1:100" ht="15" customHeight="1" x14ac:dyDescent="0.2">
      <c r="A26" s="117" t="s">
        <v>1320</v>
      </c>
      <c r="B26" s="118">
        <v>44517</v>
      </c>
      <c r="C26" s="117" t="s">
        <v>1321</v>
      </c>
      <c r="D26" s="117" t="s">
        <v>364</v>
      </c>
      <c r="E26" s="119" t="str">
        <f t="shared" ref="E26:E31" si="0">LEFT(D26,1)&amp;"moge"</f>
        <v>Fmoge</v>
      </c>
      <c r="F26" s="117" t="str">
        <f t="shared" ref="F26:F31" si="1">LEFT(D26,1)&amp;"hoge"</f>
        <v>Fhoge</v>
      </c>
      <c r="G26" s="117" t="s">
        <v>390</v>
      </c>
      <c r="H26" s="117" t="s">
        <v>1322</v>
      </c>
      <c r="I26" s="117" t="s">
        <v>19</v>
      </c>
      <c r="J26" s="117" t="str">
        <f t="shared" ref="J26:J31" si="2">LEFT(I26,3)</f>
        <v>ELC</v>
      </c>
      <c r="K26" s="117" t="s">
        <v>144</v>
      </c>
      <c r="L26" s="117" t="str">
        <f t="shared" ref="L26:L31" si="3">LEFT(K26,5)</f>
        <v>ELC01</v>
      </c>
      <c r="M26" s="119" t="s">
        <v>346</v>
      </c>
      <c r="N26" s="117" t="s">
        <v>1334</v>
      </c>
      <c r="O26" s="117" t="s">
        <v>1323</v>
      </c>
      <c r="P26" s="117" t="s">
        <v>1324</v>
      </c>
      <c r="Q26" s="118">
        <v>44517</v>
      </c>
      <c r="R26" s="118">
        <v>44607</v>
      </c>
      <c r="S26" s="117" t="s">
        <v>1335</v>
      </c>
      <c r="T26" s="118">
        <v>44517</v>
      </c>
      <c r="U26" s="120" t="s">
        <v>295</v>
      </c>
      <c r="V26" s="120" t="s">
        <v>295</v>
      </c>
      <c r="W26" s="121" t="s">
        <v>262</v>
      </c>
      <c r="X26" s="117" t="s">
        <v>1336</v>
      </c>
      <c r="Y26" s="117"/>
      <c r="Z26" s="117"/>
      <c r="AA26" s="117" t="s">
        <v>4</v>
      </c>
      <c r="AB26" s="117" t="s">
        <v>1337</v>
      </c>
      <c r="AC26" s="118">
        <v>44517</v>
      </c>
      <c r="AD26" s="117" t="s">
        <v>349</v>
      </c>
      <c r="AE26" s="117" t="s">
        <v>1213</v>
      </c>
      <c r="AF26" s="90" t="s">
        <v>1115</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1338</v>
      </c>
      <c r="AU26" s="94">
        <v>9882358</v>
      </c>
      <c r="AV26" s="90" t="s">
        <v>982</v>
      </c>
      <c r="AW26" s="108" t="s">
        <v>1052</v>
      </c>
      <c r="AX26" s="91">
        <v>44537</v>
      </c>
      <c r="AY26" s="108" t="s">
        <v>1101</v>
      </c>
      <c r="AZ26" s="90" t="s">
        <v>19</v>
      </c>
      <c r="BA26" s="90" t="s">
        <v>144</v>
      </c>
      <c r="BB26" s="90" t="s">
        <v>43</v>
      </c>
      <c r="BC26" s="90"/>
      <c r="BD26" s="90" t="s">
        <v>756</v>
      </c>
      <c r="BE26" s="90"/>
      <c r="BF26" s="90"/>
      <c r="BG26" s="91"/>
      <c r="BH26" s="93" t="b">
        <v>0</v>
      </c>
      <c r="BI26" s="90" t="s">
        <v>1325</v>
      </c>
      <c r="BJ26" s="90"/>
      <c r="BK26" s="90" t="s">
        <v>1117</v>
      </c>
      <c r="BL26" s="90"/>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x14ac:dyDescent="0.2">
      <c r="A27" s="117" t="s">
        <v>1326</v>
      </c>
      <c r="B27" s="118">
        <v>44526</v>
      </c>
      <c r="C27" s="117" t="s">
        <v>1327</v>
      </c>
      <c r="D27" s="117" t="s">
        <v>364</v>
      </c>
      <c r="E27" s="119" t="str">
        <f t="shared" si="0"/>
        <v>Fmoge</v>
      </c>
      <c r="F27" s="117" t="str">
        <f t="shared" si="1"/>
        <v>Fhoge</v>
      </c>
      <c r="G27" s="117" t="s">
        <v>390</v>
      </c>
      <c r="H27" s="117" t="s">
        <v>1328</v>
      </c>
      <c r="I27" s="117" t="s">
        <v>17</v>
      </c>
      <c r="J27" s="117" t="str">
        <f t="shared" si="2"/>
        <v>AEQ</v>
      </c>
      <c r="K27" s="117" t="s">
        <v>129</v>
      </c>
      <c r="L27" s="117" t="str">
        <f t="shared" si="3"/>
        <v>AEQ14</v>
      </c>
      <c r="M27" s="119" t="s">
        <v>346</v>
      </c>
      <c r="N27" s="117" t="s">
        <v>1329</v>
      </c>
      <c r="O27" s="117" t="s">
        <v>1332</v>
      </c>
      <c r="P27" s="117" t="s">
        <v>1330</v>
      </c>
      <c r="Q27" s="118">
        <v>44526</v>
      </c>
      <c r="R27" s="118">
        <v>44616</v>
      </c>
      <c r="S27" s="117" t="s">
        <v>1333</v>
      </c>
      <c r="T27" s="118">
        <v>44526</v>
      </c>
      <c r="U27" s="120" t="s">
        <v>295</v>
      </c>
      <c r="V27" s="120" t="s">
        <v>295</v>
      </c>
      <c r="W27" s="121" t="s">
        <v>262</v>
      </c>
      <c r="X27" s="117" t="s">
        <v>1339</v>
      </c>
      <c r="Y27" s="117"/>
      <c r="Z27" s="117"/>
      <c r="AA27" s="117" t="s">
        <v>1</v>
      </c>
      <c r="AB27" s="117" t="s">
        <v>1340</v>
      </c>
      <c r="AC27" s="118">
        <v>44526</v>
      </c>
      <c r="AD27" s="117" t="s">
        <v>349</v>
      </c>
      <c r="AE27" s="117" t="s">
        <v>1213</v>
      </c>
      <c r="AF27" s="90" t="s">
        <v>1115</v>
      </c>
      <c r="AG27" s="90" t="s">
        <v>0</v>
      </c>
      <c r="AH27" s="93" t="s">
        <v>972</v>
      </c>
      <c r="AI27" s="93" t="b">
        <v>0</v>
      </c>
      <c r="AJ27" s="93"/>
      <c r="AK27" s="93" t="b">
        <v>0</v>
      </c>
      <c r="AL27" s="93"/>
      <c r="AM27" s="93" t="b">
        <v>0</v>
      </c>
      <c r="AN27" s="93" t="b">
        <v>0</v>
      </c>
      <c r="AO27" s="93" t="b">
        <v>0</v>
      </c>
      <c r="AP27" s="93" t="b">
        <v>0</v>
      </c>
      <c r="AQ27" s="93" t="b">
        <v>0</v>
      </c>
      <c r="AR27" s="93" t="b">
        <v>0</v>
      </c>
      <c r="AS27" s="93" t="b">
        <v>0</v>
      </c>
      <c r="AT27" s="107" t="s">
        <v>1341</v>
      </c>
      <c r="AU27" s="94">
        <v>9882358</v>
      </c>
      <c r="AV27" s="90" t="s">
        <v>982</v>
      </c>
      <c r="AW27" s="108" t="s">
        <v>1052</v>
      </c>
      <c r="AX27" s="91">
        <v>44537</v>
      </c>
      <c r="AY27" s="108" t="s">
        <v>1101</v>
      </c>
      <c r="AZ27" s="90" t="s">
        <v>17</v>
      </c>
      <c r="BA27" s="90" t="s">
        <v>129</v>
      </c>
      <c r="BB27" s="90" t="s">
        <v>43</v>
      </c>
      <c r="BC27" s="90"/>
      <c r="BD27" s="90" t="s">
        <v>756</v>
      </c>
      <c r="BE27" s="90"/>
      <c r="BF27" s="90"/>
      <c r="BG27" s="91"/>
      <c r="BH27" s="93" t="b">
        <v>0</v>
      </c>
      <c r="BI27" s="90" t="s">
        <v>1331</v>
      </c>
      <c r="BJ27" s="90"/>
      <c r="BK27" s="90" t="s">
        <v>1117</v>
      </c>
      <c r="BL27" s="90"/>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x14ac:dyDescent="0.2">
      <c r="A28" s="117" t="s">
        <v>1347</v>
      </c>
      <c r="B28" s="118">
        <v>44481</v>
      </c>
      <c r="C28" s="117" t="s">
        <v>1348</v>
      </c>
      <c r="D28" s="117" t="s">
        <v>364</v>
      </c>
      <c r="E28" s="119" t="str">
        <f t="shared" si="0"/>
        <v>Fmoge</v>
      </c>
      <c r="F28" s="117" t="str">
        <f t="shared" si="1"/>
        <v>Fhoge</v>
      </c>
      <c r="G28" s="117" t="s">
        <v>390</v>
      </c>
      <c r="H28" s="117" t="s">
        <v>1322</v>
      </c>
      <c r="I28" s="117" t="s">
        <v>14</v>
      </c>
      <c r="J28" s="117" t="str">
        <f t="shared" si="2"/>
        <v>MEN</v>
      </c>
      <c r="K28" s="117" t="s">
        <v>100</v>
      </c>
      <c r="L28" s="117" t="str">
        <f t="shared" si="3"/>
        <v>MEN18</v>
      </c>
      <c r="M28" s="119" t="s">
        <v>346</v>
      </c>
      <c r="N28" s="117" t="s">
        <v>1363</v>
      </c>
      <c r="O28" s="117" t="s">
        <v>1364</v>
      </c>
      <c r="P28" s="117" t="s">
        <v>1365</v>
      </c>
      <c r="Q28" s="118">
        <v>44481</v>
      </c>
      <c r="R28" s="118">
        <v>44835</v>
      </c>
      <c r="S28" s="117" t="s">
        <v>1366</v>
      </c>
      <c r="T28" s="118">
        <v>44542</v>
      </c>
      <c r="U28" s="120" t="s">
        <v>295</v>
      </c>
      <c r="V28" s="120" t="s">
        <v>295</v>
      </c>
      <c r="W28" s="121" t="s">
        <v>262</v>
      </c>
      <c r="X28" s="117" t="s">
        <v>1373</v>
      </c>
      <c r="Y28" s="117"/>
      <c r="Z28" s="117"/>
      <c r="AA28" s="117" t="s">
        <v>167</v>
      </c>
      <c r="AB28" s="117" t="s">
        <v>1373</v>
      </c>
      <c r="AC28" s="118">
        <v>44542</v>
      </c>
      <c r="AD28" s="117" t="s">
        <v>349</v>
      </c>
      <c r="AE28" s="117" t="s">
        <v>1213</v>
      </c>
      <c r="AF28" s="90" t="s">
        <v>1115</v>
      </c>
      <c r="AG28" s="90" t="s">
        <v>0</v>
      </c>
      <c r="AH28" s="93" t="s">
        <v>972</v>
      </c>
      <c r="AI28" s="93" t="b">
        <v>0</v>
      </c>
      <c r="AJ28" s="93"/>
      <c r="AK28" s="93" t="b">
        <v>0</v>
      </c>
      <c r="AL28" s="93"/>
      <c r="AM28" s="93" t="b">
        <v>1</v>
      </c>
      <c r="AN28" s="93" t="b">
        <v>0</v>
      </c>
      <c r="AO28" s="93" t="b">
        <v>0</v>
      </c>
      <c r="AP28" s="93" t="b">
        <v>0</v>
      </c>
      <c r="AQ28" s="93" t="b">
        <v>0</v>
      </c>
      <c r="AR28" s="93" t="b">
        <v>0</v>
      </c>
      <c r="AS28" s="93" t="b">
        <v>0</v>
      </c>
      <c r="AT28" s="107" t="s">
        <v>1374</v>
      </c>
      <c r="AU28" s="94">
        <v>9882358</v>
      </c>
      <c r="AV28" s="90" t="s">
        <v>982</v>
      </c>
      <c r="AW28" s="108" t="s">
        <v>1052</v>
      </c>
      <c r="AX28" s="91">
        <v>44567</v>
      </c>
      <c r="AY28" s="108" t="s">
        <v>1101</v>
      </c>
      <c r="AZ28" s="90" t="s">
        <v>14</v>
      </c>
      <c r="BA28" s="90" t="s">
        <v>100</v>
      </c>
      <c r="BB28" s="90" t="s">
        <v>43</v>
      </c>
      <c r="BC28" s="90"/>
      <c r="BD28" s="90" t="s">
        <v>756</v>
      </c>
      <c r="BE28" s="90"/>
      <c r="BF28" s="90"/>
      <c r="BG28" s="91"/>
      <c r="BH28" s="93" t="b">
        <v>0</v>
      </c>
      <c r="BI28" s="90" t="s">
        <v>1349</v>
      </c>
      <c r="BJ28" s="90"/>
      <c r="BK28" s="90" t="s">
        <v>1117</v>
      </c>
      <c r="BL28" s="90"/>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x14ac:dyDescent="0.2">
      <c r="A29" s="117" t="s">
        <v>1350</v>
      </c>
      <c r="B29" s="118">
        <v>44543</v>
      </c>
      <c r="C29" s="117" t="s">
        <v>1351</v>
      </c>
      <c r="D29" s="117" t="s">
        <v>364</v>
      </c>
      <c r="E29" s="119" t="str">
        <f t="shared" si="0"/>
        <v>Fmoge</v>
      </c>
      <c r="F29" s="117" t="str">
        <f t="shared" si="1"/>
        <v>Fhoge</v>
      </c>
      <c r="G29" s="117" t="s">
        <v>390</v>
      </c>
      <c r="H29" s="117" t="s">
        <v>1322</v>
      </c>
      <c r="I29" s="117" t="s">
        <v>17</v>
      </c>
      <c r="J29" s="117" t="str">
        <f t="shared" si="2"/>
        <v>AEQ</v>
      </c>
      <c r="K29" s="117" t="s">
        <v>131</v>
      </c>
      <c r="L29" s="117" t="str">
        <f t="shared" si="3"/>
        <v>AEQ16</v>
      </c>
      <c r="M29" s="119" t="s">
        <v>346</v>
      </c>
      <c r="N29" s="117" t="s">
        <v>1352</v>
      </c>
      <c r="O29" s="117" t="s">
        <v>1361</v>
      </c>
      <c r="P29" s="117" t="s">
        <v>1353</v>
      </c>
      <c r="Q29" s="118">
        <v>44543</v>
      </c>
      <c r="R29" s="118">
        <v>44633</v>
      </c>
      <c r="S29" s="117" t="s">
        <v>1362</v>
      </c>
      <c r="T29" s="118">
        <v>44543</v>
      </c>
      <c r="U29" s="120" t="s">
        <v>295</v>
      </c>
      <c r="V29" s="120" t="s">
        <v>295</v>
      </c>
      <c r="W29" s="121" t="s">
        <v>262</v>
      </c>
      <c r="X29" s="117" t="s">
        <v>1375</v>
      </c>
      <c r="Y29" s="117"/>
      <c r="Z29" s="117"/>
      <c r="AA29" s="117" t="s">
        <v>4</v>
      </c>
      <c r="AB29" s="117" t="s">
        <v>1375</v>
      </c>
      <c r="AC29" s="118">
        <v>44543</v>
      </c>
      <c r="AD29" s="117" t="s">
        <v>349</v>
      </c>
      <c r="AE29" s="117" t="s">
        <v>1213</v>
      </c>
      <c r="AF29" s="90" t="s">
        <v>1115</v>
      </c>
      <c r="AG29" s="90" t="s">
        <v>0</v>
      </c>
      <c r="AH29" s="93" t="s">
        <v>972</v>
      </c>
      <c r="AI29" s="93" t="b">
        <v>0</v>
      </c>
      <c r="AJ29" s="93"/>
      <c r="AK29" s="93" t="b">
        <v>0</v>
      </c>
      <c r="AL29" s="93"/>
      <c r="AM29" s="93" t="b">
        <v>1</v>
      </c>
      <c r="AN29" s="93" t="b">
        <v>0</v>
      </c>
      <c r="AO29" s="93" t="b">
        <v>0</v>
      </c>
      <c r="AP29" s="93" t="b">
        <v>0</v>
      </c>
      <c r="AQ29" s="93" t="b">
        <v>0</v>
      </c>
      <c r="AR29" s="93" t="b">
        <v>0</v>
      </c>
      <c r="AS29" s="93" t="b">
        <v>0</v>
      </c>
      <c r="AT29" s="107" t="s">
        <v>1376</v>
      </c>
      <c r="AU29" s="94">
        <v>9882358</v>
      </c>
      <c r="AV29" s="90" t="s">
        <v>982</v>
      </c>
      <c r="AW29" s="108" t="s">
        <v>1052</v>
      </c>
      <c r="AX29" s="91">
        <v>44567</v>
      </c>
      <c r="AY29" s="108" t="s">
        <v>1101</v>
      </c>
      <c r="AZ29" s="90" t="s">
        <v>17</v>
      </c>
      <c r="BA29" s="90" t="s">
        <v>131</v>
      </c>
      <c r="BB29" s="90" t="s">
        <v>43</v>
      </c>
      <c r="BC29" s="90"/>
      <c r="BD29" s="90" t="s">
        <v>756</v>
      </c>
      <c r="BE29" s="90"/>
      <c r="BF29" s="90"/>
      <c r="BG29" s="91"/>
      <c r="BH29" s="93" t="b">
        <v>0</v>
      </c>
      <c r="BI29" s="90" t="s">
        <v>1354</v>
      </c>
      <c r="BJ29" s="90"/>
      <c r="BK29" s="90" t="s">
        <v>1117</v>
      </c>
      <c r="BL29" s="90"/>
      <c r="BM29" s="90"/>
      <c r="BN29" s="90"/>
      <c r="BO29" s="90"/>
      <c r="BP29" s="90"/>
      <c r="BQ29" s="90"/>
      <c r="BR29" s="95"/>
      <c r="BS29" s="90"/>
      <c r="BT29" s="90"/>
      <c r="BU29" s="90"/>
      <c r="BV29" s="90"/>
      <c r="BW29" s="90"/>
      <c r="BX29" s="90"/>
      <c r="BY29" s="90"/>
      <c r="BZ29" s="90"/>
      <c r="CA29" s="90"/>
      <c r="CB29" s="90"/>
      <c r="CC29" s="91"/>
      <c r="CD29" s="90"/>
      <c r="CE29" s="91"/>
      <c r="CF29" s="90"/>
      <c r="CG29" s="91"/>
      <c r="CH29" s="90"/>
      <c r="CI29" s="91"/>
      <c r="CJ29" s="90"/>
      <c r="CK29" s="91"/>
      <c r="CL29" s="90"/>
      <c r="CM29" s="91"/>
      <c r="CN29" s="96"/>
      <c r="CO29" s="91"/>
      <c r="CP29" s="90"/>
      <c r="CQ29" s="90"/>
      <c r="CR29" s="90"/>
      <c r="CS29" s="90"/>
      <c r="CT29" s="91"/>
      <c r="CU29" s="90"/>
      <c r="CV29" s="97"/>
    </row>
    <row r="30" spans="1:100" ht="15" customHeight="1" x14ac:dyDescent="0.2">
      <c r="A30" s="117" t="s">
        <v>1355</v>
      </c>
      <c r="B30" s="118">
        <v>44547</v>
      </c>
      <c r="C30" s="117" t="s">
        <v>1356</v>
      </c>
      <c r="D30" s="117" t="s">
        <v>364</v>
      </c>
      <c r="E30" s="119" t="str">
        <f t="shared" si="0"/>
        <v>Fmoge</v>
      </c>
      <c r="F30" s="117" t="str">
        <f t="shared" si="1"/>
        <v>Fhoge</v>
      </c>
      <c r="G30" s="117" t="s">
        <v>390</v>
      </c>
      <c r="H30" s="117" t="s">
        <v>1322</v>
      </c>
      <c r="I30" s="117" t="s">
        <v>14</v>
      </c>
      <c r="J30" s="117" t="str">
        <f t="shared" si="2"/>
        <v>MEN</v>
      </c>
      <c r="K30" s="117" t="s">
        <v>98</v>
      </c>
      <c r="L30" s="117" t="str">
        <f t="shared" si="3"/>
        <v>MEN15</v>
      </c>
      <c r="M30" s="119" t="s">
        <v>346</v>
      </c>
      <c r="N30" s="117" t="s">
        <v>1357</v>
      </c>
      <c r="O30" s="117" t="s">
        <v>1358</v>
      </c>
      <c r="P30" s="117" t="s">
        <v>1359</v>
      </c>
      <c r="Q30" s="118">
        <v>44547</v>
      </c>
      <c r="R30" s="118">
        <v>44637</v>
      </c>
      <c r="S30" s="117" t="s">
        <v>1360</v>
      </c>
      <c r="T30" s="118">
        <v>44547</v>
      </c>
      <c r="U30" s="120" t="s">
        <v>295</v>
      </c>
      <c r="V30" s="120" t="s">
        <v>295</v>
      </c>
      <c r="W30" s="121" t="s">
        <v>262</v>
      </c>
      <c r="X30" s="117" t="s">
        <v>1377</v>
      </c>
      <c r="Y30" s="117"/>
      <c r="Z30" s="117"/>
      <c r="AA30" s="117" t="s">
        <v>5</v>
      </c>
      <c r="AB30" s="117" t="s">
        <v>1378</v>
      </c>
      <c r="AC30" s="118">
        <v>44547</v>
      </c>
      <c r="AD30" s="117" t="s">
        <v>349</v>
      </c>
      <c r="AE30" s="117" t="s">
        <v>1213</v>
      </c>
      <c r="AF30" s="90" t="s">
        <v>1115</v>
      </c>
      <c r="AG30" s="90" t="s">
        <v>0</v>
      </c>
      <c r="AH30" s="93" t="s">
        <v>972</v>
      </c>
      <c r="AI30" s="93" t="b">
        <v>0</v>
      </c>
      <c r="AJ30" s="93"/>
      <c r="AK30" s="93" t="b">
        <v>0</v>
      </c>
      <c r="AL30" s="93"/>
      <c r="AM30" s="93" t="b">
        <v>1</v>
      </c>
      <c r="AN30" s="93" t="b">
        <v>0</v>
      </c>
      <c r="AO30" s="93" t="b">
        <v>0</v>
      </c>
      <c r="AP30" s="93" t="b">
        <v>0</v>
      </c>
      <c r="AQ30" s="93" t="b">
        <v>0</v>
      </c>
      <c r="AR30" s="93" t="b">
        <v>0</v>
      </c>
      <c r="AS30" s="93" t="b">
        <v>0</v>
      </c>
      <c r="AT30" s="107" t="s">
        <v>1379</v>
      </c>
      <c r="AU30" s="94">
        <v>9882358</v>
      </c>
      <c r="AV30" s="90" t="s">
        <v>982</v>
      </c>
      <c r="AW30" s="108" t="s">
        <v>1052</v>
      </c>
      <c r="AX30" s="91">
        <v>44567</v>
      </c>
      <c r="AY30" s="108" t="s">
        <v>1101</v>
      </c>
      <c r="AZ30" s="90" t="s">
        <v>14</v>
      </c>
      <c r="BA30" s="90" t="s">
        <v>98</v>
      </c>
      <c r="BB30" s="90" t="s">
        <v>43</v>
      </c>
      <c r="BC30" s="90"/>
      <c r="BD30" s="90" t="s">
        <v>756</v>
      </c>
      <c r="BE30" s="90"/>
      <c r="BF30" s="90"/>
      <c r="BG30" s="91"/>
      <c r="BH30" s="93" t="b">
        <v>0</v>
      </c>
      <c r="BI30" s="90"/>
      <c r="BJ30" s="90"/>
      <c r="BK30" s="90" t="s">
        <v>1117</v>
      </c>
      <c r="BL30" s="90"/>
      <c r="BM30" s="90"/>
      <c r="BN30" s="90"/>
      <c r="BO30" s="90"/>
      <c r="BP30" s="90"/>
      <c r="BQ30" s="90"/>
      <c r="BR30" s="95"/>
      <c r="BS30" s="90"/>
      <c r="BT30" s="90"/>
      <c r="BU30" s="90"/>
      <c r="BV30" s="90"/>
      <c r="BW30" s="90"/>
      <c r="BX30" s="90"/>
      <c r="BY30" s="90"/>
      <c r="BZ30" s="90"/>
      <c r="CA30" s="90"/>
      <c r="CB30" s="90"/>
      <c r="CC30" s="91"/>
      <c r="CD30" s="90"/>
      <c r="CE30" s="91"/>
      <c r="CF30" s="90"/>
      <c r="CG30" s="91"/>
      <c r="CH30" s="90"/>
      <c r="CI30" s="91"/>
      <c r="CJ30" s="90"/>
      <c r="CK30" s="91"/>
      <c r="CL30" s="90"/>
      <c r="CM30" s="91"/>
      <c r="CN30" s="96"/>
      <c r="CO30" s="91"/>
      <c r="CP30" s="90"/>
      <c r="CQ30" s="90"/>
      <c r="CR30" s="90"/>
      <c r="CS30" s="90"/>
      <c r="CT30" s="91"/>
      <c r="CU30" s="90"/>
      <c r="CV30" s="97"/>
    </row>
    <row r="31" spans="1:100" ht="15" customHeight="1" x14ac:dyDescent="0.2">
      <c r="A31" s="117" t="s">
        <v>1367</v>
      </c>
      <c r="B31" s="118">
        <v>44566</v>
      </c>
      <c r="C31" s="117" t="s">
        <v>1384</v>
      </c>
      <c r="D31" s="117" t="s">
        <v>358</v>
      </c>
      <c r="E31" s="119" t="str">
        <f t="shared" si="0"/>
        <v>Dmoge</v>
      </c>
      <c r="F31" s="117" t="str">
        <f t="shared" si="1"/>
        <v>Dhoge</v>
      </c>
      <c r="G31" s="117" t="s">
        <v>379</v>
      </c>
      <c r="H31" s="117"/>
      <c r="I31" s="117" t="s">
        <v>360</v>
      </c>
      <c r="J31" s="117" t="str">
        <f t="shared" si="2"/>
        <v>PSC</v>
      </c>
      <c r="K31" s="117" t="s">
        <v>402</v>
      </c>
      <c r="L31" s="117" t="str">
        <f t="shared" si="3"/>
        <v>PSC24</v>
      </c>
      <c r="M31" s="119" t="s">
        <v>346</v>
      </c>
      <c r="N31" s="117" t="s">
        <v>1150</v>
      </c>
      <c r="O31" s="117" t="s">
        <v>262</v>
      </c>
      <c r="P31" s="117" t="s">
        <v>262</v>
      </c>
      <c r="Q31" s="118"/>
      <c r="R31" s="118">
        <v>44566</v>
      </c>
      <c r="S31" s="117" t="s">
        <v>262</v>
      </c>
      <c r="T31" s="118"/>
      <c r="U31" s="120" t="s">
        <v>295</v>
      </c>
      <c r="V31" s="120" t="s">
        <v>295</v>
      </c>
      <c r="W31" s="121" t="s">
        <v>262</v>
      </c>
      <c r="X31" s="117" t="s">
        <v>1134</v>
      </c>
      <c r="Y31" s="117"/>
      <c r="Z31" s="117"/>
      <c r="AA31" s="117" t="s">
        <v>5</v>
      </c>
      <c r="AB31" s="117" t="s">
        <v>262</v>
      </c>
      <c r="AC31" s="118">
        <v>44566</v>
      </c>
      <c r="AD31" s="117" t="s">
        <v>349</v>
      </c>
      <c r="AE31" s="117" t="s">
        <v>1372</v>
      </c>
      <c r="AF31" s="90" t="s">
        <v>1115</v>
      </c>
      <c r="AG31" s="90" t="s">
        <v>0</v>
      </c>
      <c r="AH31" s="93" t="s">
        <v>972</v>
      </c>
      <c r="AI31" s="93" t="b">
        <v>0</v>
      </c>
      <c r="AJ31" s="93"/>
      <c r="AK31" s="93" t="b">
        <v>0</v>
      </c>
      <c r="AL31" s="93"/>
      <c r="AM31" s="93" t="b">
        <v>0</v>
      </c>
      <c r="AN31" s="93" t="b">
        <v>0</v>
      </c>
      <c r="AO31" s="93" t="b">
        <v>0</v>
      </c>
      <c r="AP31" s="93" t="b">
        <v>0</v>
      </c>
      <c r="AQ31" s="93" t="b">
        <v>0</v>
      </c>
      <c r="AR31" s="93" t="b">
        <v>0</v>
      </c>
      <c r="AS31" s="93" t="b">
        <v>0</v>
      </c>
      <c r="AT31" s="107" t="s">
        <v>1385</v>
      </c>
      <c r="AU31" s="94">
        <v>9882358</v>
      </c>
      <c r="AV31" s="90" t="s">
        <v>982</v>
      </c>
      <c r="AW31" s="108" t="s">
        <v>1052</v>
      </c>
      <c r="AX31" s="91">
        <v>44567</v>
      </c>
      <c r="AY31" s="108" t="s">
        <v>1101</v>
      </c>
      <c r="AZ31" s="90"/>
      <c r="BA31" s="90"/>
      <c r="BB31" s="90" t="s">
        <v>402</v>
      </c>
      <c r="BC31" s="90" t="s">
        <v>262</v>
      </c>
      <c r="BD31" s="90" t="s">
        <v>801</v>
      </c>
      <c r="BE31" s="90"/>
      <c r="BF31" s="90"/>
      <c r="BG31" s="91"/>
      <c r="BH31" s="93" t="b">
        <v>0</v>
      </c>
      <c r="BI31" s="90"/>
      <c r="BJ31" s="90"/>
      <c r="BK31" s="90" t="s">
        <v>1117</v>
      </c>
      <c r="BL31" s="90" t="s">
        <v>1368</v>
      </c>
      <c r="BM31" s="90" t="s">
        <v>851</v>
      </c>
      <c r="BN31" s="90" t="s">
        <v>1369</v>
      </c>
      <c r="BO31" s="90" t="s">
        <v>1370</v>
      </c>
      <c r="BP31" s="90" t="s">
        <v>1155</v>
      </c>
      <c r="BQ31" s="90" t="s">
        <v>1156</v>
      </c>
      <c r="BR31" s="95">
        <v>434.53578101851599</v>
      </c>
      <c r="BS31" s="90" t="s">
        <v>1199</v>
      </c>
      <c r="BT31" s="90" t="s">
        <v>1311</v>
      </c>
      <c r="BU31" s="90" t="s">
        <v>1371</v>
      </c>
      <c r="BV31" s="90" t="s">
        <v>1158</v>
      </c>
      <c r="BW31" s="90" t="s">
        <v>1159</v>
      </c>
      <c r="BX31" s="90" t="s">
        <v>1160</v>
      </c>
      <c r="BY31" s="90" t="s">
        <v>1161</v>
      </c>
      <c r="BZ31" s="90" t="s">
        <v>346</v>
      </c>
      <c r="CA31" s="90" t="s">
        <v>341</v>
      </c>
      <c r="CB31" s="90" t="s">
        <v>1372</v>
      </c>
      <c r="CC31" s="91"/>
      <c r="CD31" s="90" t="s">
        <v>341</v>
      </c>
      <c r="CE31" s="91">
        <v>44567</v>
      </c>
      <c r="CF31" s="90" t="s">
        <v>341</v>
      </c>
      <c r="CG31" s="91">
        <v>44567</v>
      </c>
      <c r="CH31" s="90"/>
      <c r="CI31" s="91"/>
      <c r="CJ31" s="90"/>
      <c r="CK31" s="91"/>
      <c r="CL31" s="90" t="s">
        <v>341</v>
      </c>
      <c r="CM31" s="91">
        <v>44567</v>
      </c>
      <c r="CN31" s="96" t="s">
        <v>341</v>
      </c>
      <c r="CO31" s="91">
        <v>44567</v>
      </c>
      <c r="CP31" s="90"/>
      <c r="CQ31" s="90"/>
      <c r="CR31" s="90"/>
      <c r="CS31" s="90"/>
      <c r="CT31" s="91"/>
      <c r="CU31" s="90"/>
      <c r="CV31" s="97"/>
    </row>
    <row r="32" spans="1:100" ht="15" customHeight="1" x14ac:dyDescent="0.2">
      <c r="A32" s="109" t="s">
        <v>1060</v>
      </c>
      <c r="AG32" s="14"/>
      <c r="AH32" s="12"/>
      <c r="AI32" s="12"/>
      <c r="AJ32" s="12"/>
      <c r="AK32" s="12"/>
      <c r="AL32" s="12"/>
      <c r="AM32" s="12"/>
      <c r="AN32" s="12"/>
      <c r="AO32" s="12"/>
      <c r="AP32" s="12"/>
      <c r="AQ32" s="12"/>
      <c r="AR32" s="12"/>
      <c r="AS32" s="12"/>
      <c r="AT32" s="12"/>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row>
  </sheetData>
  <sheetProtection algorithmName="SHA-512" hashValue="DjqKzDQbfsnC3E5aG+rNKAiduQa7pXJasJy5jLld88Des01JGJaxIjgdjXVwgEIf/HlYFAJHG4LCGWhrAg8HCQ==" saltValue="1hvEH4d5Y50srrWVqEZSMQ=="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1628775</xdr:colOff>
                <xdr:row>1</xdr:row>
                <xdr:rowOff>57150</xdr:rowOff>
              </from>
              <to>
                <xdr:col>12</xdr:col>
                <xdr:colOff>352425</xdr:colOff>
                <xdr:row>2</xdr:row>
                <xdr:rowOff>95250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autoPict="0" r:id="rId7">
            <anchor moveWithCells="1">
              <from>
                <xdr:col>10</xdr:col>
                <xdr:colOff>19050</xdr:colOff>
                <xdr:row>3</xdr:row>
                <xdr:rowOff>38100</xdr:rowOff>
              </from>
              <to>
                <xdr:col>10</xdr:col>
                <xdr:colOff>1647825</xdr:colOff>
                <xdr:row>4</xdr:row>
                <xdr:rowOff>219075</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autoPict="0" r:id="rId9">
            <anchor moveWithCells="1">
              <from>
                <xdr:col>10</xdr:col>
                <xdr:colOff>1638300</xdr:colOff>
                <xdr:row>3</xdr:row>
                <xdr:rowOff>28575</xdr:rowOff>
              </from>
              <to>
                <xdr:col>13</xdr:col>
                <xdr:colOff>333375</xdr:colOff>
                <xdr:row>4</xdr:row>
                <xdr:rowOff>171450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1181100</xdr:colOff>
                <xdr:row>2</xdr:row>
                <xdr:rowOff>114300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2</xdr:col>
                <xdr:colOff>1085850</xdr:colOff>
                <xdr:row>0</xdr:row>
                <xdr:rowOff>161925</xdr:rowOff>
              </to>
            </anchor>
          </controlPr>
        </control>
      </mc:Choice>
      <mc:Fallback>
        <control shapeId="8299" r:id="rId12"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25"/>
  <sheetViews>
    <sheetView workbookViewId="0">
      <selection activeCell="A2" sqref="A2"/>
    </sheetView>
  </sheetViews>
  <sheetFormatPr defaultRowHeight="13.5" x14ac:dyDescent="0.1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x14ac:dyDescent="0.2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ht="409.5" x14ac:dyDescent="0.15">
      <c r="A2" t="s">
        <v>1102</v>
      </c>
      <c r="B2" s="123">
        <v>44150</v>
      </c>
      <c r="C2" t="s">
        <v>1103</v>
      </c>
      <c r="D2" t="s">
        <v>337</v>
      </c>
      <c r="E2" t="s">
        <v>1104</v>
      </c>
      <c r="F2" t="s">
        <v>1105</v>
      </c>
      <c r="G2" t="s">
        <v>338</v>
      </c>
      <c r="H2" t="s">
        <v>1106</v>
      </c>
      <c r="I2" t="s">
        <v>339</v>
      </c>
      <c r="J2" t="s">
        <v>1107</v>
      </c>
      <c r="K2" t="s">
        <v>576</v>
      </c>
      <c r="L2" t="s">
        <v>1108</v>
      </c>
      <c r="M2" t="s">
        <v>346</v>
      </c>
      <c r="N2" s="99" t="s">
        <v>1109</v>
      </c>
      <c r="O2" t="s">
        <v>1110</v>
      </c>
      <c r="P2" t="s">
        <v>1111</v>
      </c>
      <c r="Q2" s="123">
        <v>44150</v>
      </c>
      <c r="R2" s="123">
        <v>44165</v>
      </c>
      <c r="S2" t="s">
        <v>1112</v>
      </c>
      <c r="T2" s="123">
        <v>44152</v>
      </c>
      <c r="U2">
        <v>0</v>
      </c>
      <c r="V2">
        <v>0</v>
      </c>
      <c r="W2" t="s">
        <v>262</v>
      </c>
      <c r="X2" s="99" t="s">
        <v>1113</v>
      </c>
      <c r="AA2" t="s">
        <v>5</v>
      </c>
      <c r="AB2" t="s">
        <v>1112</v>
      </c>
      <c r="AC2" s="123">
        <v>44152</v>
      </c>
      <c r="AD2" t="s">
        <v>349</v>
      </c>
      <c r="AE2" t="s">
        <v>1114</v>
      </c>
      <c r="AF2" t="s">
        <v>1115</v>
      </c>
      <c r="AG2" t="s">
        <v>0</v>
      </c>
      <c r="AH2">
        <v>1</v>
      </c>
      <c r="AI2" t="b">
        <v>0</v>
      </c>
      <c r="AK2" t="b">
        <v>0</v>
      </c>
      <c r="AM2" t="b">
        <v>0</v>
      </c>
      <c r="AN2" t="b">
        <v>0</v>
      </c>
      <c r="AO2" t="b">
        <v>0</v>
      </c>
      <c r="AP2" t="b">
        <v>0</v>
      </c>
      <c r="AQ2" t="b">
        <v>0</v>
      </c>
      <c r="AR2" t="b">
        <v>0</v>
      </c>
      <c r="AS2" t="b">
        <v>0</v>
      </c>
      <c r="AT2" t="s">
        <v>1128</v>
      </c>
      <c r="AU2">
        <v>9882358</v>
      </c>
      <c r="AV2" t="s">
        <v>982</v>
      </c>
      <c r="AW2" t="s">
        <v>1052</v>
      </c>
      <c r="AX2" s="123">
        <v>44509</v>
      </c>
      <c r="AY2" t="s">
        <v>1101</v>
      </c>
      <c r="AZ2" t="s">
        <v>13</v>
      </c>
      <c r="BA2" t="s">
        <v>83</v>
      </c>
      <c r="BB2" t="s">
        <v>52</v>
      </c>
      <c r="BD2" t="s">
        <v>576</v>
      </c>
      <c r="BE2">
        <v>7.17</v>
      </c>
      <c r="BG2" s="123"/>
      <c r="BH2" t="b">
        <v>0</v>
      </c>
      <c r="BJ2" t="s">
        <v>499</v>
      </c>
      <c r="BK2" t="s">
        <v>1117</v>
      </c>
      <c r="BL2" t="s">
        <v>1118</v>
      </c>
      <c r="BN2" t="s">
        <v>1119</v>
      </c>
      <c r="BO2" t="s">
        <v>1120</v>
      </c>
      <c r="BP2" t="s">
        <v>1121</v>
      </c>
      <c r="BQ2" t="s">
        <v>1122</v>
      </c>
      <c r="BS2" t="s">
        <v>1123</v>
      </c>
      <c r="BT2" t="s">
        <v>1124</v>
      </c>
      <c r="BU2" t="s">
        <v>1125</v>
      </c>
      <c r="CC2" s="123"/>
      <c r="CE2" s="123"/>
      <c r="CG2" s="123"/>
      <c r="CI2" s="123"/>
      <c r="CK2" s="123"/>
      <c r="CM2" s="123"/>
      <c r="CO2" s="123"/>
      <c r="CP2" t="s">
        <v>775</v>
      </c>
      <c r="CQ2" t="s">
        <v>1126</v>
      </c>
      <c r="CR2" t="s">
        <v>1127</v>
      </c>
      <c r="CS2">
        <v>8</v>
      </c>
      <c r="CT2" s="123">
        <v>44152</v>
      </c>
      <c r="CU2" t="s">
        <v>1114</v>
      </c>
      <c r="CV2" s="123"/>
    </row>
    <row r="3" spans="1:100" x14ac:dyDescent="0.15">
      <c r="A3" t="s">
        <v>1130</v>
      </c>
      <c r="B3" s="123">
        <v>44314</v>
      </c>
      <c r="C3" t="s">
        <v>1129</v>
      </c>
      <c r="D3" t="s">
        <v>337</v>
      </c>
      <c r="E3" t="s">
        <v>1104</v>
      </c>
      <c r="F3" t="s">
        <v>1105</v>
      </c>
      <c r="G3" t="s">
        <v>370</v>
      </c>
      <c r="H3" t="s">
        <v>1131</v>
      </c>
      <c r="I3" t="s">
        <v>339</v>
      </c>
      <c r="J3" t="s">
        <v>1107</v>
      </c>
      <c r="K3" t="s">
        <v>801</v>
      </c>
      <c r="L3" t="s">
        <v>1132</v>
      </c>
      <c r="M3" t="s">
        <v>346</v>
      </c>
      <c r="N3" t="s">
        <v>1133</v>
      </c>
      <c r="O3" t="s">
        <v>262</v>
      </c>
      <c r="P3" t="s">
        <v>262</v>
      </c>
      <c r="Q3" s="123">
        <v>44314</v>
      </c>
      <c r="R3" s="123">
        <v>44314</v>
      </c>
      <c r="S3" t="s">
        <v>262</v>
      </c>
      <c r="T3" s="123"/>
      <c r="U3">
        <v>0</v>
      </c>
      <c r="V3">
        <v>0</v>
      </c>
      <c r="W3" t="s">
        <v>262</v>
      </c>
      <c r="X3" t="s">
        <v>1134</v>
      </c>
      <c r="AA3" t="s">
        <v>5</v>
      </c>
      <c r="AB3" t="s">
        <v>1135</v>
      </c>
      <c r="AC3" s="123">
        <v>44314</v>
      </c>
      <c r="AD3" t="s">
        <v>349</v>
      </c>
      <c r="AE3" t="s">
        <v>1114</v>
      </c>
      <c r="AF3" t="s">
        <v>1115</v>
      </c>
      <c r="AG3" t="s">
        <v>0</v>
      </c>
      <c r="AH3">
        <v>1</v>
      </c>
      <c r="AI3" t="b">
        <v>0</v>
      </c>
      <c r="AK3" t="b">
        <v>0</v>
      </c>
      <c r="AM3" t="b">
        <v>0</v>
      </c>
      <c r="AN3" t="b">
        <v>0</v>
      </c>
      <c r="AO3" t="b">
        <v>0</v>
      </c>
      <c r="AP3" t="b">
        <v>0</v>
      </c>
      <c r="AQ3" t="b">
        <v>0</v>
      </c>
      <c r="AR3" t="b">
        <v>0</v>
      </c>
      <c r="AS3" t="b">
        <v>0</v>
      </c>
      <c r="AT3" t="s">
        <v>1143</v>
      </c>
      <c r="AU3">
        <v>9882358</v>
      </c>
      <c r="AV3" t="s">
        <v>982</v>
      </c>
      <c r="AW3" t="s">
        <v>1052</v>
      </c>
      <c r="AX3" s="123">
        <v>44509</v>
      </c>
      <c r="AY3" t="s">
        <v>1101</v>
      </c>
      <c r="BB3" t="s">
        <v>402</v>
      </c>
      <c r="BC3" t="s">
        <v>262</v>
      </c>
      <c r="BD3" t="s">
        <v>801</v>
      </c>
      <c r="BG3" s="123"/>
      <c r="BH3" t="b">
        <v>0</v>
      </c>
      <c r="BK3" t="s">
        <v>1117</v>
      </c>
      <c r="BL3" t="s">
        <v>1136</v>
      </c>
      <c r="BN3" t="s">
        <v>1137</v>
      </c>
      <c r="BO3" t="s">
        <v>1138</v>
      </c>
      <c r="BP3" t="s">
        <v>1121</v>
      </c>
      <c r="BQ3" t="s">
        <v>1122</v>
      </c>
      <c r="BS3" t="s">
        <v>1139</v>
      </c>
      <c r="BT3" t="s">
        <v>1140</v>
      </c>
      <c r="BU3" t="s">
        <v>1141</v>
      </c>
      <c r="CC3" s="123"/>
      <c r="CE3" s="123"/>
      <c r="CG3" s="123"/>
      <c r="CI3" s="123"/>
      <c r="CK3" s="123"/>
      <c r="CM3" s="123"/>
      <c r="CO3" s="123"/>
      <c r="CP3" t="s">
        <v>773</v>
      </c>
      <c r="CQ3" t="s">
        <v>1142</v>
      </c>
      <c r="CR3" t="s">
        <v>1127</v>
      </c>
      <c r="CS3">
        <v>2</v>
      </c>
      <c r="CT3" s="123">
        <v>44319</v>
      </c>
      <c r="CU3" t="s">
        <v>1114</v>
      </c>
      <c r="CV3" s="123"/>
    </row>
    <row r="4" spans="1:100" x14ac:dyDescent="0.15">
      <c r="A4" t="s">
        <v>1145</v>
      </c>
      <c r="B4" s="123">
        <v>44235</v>
      </c>
      <c r="C4" t="s">
        <v>1144</v>
      </c>
      <c r="D4" t="s">
        <v>358</v>
      </c>
      <c r="E4" t="s">
        <v>1146</v>
      </c>
      <c r="F4" t="s">
        <v>1147</v>
      </c>
      <c r="G4" t="s">
        <v>377</v>
      </c>
      <c r="I4" t="s">
        <v>360</v>
      </c>
      <c r="J4" t="s">
        <v>1148</v>
      </c>
      <c r="K4" t="s">
        <v>402</v>
      </c>
      <c r="L4" t="s">
        <v>1149</v>
      </c>
      <c r="M4" t="s">
        <v>346</v>
      </c>
      <c r="N4" t="s">
        <v>1150</v>
      </c>
      <c r="O4" t="s">
        <v>262</v>
      </c>
      <c r="P4" t="s">
        <v>262</v>
      </c>
      <c r="Q4" s="123"/>
      <c r="R4" s="123">
        <v>44235</v>
      </c>
      <c r="S4" t="s">
        <v>262</v>
      </c>
      <c r="T4" s="123"/>
      <c r="U4">
        <v>0</v>
      </c>
      <c r="V4">
        <v>0</v>
      </c>
      <c r="W4" t="s">
        <v>262</v>
      </c>
      <c r="X4" t="s">
        <v>1134</v>
      </c>
      <c r="AA4" t="s">
        <v>5</v>
      </c>
      <c r="AB4" t="s">
        <v>262</v>
      </c>
      <c r="AC4" s="123">
        <v>44235</v>
      </c>
      <c r="AD4" t="s">
        <v>349</v>
      </c>
      <c r="AE4" t="s">
        <v>1151</v>
      </c>
      <c r="AF4" t="s">
        <v>1115</v>
      </c>
      <c r="AG4" t="s">
        <v>0</v>
      </c>
      <c r="AH4">
        <v>1</v>
      </c>
      <c r="AI4" t="b">
        <v>0</v>
      </c>
      <c r="AK4" t="b">
        <v>0</v>
      </c>
      <c r="AM4" t="b">
        <v>0</v>
      </c>
      <c r="AN4" t="b">
        <v>0</v>
      </c>
      <c r="AO4" t="b">
        <v>0</v>
      </c>
      <c r="AP4" t="b">
        <v>0</v>
      </c>
      <c r="AQ4" t="b">
        <v>0</v>
      </c>
      <c r="AR4" t="b">
        <v>0</v>
      </c>
      <c r="AS4" t="b">
        <v>0</v>
      </c>
      <c r="AT4" t="s">
        <v>1162</v>
      </c>
      <c r="AU4">
        <v>9882358</v>
      </c>
      <c r="AV4" t="s">
        <v>982</v>
      </c>
      <c r="AW4" t="s">
        <v>1052</v>
      </c>
      <c r="AX4" s="123">
        <v>44509</v>
      </c>
      <c r="AY4" t="s">
        <v>1101</v>
      </c>
      <c r="BB4" t="s">
        <v>402</v>
      </c>
      <c r="BC4" t="s">
        <v>262</v>
      </c>
      <c r="BD4" t="s">
        <v>801</v>
      </c>
      <c r="BG4" s="123"/>
      <c r="BH4" t="b">
        <v>0</v>
      </c>
      <c r="BK4" t="s">
        <v>1117</v>
      </c>
      <c r="BL4" t="s">
        <v>1152</v>
      </c>
      <c r="BM4" t="s">
        <v>842</v>
      </c>
      <c r="BN4" t="s">
        <v>1153</v>
      </c>
      <c r="BO4" t="s">
        <v>1154</v>
      </c>
      <c r="BP4" t="s">
        <v>1155</v>
      </c>
      <c r="BQ4" t="s">
        <v>1156</v>
      </c>
      <c r="BR4" s="122">
        <v>203.83687499999999</v>
      </c>
      <c r="BS4" t="s">
        <v>1139</v>
      </c>
      <c r="BT4" t="s">
        <v>1140</v>
      </c>
      <c r="BU4" t="s">
        <v>1157</v>
      </c>
      <c r="BV4" t="s">
        <v>1158</v>
      </c>
      <c r="BW4" t="s">
        <v>1159</v>
      </c>
      <c r="BX4" t="s">
        <v>1160</v>
      </c>
      <c r="BY4" t="s">
        <v>1161</v>
      </c>
      <c r="BZ4" t="s">
        <v>346</v>
      </c>
      <c r="CA4" t="s">
        <v>341</v>
      </c>
      <c r="CB4" t="s">
        <v>1151</v>
      </c>
      <c r="CC4" s="123">
        <v>44235</v>
      </c>
      <c r="CD4" t="s">
        <v>341</v>
      </c>
      <c r="CE4" s="123">
        <v>44235</v>
      </c>
      <c r="CF4" t="s">
        <v>341</v>
      </c>
      <c r="CG4" s="123">
        <v>44235</v>
      </c>
      <c r="CH4" t="s">
        <v>262</v>
      </c>
      <c r="CI4" s="123"/>
      <c r="CJ4" t="s">
        <v>341</v>
      </c>
      <c r="CK4" s="123">
        <v>44235</v>
      </c>
      <c r="CL4" t="s">
        <v>341</v>
      </c>
      <c r="CM4" s="123">
        <v>44235</v>
      </c>
      <c r="CO4" s="123"/>
      <c r="CT4" s="123"/>
      <c r="CV4" s="123"/>
    </row>
    <row r="5" spans="1:100" x14ac:dyDescent="0.15">
      <c r="A5" t="s">
        <v>1164</v>
      </c>
      <c r="B5" s="123">
        <v>44343</v>
      </c>
      <c r="C5" t="s">
        <v>1163</v>
      </c>
      <c r="D5" t="s">
        <v>352</v>
      </c>
      <c r="E5" t="s">
        <v>1165</v>
      </c>
      <c r="F5" t="s">
        <v>1166</v>
      </c>
      <c r="G5" t="s">
        <v>374</v>
      </c>
      <c r="H5" t="s">
        <v>1167</v>
      </c>
      <c r="I5" t="s">
        <v>354</v>
      </c>
      <c r="J5" t="s">
        <v>1168</v>
      </c>
      <c r="K5" t="s">
        <v>335</v>
      </c>
      <c r="L5" t="s">
        <v>1169</v>
      </c>
      <c r="M5" t="s">
        <v>346</v>
      </c>
      <c r="N5" t="s">
        <v>1170</v>
      </c>
      <c r="O5" t="s">
        <v>1171</v>
      </c>
      <c r="P5" t="s">
        <v>1172</v>
      </c>
      <c r="Q5" s="123">
        <v>44343</v>
      </c>
      <c r="R5" s="123">
        <v>44433</v>
      </c>
      <c r="S5" t="s">
        <v>1173</v>
      </c>
      <c r="T5" s="123"/>
      <c r="U5">
        <v>0</v>
      </c>
      <c r="V5">
        <v>0</v>
      </c>
      <c r="W5" t="s">
        <v>262</v>
      </c>
      <c r="X5" t="s">
        <v>1174</v>
      </c>
      <c r="AA5" t="s">
        <v>5</v>
      </c>
      <c r="AB5" t="s">
        <v>1174</v>
      </c>
      <c r="AC5" s="123">
        <v>44343</v>
      </c>
      <c r="AD5" t="s">
        <v>349</v>
      </c>
      <c r="AE5" t="s">
        <v>1175</v>
      </c>
      <c r="AF5" t="s">
        <v>1115</v>
      </c>
      <c r="AG5" t="s">
        <v>0</v>
      </c>
      <c r="AH5">
        <v>1</v>
      </c>
      <c r="AI5" t="b">
        <v>0</v>
      </c>
      <c r="AK5" t="b">
        <v>0</v>
      </c>
      <c r="AM5" t="b">
        <v>0</v>
      </c>
      <c r="AN5" t="b">
        <v>0</v>
      </c>
      <c r="AO5" t="b">
        <v>0</v>
      </c>
      <c r="AP5" t="b">
        <v>0</v>
      </c>
      <c r="AQ5" t="b">
        <v>0</v>
      </c>
      <c r="AR5" t="b">
        <v>0</v>
      </c>
      <c r="AS5" t="b">
        <v>0</v>
      </c>
      <c r="AT5" t="s">
        <v>1176</v>
      </c>
      <c r="AU5">
        <v>9882358</v>
      </c>
      <c r="AV5" t="s">
        <v>982</v>
      </c>
      <c r="AW5" t="s">
        <v>1052</v>
      </c>
      <c r="AX5" s="123">
        <v>44509</v>
      </c>
      <c r="AY5" t="s">
        <v>1101</v>
      </c>
      <c r="AZ5" t="s">
        <v>23</v>
      </c>
      <c r="BA5" t="s">
        <v>164</v>
      </c>
      <c r="BB5" t="s">
        <v>336</v>
      </c>
      <c r="BD5" t="s">
        <v>29</v>
      </c>
      <c r="BG5" s="123"/>
      <c r="BH5" t="b">
        <v>0</v>
      </c>
      <c r="BK5" t="s">
        <v>1117</v>
      </c>
      <c r="CC5" s="123"/>
      <c r="CE5" s="123"/>
      <c r="CG5" s="123"/>
      <c r="CI5" s="123"/>
      <c r="CK5" s="123"/>
      <c r="CM5" s="123"/>
      <c r="CO5" s="123"/>
      <c r="CT5" s="123"/>
      <c r="CV5" s="123"/>
    </row>
    <row r="6" spans="1:100" x14ac:dyDescent="0.15">
      <c r="A6" t="s">
        <v>1178</v>
      </c>
      <c r="B6" s="123">
        <v>44343</v>
      </c>
      <c r="C6" t="s">
        <v>1177</v>
      </c>
      <c r="D6" t="s">
        <v>352</v>
      </c>
      <c r="E6" t="s">
        <v>1165</v>
      </c>
      <c r="F6" t="s">
        <v>1166</v>
      </c>
      <c r="G6" t="s">
        <v>374</v>
      </c>
      <c r="H6" t="s">
        <v>1167</v>
      </c>
      <c r="I6" t="s">
        <v>354</v>
      </c>
      <c r="J6" t="s">
        <v>1168</v>
      </c>
      <c r="K6" t="s">
        <v>426</v>
      </c>
      <c r="L6" t="s">
        <v>1179</v>
      </c>
      <c r="M6" t="s">
        <v>346</v>
      </c>
      <c r="N6" t="s">
        <v>1180</v>
      </c>
      <c r="O6" t="s">
        <v>1181</v>
      </c>
      <c r="P6" t="s">
        <v>1182</v>
      </c>
      <c r="Q6" s="123">
        <v>44345</v>
      </c>
      <c r="R6" s="123">
        <v>44433</v>
      </c>
      <c r="S6" t="s">
        <v>1183</v>
      </c>
      <c r="T6" s="123">
        <v>44348</v>
      </c>
      <c r="U6">
        <v>0</v>
      </c>
      <c r="V6">
        <v>0</v>
      </c>
      <c r="W6" t="s">
        <v>262</v>
      </c>
      <c r="X6" t="s">
        <v>1184</v>
      </c>
      <c r="AA6" t="s">
        <v>1</v>
      </c>
      <c r="AB6" t="s">
        <v>1185</v>
      </c>
      <c r="AC6" s="123">
        <v>44348</v>
      </c>
      <c r="AD6" t="s">
        <v>349</v>
      </c>
      <c r="AE6" t="s">
        <v>1175</v>
      </c>
      <c r="AF6" t="s">
        <v>1115</v>
      </c>
      <c r="AG6" t="s">
        <v>0</v>
      </c>
      <c r="AH6">
        <v>1</v>
      </c>
      <c r="AI6" t="b">
        <v>0</v>
      </c>
      <c r="AK6" t="b">
        <v>0</v>
      </c>
      <c r="AM6" t="b">
        <v>0</v>
      </c>
      <c r="AN6" t="b">
        <v>0</v>
      </c>
      <c r="AO6" t="b">
        <v>0</v>
      </c>
      <c r="AP6" t="b">
        <v>0</v>
      </c>
      <c r="AQ6" t="b">
        <v>0</v>
      </c>
      <c r="AR6" t="b">
        <v>0</v>
      </c>
      <c r="AS6" t="b">
        <v>0</v>
      </c>
      <c r="AT6" t="s">
        <v>1186</v>
      </c>
      <c r="AU6">
        <v>9882358</v>
      </c>
      <c r="AV6" t="s">
        <v>982</v>
      </c>
      <c r="AW6" t="s">
        <v>1052</v>
      </c>
      <c r="AX6" s="123">
        <v>44509</v>
      </c>
      <c r="AY6" t="s">
        <v>1101</v>
      </c>
      <c r="AZ6" t="s">
        <v>13</v>
      </c>
      <c r="BA6" t="s">
        <v>83</v>
      </c>
      <c r="BB6" t="s">
        <v>52</v>
      </c>
      <c r="BD6" t="s">
        <v>30</v>
      </c>
      <c r="BG6" s="123"/>
      <c r="BH6" t="b">
        <v>0</v>
      </c>
      <c r="BK6" t="s">
        <v>1117</v>
      </c>
      <c r="CC6" s="123"/>
      <c r="CE6" s="123"/>
      <c r="CG6" s="123"/>
      <c r="CI6" s="123"/>
      <c r="CK6" s="123"/>
      <c r="CM6" s="123"/>
      <c r="CO6" s="123"/>
      <c r="CT6" s="123"/>
      <c r="CV6" s="123"/>
    </row>
    <row r="7" spans="1:100" x14ac:dyDescent="0.15">
      <c r="A7" t="s">
        <v>1188</v>
      </c>
      <c r="B7" s="123">
        <v>44343</v>
      </c>
      <c r="C7" t="s">
        <v>1187</v>
      </c>
      <c r="D7" t="s">
        <v>352</v>
      </c>
      <c r="E7" t="s">
        <v>1165</v>
      </c>
      <c r="F7" t="s">
        <v>1166</v>
      </c>
      <c r="G7" t="s">
        <v>374</v>
      </c>
      <c r="H7" t="s">
        <v>1167</v>
      </c>
      <c r="I7" t="s">
        <v>354</v>
      </c>
      <c r="J7" t="s">
        <v>1168</v>
      </c>
      <c r="K7" t="s">
        <v>402</v>
      </c>
      <c r="L7" t="s">
        <v>1189</v>
      </c>
      <c r="M7" t="s">
        <v>346</v>
      </c>
      <c r="N7" t="s">
        <v>1190</v>
      </c>
      <c r="O7" t="s">
        <v>262</v>
      </c>
      <c r="P7" t="s">
        <v>262</v>
      </c>
      <c r="Q7" s="123">
        <v>44343</v>
      </c>
      <c r="R7" s="123">
        <v>44343</v>
      </c>
      <c r="S7" t="s">
        <v>262</v>
      </c>
      <c r="T7" s="123">
        <v>44348</v>
      </c>
      <c r="U7">
        <v>0</v>
      </c>
      <c r="V7">
        <v>0</v>
      </c>
      <c r="W7" t="s">
        <v>262</v>
      </c>
      <c r="X7" t="s">
        <v>1134</v>
      </c>
      <c r="AA7" t="s">
        <v>5</v>
      </c>
      <c r="AB7" t="s">
        <v>1191</v>
      </c>
      <c r="AC7" s="123">
        <v>44343</v>
      </c>
      <c r="AD7" t="s">
        <v>349</v>
      </c>
      <c r="AE7" t="s">
        <v>1167</v>
      </c>
      <c r="AF7" t="s">
        <v>1115</v>
      </c>
      <c r="AG7" t="s">
        <v>0</v>
      </c>
      <c r="AH7">
        <v>1</v>
      </c>
      <c r="AI7" t="b">
        <v>0</v>
      </c>
      <c r="AK7" t="b">
        <v>0</v>
      </c>
      <c r="AM7" t="b">
        <v>0</v>
      </c>
      <c r="AN7" t="b">
        <v>0</v>
      </c>
      <c r="AO7" t="b">
        <v>0</v>
      </c>
      <c r="AP7" t="b">
        <v>0</v>
      </c>
      <c r="AQ7" t="b">
        <v>0</v>
      </c>
      <c r="AR7" t="b">
        <v>0</v>
      </c>
      <c r="AS7" t="b">
        <v>0</v>
      </c>
      <c r="AT7" t="s">
        <v>1192</v>
      </c>
      <c r="AU7">
        <v>9882358</v>
      </c>
      <c r="AV7" t="s">
        <v>982</v>
      </c>
      <c r="AW7" t="s">
        <v>1052</v>
      </c>
      <c r="AX7" s="123">
        <v>44509</v>
      </c>
      <c r="AY7" t="s">
        <v>1101</v>
      </c>
      <c r="BB7" t="s">
        <v>402</v>
      </c>
      <c r="BC7" t="s">
        <v>262</v>
      </c>
      <c r="BD7" t="s">
        <v>801</v>
      </c>
      <c r="BG7" s="123"/>
      <c r="BH7" t="b">
        <v>0</v>
      </c>
      <c r="BK7" t="s">
        <v>1117</v>
      </c>
      <c r="CC7" s="123"/>
      <c r="CE7" s="123"/>
      <c r="CG7" s="123"/>
      <c r="CI7" s="123"/>
      <c r="CK7" s="123"/>
      <c r="CM7" s="123"/>
      <c r="CO7" s="123"/>
      <c r="CT7" s="123"/>
      <c r="CV7" s="123"/>
    </row>
    <row r="8" spans="1:100" x14ac:dyDescent="0.15">
      <c r="A8" t="s">
        <v>1194</v>
      </c>
      <c r="B8" s="123">
        <v>44440</v>
      </c>
      <c r="C8" t="s">
        <v>1193</v>
      </c>
      <c r="D8" t="s">
        <v>358</v>
      </c>
      <c r="E8" t="s">
        <v>1146</v>
      </c>
      <c r="F8" t="s">
        <v>1147</v>
      </c>
      <c r="G8" t="s">
        <v>379</v>
      </c>
      <c r="I8" t="s">
        <v>360</v>
      </c>
      <c r="J8" t="s">
        <v>1148</v>
      </c>
      <c r="K8" t="s">
        <v>402</v>
      </c>
      <c r="L8" t="s">
        <v>1149</v>
      </c>
      <c r="M8" t="s">
        <v>346</v>
      </c>
      <c r="N8" t="s">
        <v>1150</v>
      </c>
      <c r="O8" t="s">
        <v>262</v>
      </c>
      <c r="P8" t="s">
        <v>262</v>
      </c>
      <c r="Q8" s="123"/>
      <c r="R8" s="123">
        <v>44440</v>
      </c>
      <c r="S8" t="s">
        <v>262</v>
      </c>
      <c r="T8" s="123"/>
      <c r="U8">
        <v>0</v>
      </c>
      <c r="V8">
        <v>0</v>
      </c>
      <c r="W8" t="s">
        <v>262</v>
      </c>
      <c r="X8" t="s">
        <v>1134</v>
      </c>
      <c r="AA8" t="s">
        <v>5</v>
      </c>
      <c r="AB8" t="s">
        <v>262</v>
      </c>
      <c r="AC8" s="123">
        <v>44440</v>
      </c>
      <c r="AD8" t="s">
        <v>349</v>
      </c>
      <c r="AE8" t="s">
        <v>1195</v>
      </c>
      <c r="AF8" t="s">
        <v>1115</v>
      </c>
      <c r="AG8" t="s">
        <v>0</v>
      </c>
      <c r="AH8">
        <v>1</v>
      </c>
      <c r="AI8" t="b">
        <v>0</v>
      </c>
      <c r="AK8" t="b">
        <v>0</v>
      </c>
      <c r="AM8" t="b">
        <v>0</v>
      </c>
      <c r="AN8" t="b">
        <v>0</v>
      </c>
      <c r="AO8" t="b">
        <v>0</v>
      </c>
      <c r="AP8" t="b">
        <v>0</v>
      </c>
      <c r="AQ8" t="b">
        <v>0</v>
      </c>
      <c r="AR8" t="b">
        <v>0</v>
      </c>
      <c r="AS8" t="b">
        <v>0</v>
      </c>
      <c r="AT8" t="s">
        <v>1202</v>
      </c>
      <c r="AU8">
        <v>9882358</v>
      </c>
      <c r="AV8" t="s">
        <v>982</v>
      </c>
      <c r="AW8" t="s">
        <v>1052</v>
      </c>
      <c r="AX8" s="123">
        <v>44509</v>
      </c>
      <c r="AY8" t="s">
        <v>1101</v>
      </c>
      <c r="BB8" t="s">
        <v>402</v>
      </c>
      <c r="BC8" t="s">
        <v>262</v>
      </c>
      <c r="BD8" t="s">
        <v>801</v>
      </c>
      <c r="BG8" s="123"/>
      <c r="BH8" t="b">
        <v>0</v>
      </c>
      <c r="BK8" t="s">
        <v>1117</v>
      </c>
      <c r="BL8" t="s">
        <v>1196</v>
      </c>
      <c r="BM8" t="s">
        <v>849</v>
      </c>
      <c r="BN8" t="s">
        <v>1197</v>
      </c>
      <c r="BO8" t="s">
        <v>1198</v>
      </c>
      <c r="BP8" t="s">
        <v>1155</v>
      </c>
      <c r="BQ8" t="s">
        <v>1156</v>
      </c>
      <c r="BR8" s="122">
        <v>307.81770833333331</v>
      </c>
      <c r="BS8" t="s">
        <v>1199</v>
      </c>
      <c r="BT8" t="s">
        <v>1200</v>
      </c>
      <c r="BU8" t="s">
        <v>1201</v>
      </c>
      <c r="BV8" t="s">
        <v>1158</v>
      </c>
      <c r="BW8" t="s">
        <v>1159</v>
      </c>
      <c r="BX8" t="s">
        <v>1160</v>
      </c>
      <c r="BY8" t="s">
        <v>1161</v>
      </c>
      <c r="BZ8" t="s">
        <v>346</v>
      </c>
      <c r="CA8" t="s">
        <v>341</v>
      </c>
      <c r="CB8" t="s">
        <v>1195</v>
      </c>
      <c r="CC8" s="123">
        <v>44440</v>
      </c>
      <c r="CD8" t="s">
        <v>346</v>
      </c>
      <c r="CE8" s="123"/>
      <c r="CF8" t="s">
        <v>346</v>
      </c>
      <c r="CG8" s="123"/>
      <c r="CH8" t="s">
        <v>262</v>
      </c>
      <c r="CI8" s="123"/>
      <c r="CJ8" t="s">
        <v>262</v>
      </c>
      <c r="CK8" s="123"/>
      <c r="CL8" t="s">
        <v>341</v>
      </c>
      <c r="CM8" s="123">
        <v>44440</v>
      </c>
      <c r="CN8" t="s">
        <v>341</v>
      </c>
      <c r="CO8" s="123">
        <v>44440</v>
      </c>
      <c r="CT8" s="123"/>
      <c r="CV8" s="123"/>
    </row>
    <row r="9" spans="1:100" x14ac:dyDescent="0.15">
      <c r="A9" t="s">
        <v>1204</v>
      </c>
      <c r="B9" s="123">
        <v>44449</v>
      </c>
      <c r="C9" t="s">
        <v>1203</v>
      </c>
      <c r="D9" t="s">
        <v>352</v>
      </c>
      <c r="E9" t="s">
        <v>1165</v>
      </c>
      <c r="F9" t="s">
        <v>1166</v>
      </c>
      <c r="G9" t="s">
        <v>374</v>
      </c>
      <c r="H9" t="s">
        <v>1205</v>
      </c>
      <c r="I9" t="s">
        <v>354</v>
      </c>
      <c r="J9" t="s">
        <v>1168</v>
      </c>
      <c r="K9" t="s">
        <v>420</v>
      </c>
      <c r="L9" t="s">
        <v>1206</v>
      </c>
      <c r="M9" t="s">
        <v>346</v>
      </c>
      <c r="N9" t="s">
        <v>1207</v>
      </c>
      <c r="O9" t="s">
        <v>1208</v>
      </c>
      <c r="P9" t="s">
        <v>1209</v>
      </c>
      <c r="Q9" s="123">
        <v>44450</v>
      </c>
      <c r="R9" s="123">
        <v>44469</v>
      </c>
      <c r="S9" t="s">
        <v>1210</v>
      </c>
      <c r="T9" s="123">
        <v>44454</v>
      </c>
      <c r="U9">
        <v>0</v>
      </c>
      <c r="V9">
        <v>0</v>
      </c>
      <c r="W9" t="s">
        <v>262</v>
      </c>
      <c r="X9" t="s">
        <v>1211</v>
      </c>
      <c r="AA9" t="s">
        <v>1</v>
      </c>
      <c r="AB9" t="s">
        <v>1212</v>
      </c>
      <c r="AC9" s="123">
        <v>44454</v>
      </c>
      <c r="AD9" t="s">
        <v>349</v>
      </c>
      <c r="AE9" t="s">
        <v>1213</v>
      </c>
      <c r="AF9" t="s">
        <v>1115</v>
      </c>
      <c r="AG9" t="s">
        <v>0</v>
      </c>
      <c r="AH9">
        <v>1</v>
      </c>
      <c r="AI9" t="b">
        <v>0</v>
      </c>
      <c r="AK9" t="b">
        <v>0</v>
      </c>
      <c r="AM9" t="b">
        <v>0</v>
      </c>
      <c r="AN9" t="b">
        <v>0</v>
      </c>
      <c r="AO9" t="b">
        <v>0</v>
      </c>
      <c r="AP9" t="b">
        <v>0</v>
      </c>
      <c r="AQ9" t="b">
        <v>0</v>
      </c>
      <c r="AR9" t="b">
        <v>0</v>
      </c>
      <c r="AS9" t="b">
        <v>0</v>
      </c>
      <c r="AT9" t="s">
        <v>1215</v>
      </c>
      <c r="AU9">
        <v>9882358</v>
      </c>
      <c r="AV9" t="s">
        <v>982</v>
      </c>
      <c r="AW9" t="s">
        <v>1052</v>
      </c>
      <c r="AX9" s="123">
        <v>44509</v>
      </c>
      <c r="AY9" t="s">
        <v>1101</v>
      </c>
      <c r="AZ9" t="s">
        <v>583</v>
      </c>
      <c r="BA9" t="s">
        <v>143</v>
      </c>
      <c r="BB9" t="s">
        <v>46</v>
      </c>
      <c r="BD9" t="s">
        <v>29</v>
      </c>
      <c r="BG9" s="123"/>
      <c r="BH9" t="b">
        <v>0</v>
      </c>
      <c r="BK9" t="s">
        <v>1117</v>
      </c>
      <c r="BL9" t="s">
        <v>1214</v>
      </c>
      <c r="CC9" s="123"/>
      <c r="CE9" s="123"/>
      <c r="CG9" s="123"/>
      <c r="CI9" s="123"/>
      <c r="CK9" s="123"/>
      <c r="CM9" s="123"/>
      <c r="CO9" s="123"/>
      <c r="CT9" s="123"/>
      <c r="CV9" s="123"/>
    </row>
    <row r="10" spans="1:100" x14ac:dyDescent="0.15">
      <c r="A10" t="s">
        <v>1217</v>
      </c>
      <c r="B10" s="123">
        <v>44449</v>
      </c>
      <c r="C10" t="s">
        <v>1216</v>
      </c>
      <c r="D10" t="s">
        <v>352</v>
      </c>
      <c r="E10" t="s">
        <v>1165</v>
      </c>
      <c r="F10" t="s">
        <v>1166</v>
      </c>
      <c r="G10" t="s">
        <v>374</v>
      </c>
      <c r="H10" t="s">
        <v>1205</v>
      </c>
      <c r="I10" t="s">
        <v>354</v>
      </c>
      <c r="J10" t="s">
        <v>1168</v>
      </c>
      <c r="K10" t="s">
        <v>420</v>
      </c>
      <c r="L10" t="s">
        <v>1206</v>
      </c>
      <c r="M10" t="s">
        <v>346</v>
      </c>
      <c r="N10" t="s">
        <v>1218</v>
      </c>
      <c r="O10" t="s">
        <v>1219</v>
      </c>
      <c r="P10" t="s">
        <v>1220</v>
      </c>
      <c r="Q10" s="123">
        <v>44450</v>
      </c>
      <c r="R10" s="123">
        <v>44469</v>
      </c>
      <c r="S10" t="s">
        <v>1221</v>
      </c>
      <c r="T10" s="123">
        <v>44451</v>
      </c>
      <c r="U10">
        <v>0</v>
      </c>
      <c r="V10">
        <v>0</v>
      </c>
      <c r="W10" t="s">
        <v>262</v>
      </c>
      <c r="X10" t="s">
        <v>1222</v>
      </c>
      <c r="AA10" t="s">
        <v>804</v>
      </c>
      <c r="AB10" t="s">
        <v>1223</v>
      </c>
      <c r="AC10" s="123">
        <v>44451</v>
      </c>
      <c r="AD10" t="s">
        <v>349</v>
      </c>
      <c r="AE10" t="s">
        <v>1213</v>
      </c>
      <c r="AF10" t="s">
        <v>1115</v>
      </c>
      <c r="AG10" t="s">
        <v>0</v>
      </c>
      <c r="AH10">
        <v>1</v>
      </c>
      <c r="AI10" t="b">
        <v>0</v>
      </c>
      <c r="AK10" t="b">
        <v>0</v>
      </c>
      <c r="AM10" t="b">
        <v>0</v>
      </c>
      <c r="AN10" t="b">
        <v>0</v>
      </c>
      <c r="AO10" t="b">
        <v>0</v>
      </c>
      <c r="AP10" t="b">
        <v>0</v>
      </c>
      <c r="AQ10" t="b">
        <v>0</v>
      </c>
      <c r="AR10" t="b">
        <v>0</v>
      </c>
      <c r="AS10" t="b">
        <v>0</v>
      </c>
      <c r="AT10" t="s">
        <v>1224</v>
      </c>
      <c r="AU10">
        <v>9882358</v>
      </c>
      <c r="AV10" t="s">
        <v>982</v>
      </c>
      <c r="AW10" t="s">
        <v>1052</v>
      </c>
      <c r="AX10" s="123">
        <v>44509</v>
      </c>
      <c r="AY10" t="s">
        <v>1101</v>
      </c>
      <c r="AZ10" t="s">
        <v>583</v>
      </c>
      <c r="BA10" t="s">
        <v>143</v>
      </c>
      <c r="BB10" t="s">
        <v>46</v>
      </c>
      <c r="BD10" t="s">
        <v>29</v>
      </c>
      <c r="BG10" s="123"/>
      <c r="BH10" t="b">
        <v>0</v>
      </c>
      <c r="BK10" t="s">
        <v>1117</v>
      </c>
      <c r="BL10" t="s">
        <v>1214</v>
      </c>
      <c r="CC10" s="123"/>
      <c r="CE10" s="123"/>
      <c r="CG10" s="123"/>
      <c r="CI10" s="123"/>
      <c r="CK10" s="123"/>
      <c r="CM10" s="123"/>
      <c r="CO10" s="123"/>
      <c r="CT10" s="123"/>
      <c r="CV10" s="123"/>
    </row>
    <row r="11" spans="1:100" x14ac:dyDescent="0.15">
      <c r="A11" t="s">
        <v>1226</v>
      </c>
      <c r="B11" s="123">
        <v>44449</v>
      </c>
      <c r="C11" t="s">
        <v>1225</v>
      </c>
      <c r="D11" t="s">
        <v>352</v>
      </c>
      <c r="E11" t="s">
        <v>1165</v>
      </c>
      <c r="F11" t="s">
        <v>1166</v>
      </c>
      <c r="G11" t="s">
        <v>374</v>
      </c>
      <c r="H11" t="s">
        <v>1205</v>
      </c>
      <c r="I11" t="s">
        <v>354</v>
      </c>
      <c r="J11" t="s">
        <v>1168</v>
      </c>
      <c r="K11" t="s">
        <v>412</v>
      </c>
      <c r="L11" t="s">
        <v>1227</v>
      </c>
      <c r="M11" t="s">
        <v>346</v>
      </c>
      <c r="N11" t="s">
        <v>1228</v>
      </c>
      <c r="O11" t="s">
        <v>1229</v>
      </c>
      <c r="P11" t="s">
        <v>1230</v>
      </c>
      <c r="Q11" s="123">
        <v>44450</v>
      </c>
      <c r="R11" s="123">
        <v>44469</v>
      </c>
      <c r="S11" t="s">
        <v>1231</v>
      </c>
      <c r="T11" s="123">
        <v>44453</v>
      </c>
      <c r="U11">
        <v>0</v>
      </c>
      <c r="V11">
        <v>0</v>
      </c>
      <c r="W11" t="s">
        <v>262</v>
      </c>
      <c r="X11" t="s">
        <v>1232</v>
      </c>
      <c r="AA11" t="s">
        <v>804</v>
      </c>
      <c r="AB11" t="s">
        <v>1233</v>
      </c>
      <c r="AC11" s="123">
        <v>44453</v>
      </c>
      <c r="AD11" t="s">
        <v>349</v>
      </c>
      <c r="AE11" t="s">
        <v>1213</v>
      </c>
      <c r="AF11" t="s">
        <v>1115</v>
      </c>
      <c r="AG11" t="s">
        <v>0</v>
      </c>
      <c r="AH11">
        <v>1</v>
      </c>
      <c r="AI11" t="b">
        <v>0</v>
      </c>
      <c r="AK11" t="b">
        <v>0</v>
      </c>
      <c r="AM11" t="b">
        <v>0</v>
      </c>
      <c r="AN11" t="b">
        <v>0</v>
      </c>
      <c r="AO11" t="b">
        <v>0</v>
      </c>
      <c r="AP11" t="b">
        <v>0</v>
      </c>
      <c r="AQ11" t="b">
        <v>0</v>
      </c>
      <c r="AR11" t="b">
        <v>0</v>
      </c>
      <c r="AS11" t="b">
        <v>0</v>
      </c>
      <c r="AT11" t="s">
        <v>1234</v>
      </c>
      <c r="AU11">
        <v>9882358</v>
      </c>
      <c r="AV11" t="s">
        <v>982</v>
      </c>
      <c r="AW11" t="s">
        <v>1052</v>
      </c>
      <c r="AX11" s="123">
        <v>44509</v>
      </c>
      <c r="AY11" t="s">
        <v>1101</v>
      </c>
      <c r="AZ11" t="s">
        <v>17</v>
      </c>
      <c r="BA11" t="s">
        <v>125</v>
      </c>
      <c r="BB11" t="s">
        <v>38</v>
      </c>
      <c r="BD11" t="s">
        <v>28</v>
      </c>
      <c r="BG11" s="123"/>
      <c r="BH11" t="b">
        <v>0</v>
      </c>
      <c r="BK11" t="s">
        <v>1117</v>
      </c>
      <c r="BL11" t="s">
        <v>1214</v>
      </c>
      <c r="CC11" s="123"/>
      <c r="CE11" s="123"/>
      <c r="CG11" s="123"/>
      <c r="CI11" s="123"/>
      <c r="CK11" s="123"/>
      <c r="CM11" s="123"/>
      <c r="CO11" s="123"/>
      <c r="CT11" s="123"/>
      <c r="CV11" s="123"/>
    </row>
    <row r="12" spans="1:100" x14ac:dyDescent="0.15">
      <c r="A12" t="s">
        <v>1236</v>
      </c>
      <c r="B12" s="123">
        <v>44449</v>
      </c>
      <c r="C12" t="s">
        <v>1235</v>
      </c>
      <c r="D12" t="s">
        <v>352</v>
      </c>
      <c r="E12" t="s">
        <v>1165</v>
      </c>
      <c r="F12" t="s">
        <v>1166</v>
      </c>
      <c r="G12" t="s">
        <v>374</v>
      </c>
      <c r="H12" t="s">
        <v>1205</v>
      </c>
      <c r="I12" t="s">
        <v>354</v>
      </c>
      <c r="J12" t="s">
        <v>1168</v>
      </c>
      <c r="K12" t="s">
        <v>408</v>
      </c>
      <c r="L12" t="s">
        <v>1237</v>
      </c>
      <c r="M12" t="s">
        <v>346</v>
      </c>
      <c r="N12" t="s">
        <v>1238</v>
      </c>
      <c r="O12" t="s">
        <v>1239</v>
      </c>
      <c r="P12" t="s">
        <v>1240</v>
      </c>
      <c r="Q12" s="123">
        <v>44449</v>
      </c>
      <c r="R12" s="123">
        <v>44469</v>
      </c>
      <c r="S12" t="s">
        <v>1241</v>
      </c>
      <c r="T12" s="123">
        <v>44449</v>
      </c>
      <c r="U12">
        <v>0</v>
      </c>
      <c r="V12">
        <v>0</v>
      </c>
      <c r="W12" t="s">
        <v>262</v>
      </c>
      <c r="X12" t="s">
        <v>1242</v>
      </c>
      <c r="AA12" t="s">
        <v>3</v>
      </c>
      <c r="AB12" t="s">
        <v>1243</v>
      </c>
      <c r="AC12" s="123">
        <v>44449</v>
      </c>
      <c r="AD12" t="s">
        <v>349</v>
      </c>
      <c r="AE12" t="s">
        <v>1213</v>
      </c>
      <c r="AF12" t="s">
        <v>1115</v>
      </c>
      <c r="AG12" t="s">
        <v>0</v>
      </c>
      <c r="AH12">
        <v>1</v>
      </c>
      <c r="AI12" t="b">
        <v>0</v>
      </c>
      <c r="AK12" t="b">
        <v>0</v>
      </c>
      <c r="AM12" t="b">
        <v>0</v>
      </c>
      <c r="AN12" t="b">
        <v>0</v>
      </c>
      <c r="AO12" t="b">
        <v>0</v>
      </c>
      <c r="AP12" t="b">
        <v>0</v>
      </c>
      <c r="AQ12" t="b">
        <v>0</v>
      </c>
      <c r="AR12" t="b">
        <v>0</v>
      </c>
      <c r="AS12" t="b">
        <v>0</v>
      </c>
      <c r="AT12" t="s">
        <v>1244</v>
      </c>
      <c r="AU12">
        <v>9882358</v>
      </c>
      <c r="AV12" t="s">
        <v>982</v>
      </c>
      <c r="AW12" t="s">
        <v>1052</v>
      </c>
      <c r="AX12" s="123">
        <v>44509</v>
      </c>
      <c r="AY12" t="s">
        <v>1101</v>
      </c>
      <c r="AZ12" t="s">
        <v>11</v>
      </c>
      <c r="BA12" t="s">
        <v>81</v>
      </c>
      <c r="BB12" t="s">
        <v>35</v>
      </c>
      <c r="BD12" t="s">
        <v>28</v>
      </c>
      <c r="BG12" s="123"/>
      <c r="BH12" t="b">
        <v>0</v>
      </c>
      <c r="BK12" t="s">
        <v>1117</v>
      </c>
      <c r="BL12" t="s">
        <v>1214</v>
      </c>
      <c r="CC12" s="123"/>
      <c r="CE12" s="123"/>
      <c r="CG12" s="123"/>
      <c r="CI12" s="123"/>
      <c r="CK12" s="123"/>
      <c r="CM12" s="123"/>
      <c r="CO12" s="123"/>
      <c r="CT12" s="123"/>
      <c r="CV12" s="123"/>
    </row>
    <row r="13" spans="1:100" x14ac:dyDescent="0.15">
      <c r="A13" t="s">
        <v>1245</v>
      </c>
      <c r="B13" s="123">
        <v>44449</v>
      </c>
      <c r="C13" t="s">
        <v>1103</v>
      </c>
      <c r="D13" t="s">
        <v>352</v>
      </c>
      <c r="E13" t="s">
        <v>1165</v>
      </c>
      <c r="F13" t="s">
        <v>1166</v>
      </c>
      <c r="G13" t="s">
        <v>374</v>
      </c>
      <c r="H13" t="s">
        <v>1205</v>
      </c>
      <c r="I13" t="s">
        <v>354</v>
      </c>
      <c r="J13" t="s">
        <v>1168</v>
      </c>
      <c r="K13" t="s">
        <v>412</v>
      </c>
      <c r="L13" t="s">
        <v>1227</v>
      </c>
      <c r="M13" t="s">
        <v>346</v>
      </c>
      <c r="N13" t="s">
        <v>1246</v>
      </c>
      <c r="O13" t="s">
        <v>1247</v>
      </c>
      <c r="P13" t="s">
        <v>1248</v>
      </c>
      <c r="Q13" s="123">
        <v>44449</v>
      </c>
      <c r="R13" s="123">
        <v>44469</v>
      </c>
      <c r="S13" t="s">
        <v>1249</v>
      </c>
      <c r="T13" s="123">
        <v>44449</v>
      </c>
      <c r="U13">
        <v>0</v>
      </c>
      <c r="V13">
        <v>0</v>
      </c>
      <c r="W13" t="s">
        <v>262</v>
      </c>
      <c r="X13" t="s">
        <v>1250</v>
      </c>
      <c r="AA13" t="s">
        <v>1</v>
      </c>
      <c r="AB13" t="s">
        <v>1251</v>
      </c>
      <c r="AC13" s="123">
        <v>44449</v>
      </c>
      <c r="AD13" t="s">
        <v>349</v>
      </c>
      <c r="AE13" t="s">
        <v>1213</v>
      </c>
      <c r="AF13" t="s">
        <v>1115</v>
      </c>
      <c r="AG13" t="s">
        <v>0</v>
      </c>
      <c r="AH13">
        <v>1</v>
      </c>
      <c r="AI13" t="b">
        <v>0</v>
      </c>
      <c r="AK13" t="b">
        <v>0</v>
      </c>
      <c r="AM13" t="b">
        <v>0</v>
      </c>
      <c r="AN13" t="b">
        <v>0</v>
      </c>
      <c r="AO13" t="b">
        <v>0</v>
      </c>
      <c r="AP13" t="b">
        <v>0</v>
      </c>
      <c r="AQ13" t="b">
        <v>0</v>
      </c>
      <c r="AR13" t="b">
        <v>0</v>
      </c>
      <c r="AS13" t="b">
        <v>0</v>
      </c>
      <c r="AT13" t="s">
        <v>1252</v>
      </c>
      <c r="AU13">
        <v>9882358</v>
      </c>
      <c r="AV13" t="s">
        <v>982</v>
      </c>
      <c r="AW13" t="s">
        <v>1052</v>
      </c>
      <c r="AX13" s="123">
        <v>44509</v>
      </c>
      <c r="AY13" t="s">
        <v>1101</v>
      </c>
      <c r="AZ13" t="s">
        <v>13</v>
      </c>
      <c r="BA13" t="s">
        <v>83</v>
      </c>
      <c r="BB13" t="s">
        <v>38</v>
      </c>
      <c r="BD13" t="s">
        <v>28</v>
      </c>
      <c r="BG13" s="123"/>
      <c r="BH13" t="b">
        <v>0</v>
      </c>
      <c r="BK13" t="s">
        <v>1117</v>
      </c>
      <c r="BL13" t="s">
        <v>1214</v>
      </c>
      <c r="CC13" s="123"/>
      <c r="CE13" s="123"/>
      <c r="CG13" s="123"/>
      <c r="CI13" s="123"/>
      <c r="CK13" s="123"/>
      <c r="CM13" s="123"/>
      <c r="CO13" s="123"/>
      <c r="CT13" s="123"/>
      <c r="CV13" s="123"/>
    </row>
    <row r="14" spans="1:100" x14ac:dyDescent="0.15">
      <c r="A14" t="s">
        <v>1254</v>
      </c>
      <c r="B14" s="123">
        <v>44449</v>
      </c>
      <c r="C14" t="s">
        <v>1253</v>
      </c>
      <c r="D14" t="s">
        <v>352</v>
      </c>
      <c r="E14" t="s">
        <v>1165</v>
      </c>
      <c r="F14" t="s">
        <v>1166</v>
      </c>
      <c r="G14" t="s">
        <v>374</v>
      </c>
      <c r="H14" t="s">
        <v>1205</v>
      </c>
      <c r="I14" t="s">
        <v>354</v>
      </c>
      <c r="J14" t="s">
        <v>1168</v>
      </c>
      <c r="K14" t="s">
        <v>414</v>
      </c>
      <c r="L14" t="s">
        <v>1189</v>
      </c>
      <c r="M14" t="s">
        <v>346</v>
      </c>
      <c r="N14" t="s">
        <v>1255</v>
      </c>
      <c r="O14" t="s">
        <v>1256</v>
      </c>
      <c r="P14" t="s">
        <v>1257</v>
      </c>
      <c r="Q14" s="123">
        <v>44449</v>
      </c>
      <c r="R14" s="123">
        <v>44484</v>
      </c>
      <c r="S14" t="s">
        <v>1258</v>
      </c>
      <c r="T14" s="123">
        <v>44449</v>
      </c>
      <c r="U14">
        <v>0</v>
      </c>
      <c r="V14">
        <v>0</v>
      </c>
      <c r="W14" t="s">
        <v>262</v>
      </c>
      <c r="X14" t="s">
        <v>1259</v>
      </c>
      <c r="AA14" t="s">
        <v>1</v>
      </c>
      <c r="AB14" t="s">
        <v>1260</v>
      </c>
      <c r="AC14" s="123">
        <v>44449</v>
      </c>
      <c r="AD14" t="s">
        <v>349</v>
      </c>
      <c r="AE14" t="s">
        <v>1213</v>
      </c>
      <c r="AF14" t="s">
        <v>1115</v>
      </c>
      <c r="AG14" t="s">
        <v>0</v>
      </c>
      <c r="AH14">
        <v>1</v>
      </c>
      <c r="AI14" t="b">
        <v>0</v>
      </c>
      <c r="AK14" t="b">
        <v>0</v>
      </c>
      <c r="AM14" t="b">
        <v>0</v>
      </c>
      <c r="AN14" t="b">
        <v>0</v>
      </c>
      <c r="AO14" t="b">
        <v>0</v>
      </c>
      <c r="AP14" t="b">
        <v>0</v>
      </c>
      <c r="AQ14" t="b">
        <v>0</v>
      </c>
      <c r="AR14" t="b">
        <v>0</v>
      </c>
      <c r="AS14" t="b">
        <v>0</v>
      </c>
      <c r="AT14" t="s">
        <v>1261</v>
      </c>
      <c r="AU14">
        <v>9882358</v>
      </c>
      <c r="AV14" t="s">
        <v>982</v>
      </c>
      <c r="AW14" t="s">
        <v>1052</v>
      </c>
      <c r="AX14" s="123">
        <v>44509</v>
      </c>
      <c r="AY14" t="s">
        <v>1101</v>
      </c>
      <c r="AZ14" t="s">
        <v>13</v>
      </c>
      <c r="BA14" t="s">
        <v>83</v>
      </c>
      <c r="BB14" t="s">
        <v>40</v>
      </c>
      <c r="BD14" t="s">
        <v>30</v>
      </c>
      <c r="BG14" s="123"/>
      <c r="BH14" t="b">
        <v>0</v>
      </c>
      <c r="BK14" t="s">
        <v>1117</v>
      </c>
      <c r="BL14" t="s">
        <v>1214</v>
      </c>
      <c r="CC14" s="123"/>
      <c r="CE14" s="123"/>
      <c r="CG14" s="123"/>
      <c r="CI14" s="123"/>
      <c r="CK14" s="123"/>
      <c r="CM14" s="123"/>
      <c r="CO14" s="123"/>
      <c r="CT14" s="123"/>
      <c r="CV14" s="123"/>
    </row>
    <row r="15" spans="1:100" ht="256.5" x14ac:dyDescent="0.15">
      <c r="A15" t="s">
        <v>1263</v>
      </c>
      <c r="B15" s="123">
        <v>44449</v>
      </c>
      <c r="C15" t="s">
        <v>1262</v>
      </c>
      <c r="D15" t="s">
        <v>352</v>
      </c>
      <c r="E15" t="s">
        <v>1165</v>
      </c>
      <c r="F15" t="s">
        <v>1166</v>
      </c>
      <c r="G15" t="s">
        <v>374</v>
      </c>
      <c r="H15" t="s">
        <v>1205</v>
      </c>
      <c r="I15" t="s">
        <v>354</v>
      </c>
      <c r="J15" t="s">
        <v>1168</v>
      </c>
      <c r="K15" t="s">
        <v>417</v>
      </c>
      <c r="L15" t="s">
        <v>1264</v>
      </c>
      <c r="M15" t="s">
        <v>346</v>
      </c>
      <c r="N15" t="s">
        <v>1265</v>
      </c>
      <c r="O15" t="s">
        <v>1266</v>
      </c>
      <c r="P15" s="99" t="s">
        <v>1267</v>
      </c>
      <c r="Q15" s="123">
        <v>44449</v>
      </c>
      <c r="R15" s="123">
        <v>44484</v>
      </c>
      <c r="S15" s="99" t="s">
        <v>1268</v>
      </c>
      <c r="T15" s="123">
        <v>44480</v>
      </c>
      <c r="U15">
        <v>0</v>
      </c>
      <c r="V15">
        <v>0</v>
      </c>
      <c r="W15" t="s">
        <v>262</v>
      </c>
      <c r="X15" t="s">
        <v>1269</v>
      </c>
      <c r="AA15" t="s">
        <v>1</v>
      </c>
      <c r="AB15" t="s">
        <v>1270</v>
      </c>
      <c r="AC15" s="123">
        <v>44480</v>
      </c>
      <c r="AD15" t="s">
        <v>349</v>
      </c>
      <c r="AE15" t="s">
        <v>1213</v>
      </c>
      <c r="AF15" t="s">
        <v>1115</v>
      </c>
      <c r="AG15" t="s">
        <v>0</v>
      </c>
      <c r="AH15">
        <v>1</v>
      </c>
      <c r="AI15" t="b">
        <v>0</v>
      </c>
      <c r="AK15" t="b">
        <v>0</v>
      </c>
      <c r="AM15" t="b">
        <v>0</v>
      </c>
      <c r="AN15" t="b">
        <v>0</v>
      </c>
      <c r="AO15" t="b">
        <v>0</v>
      </c>
      <c r="AP15" t="b">
        <v>0</v>
      </c>
      <c r="AQ15" t="b">
        <v>0</v>
      </c>
      <c r="AR15" t="b">
        <v>0</v>
      </c>
      <c r="AS15" t="b">
        <v>0</v>
      </c>
      <c r="AT15" t="s">
        <v>1271</v>
      </c>
      <c r="AU15">
        <v>9882358</v>
      </c>
      <c r="AV15" t="s">
        <v>982</v>
      </c>
      <c r="AW15" t="s">
        <v>1052</v>
      </c>
      <c r="AX15" s="123">
        <v>44509</v>
      </c>
      <c r="AY15" t="s">
        <v>1101</v>
      </c>
      <c r="AZ15" t="s">
        <v>17</v>
      </c>
      <c r="BA15" t="s">
        <v>181</v>
      </c>
      <c r="BB15" t="s">
        <v>43</v>
      </c>
      <c r="BD15" t="s">
        <v>756</v>
      </c>
      <c r="BG15" s="123"/>
      <c r="BH15" t="b">
        <v>0</v>
      </c>
      <c r="BK15" t="s">
        <v>1117</v>
      </c>
      <c r="BL15" t="s">
        <v>1214</v>
      </c>
      <c r="CC15" s="123"/>
      <c r="CE15" s="123"/>
      <c r="CG15" s="123"/>
      <c r="CI15" s="123"/>
      <c r="CK15" s="123"/>
      <c r="CM15" s="123"/>
      <c r="CO15" s="123"/>
      <c r="CT15" s="123"/>
      <c r="CV15" s="123"/>
    </row>
    <row r="16" spans="1:100" x14ac:dyDescent="0.15">
      <c r="A16" t="s">
        <v>1273</v>
      </c>
      <c r="B16" s="123">
        <v>44449</v>
      </c>
      <c r="C16" t="s">
        <v>1272</v>
      </c>
      <c r="D16" t="s">
        <v>352</v>
      </c>
      <c r="E16" t="s">
        <v>1165</v>
      </c>
      <c r="F16" t="s">
        <v>1166</v>
      </c>
      <c r="G16" t="s">
        <v>374</v>
      </c>
      <c r="H16" t="s">
        <v>1205</v>
      </c>
      <c r="I16" t="s">
        <v>354</v>
      </c>
      <c r="J16" t="s">
        <v>1168</v>
      </c>
      <c r="K16" t="s">
        <v>420</v>
      </c>
      <c r="L16" t="s">
        <v>1206</v>
      </c>
      <c r="M16" t="s">
        <v>346</v>
      </c>
      <c r="N16" t="s">
        <v>1274</v>
      </c>
      <c r="O16" t="s">
        <v>1275</v>
      </c>
      <c r="P16" t="s">
        <v>1276</v>
      </c>
      <c r="Q16" s="123">
        <v>44449</v>
      </c>
      <c r="R16" s="123">
        <v>44484</v>
      </c>
      <c r="S16" t="s">
        <v>1277</v>
      </c>
      <c r="T16" s="123">
        <v>44449</v>
      </c>
      <c r="U16">
        <v>0</v>
      </c>
      <c r="V16">
        <v>0</v>
      </c>
      <c r="W16" t="s">
        <v>262</v>
      </c>
      <c r="X16" t="s">
        <v>1278</v>
      </c>
      <c r="AA16" t="s">
        <v>1</v>
      </c>
      <c r="AB16" t="s">
        <v>1279</v>
      </c>
      <c r="AC16" s="123">
        <v>44449</v>
      </c>
      <c r="AD16" t="s">
        <v>349</v>
      </c>
      <c r="AE16" t="s">
        <v>1213</v>
      </c>
      <c r="AF16" t="s">
        <v>1115</v>
      </c>
      <c r="AG16" t="s">
        <v>0</v>
      </c>
      <c r="AH16">
        <v>1</v>
      </c>
      <c r="AI16" t="b">
        <v>0</v>
      </c>
      <c r="AK16" t="b">
        <v>0</v>
      </c>
      <c r="AM16" t="b">
        <v>0</v>
      </c>
      <c r="AN16" t="b">
        <v>0</v>
      </c>
      <c r="AO16" t="b">
        <v>0</v>
      </c>
      <c r="AP16" t="b">
        <v>0</v>
      </c>
      <c r="AQ16" t="b">
        <v>0</v>
      </c>
      <c r="AR16" t="b">
        <v>0</v>
      </c>
      <c r="AS16" t="b">
        <v>0</v>
      </c>
      <c r="AT16" t="s">
        <v>1280</v>
      </c>
      <c r="AU16">
        <v>9882358</v>
      </c>
      <c r="AV16" t="s">
        <v>982</v>
      </c>
      <c r="AW16" t="s">
        <v>1052</v>
      </c>
      <c r="AX16" s="123">
        <v>44509</v>
      </c>
      <c r="AY16" t="s">
        <v>1101</v>
      </c>
      <c r="AZ16" t="s">
        <v>13</v>
      </c>
      <c r="BA16" t="s">
        <v>83</v>
      </c>
      <c r="BB16" t="s">
        <v>46</v>
      </c>
      <c r="BD16" t="s">
        <v>29</v>
      </c>
      <c r="BG16" s="123"/>
      <c r="BH16" t="b">
        <v>0</v>
      </c>
      <c r="BK16" t="s">
        <v>1117</v>
      </c>
      <c r="BL16" t="s">
        <v>1214</v>
      </c>
      <c r="CC16" s="123"/>
      <c r="CE16" s="123"/>
      <c r="CG16" s="123"/>
      <c r="CI16" s="123"/>
      <c r="CK16" s="123"/>
      <c r="CM16" s="123"/>
      <c r="CO16" s="123"/>
      <c r="CT16" s="123"/>
      <c r="CV16" s="123"/>
    </row>
    <row r="17" spans="1:100" ht="409.5" x14ac:dyDescent="0.15">
      <c r="A17" t="s">
        <v>1282</v>
      </c>
      <c r="B17" s="123">
        <v>44455</v>
      </c>
      <c r="C17" t="s">
        <v>1281</v>
      </c>
      <c r="D17" t="s">
        <v>364</v>
      </c>
      <c r="E17" t="s">
        <v>1283</v>
      </c>
      <c r="F17" t="s">
        <v>1284</v>
      </c>
      <c r="G17" t="s">
        <v>390</v>
      </c>
      <c r="H17" t="s">
        <v>1285</v>
      </c>
      <c r="I17" t="s">
        <v>583</v>
      </c>
      <c r="J17" t="s">
        <v>1286</v>
      </c>
      <c r="K17" t="s">
        <v>143</v>
      </c>
      <c r="L17" t="s">
        <v>1287</v>
      </c>
      <c r="M17" t="s">
        <v>346</v>
      </c>
      <c r="N17" t="s">
        <v>1288</v>
      </c>
      <c r="O17" t="s">
        <v>1289</v>
      </c>
      <c r="P17" t="s">
        <v>1290</v>
      </c>
      <c r="Q17" s="123">
        <v>44455</v>
      </c>
      <c r="R17" s="123">
        <v>44515</v>
      </c>
      <c r="S17" s="99" t="s">
        <v>1291</v>
      </c>
      <c r="T17" s="123">
        <v>44483</v>
      </c>
      <c r="U17">
        <v>0</v>
      </c>
      <c r="V17">
        <v>0</v>
      </c>
      <c r="W17" t="s">
        <v>262</v>
      </c>
      <c r="X17" t="s">
        <v>1292</v>
      </c>
      <c r="AA17" t="s">
        <v>4</v>
      </c>
      <c r="AB17" t="s">
        <v>1293</v>
      </c>
      <c r="AC17" s="123">
        <v>44483</v>
      </c>
      <c r="AD17" t="s">
        <v>349</v>
      </c>
      <c r="AE17" t="s">
        <v>1213</v>
      </c>
      <c r="AF17" t="s">
        <v>1115</v>
      </c>
      <c r="AG17" t="s">
        <v>0</v>
      </c>
      <c r="AH17">
        <v>3</v>
      </c>
      <c r="AI17" t="b">
        <v>0</v>
      </c>
      <c r="AK17" t="b">
        <v>0</v>
      </c>
      <c r="AM17" t="b">
        <v>0</v>
      </c>
      <c r="AN17" t="b">
        <v>0</v>
      </c>
      <c r="AO17" t="b">
        <v>0</v>
      </c>
      <c r="AP17" t="b">
        <v>0</v>
      </c>
      <c r="AQ17" t="b">
        <v>0</v>
      </c>
      <c r="AR17" t="b">
        <v>1</v>
      </c>
      <c r="AS17" t="b">
        <v>0</v>
      </c>
      <c r="AT17" t="s">
        <v>1296</v>
      </c>
      <c r="AU17">
        <v>9882358</v>
      </c>
      <c r="AV17" t="s">
        <v>982</v>
      </c>
      <c r="AW17" t="s">
        <v>1052</v>
      </c>
      <c r="AX17" s="123">
        <v>44509</v>
      </c>
      <c r="AY17" t="s">
        <v>1101</v>
      </c>
      <c r="AZ17" t="s">
        <v>583</v>
      </c>
      <c r="BA17" t="s">
        <v>143</v>
      </c>
      <c r="BB17" t="s">
        <v>50</v>
      </c>
      <c r="BD17" t="s">
        <v>756</v>
      </c>
      <c r="BG17" s="123"/>
      <c r="BH17" t="b">
        <v>0</v>
      </c>
      <c r="BI17" t="s">
        <v>1295</v>
      </c>
      <c r="BK17" t="s">
        <v>1117</v>
      </c>
      <c r="CC17" s="123"/>
      <c r="CE17" s="123"/>
      <c r="CG17" s="123"/>
      <c r="CI17" s="123"/>
      <c r="CK17" s="123"/>
      <c r="CM17" s="123"/>
      <c r="CO17" s="123"/>
      <c r="CT17" s="123"/>
      <c r="CV17" s="123"/>
    </row>
    <row r="18" spans="1:100" ht="409.5" x14ac:dyDescent="0.15">
      <c r="A18" t="s">
        <v>1298</v>
      </c>
      <c r="B18" s="123">
        <v>44466</v>
      </c>
      <c r="C18" t="s">
        <v>1297</v>
      </c>
      <c r="D18" t="s">
        <v>337</v>
      </c>
      <c r="E18" t="s">
        <v>1104</v>
      </c>
      <c r="F18" t="s">
        <v>1105</v>
      </c>
      <c r="G18" t="s">
        <v>370</v>
      </c>
      <c r="H18" t="s">
        <v>1299</v>
      </c>
      <c r="I18" t="s">
        <v>339</v>
      </c>
      <c r="J18" t="s">
        <v>1107</v>
      </c>
      <c r="K18" t="s">
        <v>756</v>
      </c>
      <c r="L18" t="s">
        <v>1300</v>
      </c>
      <c r="M18" t="s">
        <v>346</v>
      </c>
      <c r="N18" t="s">
        <v>1301</v>
      </c>
      <c r="O18" t="s">
        <v>1302</v>
      </c>
      <c r="P18" t="s">
        <v>1302</v>
      </c>
      <c r="Q18" s="123">
        <v>44455</v>
      </c>
      <c r="R18" s="123">
        <v>44526</v>
      </c>
      <c r="S18" s="99" t="s">
        <v>1303</v>
      </c>
      <c r="T18" s="123">
        <v>44483</v>
      </c>
      <c r="U18">
        <v>0</v>
      </c>
      <c r="V18">
        <v>0</v>
      </c>
      <c r="W18" t="s">
        <v>262</v>
      </c>
      <c r="X18" s="99" t="s">
        <v>1304</v>
      </c>
      <c r="AA18" t="s">
        <v>4</v>
      </c>
      <c r="AB18" t="s">
        <v>1305</v>
      </c>
      <c r="AC18" s="123">
        <v>44483</v>
      </c>
      <c r="AD18" t="s">
        <v>349</v>
      </c>
      <c r="AE18" t="s">
        <v>1213</v>
      </c>
      <c r="AF18" t="s">
        <v>1115</v>
      </c>
      <c r="AG18" t="s">
        <v>0</v>
      </c>
      <c r="AH18">
        <v>3</v>
      </c>
      <c r="AI18" t="b">
        <v>0</v>
      </c>
      <c r="AK18" t="b">
        <v>0</v>
      </c>
      <c r="AM18" t="b">
        <v>0</v>
      </c>
      <c r="AN18" t="b">
        <v>0</v>
      </c>
      <c r="AO18" t="b">
        <v>0</v>
      </c>
      <c r="AP18" t="b">
        <v>0</v>
      </c>
      <c r="AQ18" t="b">
        <v>0</v>
      </c>
      <c r="AR18" t="b">
        <v>0</v>
      </c>
      <c r="AS18" t="b">
        <v>0</v>
      </c>
      <c r="AT18" t="s">
        <v>1313</v>
      </c>
      <c r="AU18">
        <v>9882358</v>
      </c>
      <c r="AV18" t="s">
        <v>982</v>
      </c>
      <c r="AW18" t="s">
        <v>1052</v>
      </c>
      <c r="AX18" s="123">
        <v>44509</v>
      </c>
      <c r="AY18" t="s">
        <v>1101</v>
      </c>
      <c r="AZ18" t="s">
        <v>583</v>
      </c>
      <c r="BA18" t="s">
        <v>143</v>
      </c>
      <c r="BB18" t="s">
        <v>50</v>
      </c>
      <c r="BD18" t="s">
        <v>756</v>
      </c>
      <c r="BE18">
        <v>10.32</v>
      </c>
      <c r="BG18" s="123"/>
      <c r="BH18" t="b">
        <v>0</v>
      </c>
      <c r="BK18" t="s">
        <v>1117</v>
      </c>
      <c r="BL18" t="s">
        <v>1307</v>
      </c>
      <c r="BN18" t="s">
        <v>1308</v>
      </c>
      <c r="BO18" t="s">
        <v>1309</v>
      </c>
      <c r="BP18" t="s">
        <v>1121</v>
      </c>
      <c r="BQ18" t="s">
        <v>1122</v>
      </c>
      <c r="BS18" t="s">
        <v>1310</v>
      </c>
      <c r="BT18" t="s">
        <v>1311</v>
      </c>
      <c r="BU18" t="s">
        <v>1201</v>
      </c>
      <c r="CC18" s="123"/>
      <c r="CE18" s="123"/>
      <c r="CG18" s="123"/>
      <c r="CI18" s="123"/>
      <c r="CK18" s="123"/>
      <c r="CM18" s="123"/>
      <c r="CO18" s="123"/>
      <c r="CP18" t="s">
        <v>771</v>
      </c>
      <c r="CR18" t="s">
        <v>1127</v>
      </c>
      <c r="CS18">
        <v>10</v>
      </c>
      <c r="CT18" s="123">
        <v>44476</v>
      </c>
      <c r="CU18" t="s">
        <v>1312</v>
      </c>
      <c r="CV18" s="123">
        <v>44476</v>
      </c>
    </row>
    <row r="19" spans="1:100" x14ac:dyDescent="0.15">
      <c r="A19" t="s">
        <v>1315</v>
      </c>
      <c r="B19" s="123">
        <v>44485</v>
      </c>
      <c r="C19" t="s">
        <v>1314</v>
      </c>
      <c r="D19" t="s">
        <v>358</v>
      </c>
      <c r="E19" t="s">
        <v>1146</v>
      </c>
      <c r="F19" t="s">
        <v>1147</v>
      </c>
      <c r="G19" t="s">
        <v>375</v>
      </c>
      <c r="I19" t="s">
        <v>360</v>
      </c>
      <c r="J19" t="s">
        <v>1148</v>
      </c>
      <c r="K19" t="s">
        <v>402</v>
      </c>
      <c r="L19" t="s">
        <v>1149</v>
      </c>
      <c r="M19" t="s">
        <v>346</v>
      </c>
      <c r="N19" t="s">
        <v>1150</v>
      </c>
      <c r="O19" t="s">
        <v>262</v>
      </c>
      <c r="P19" t="s">
        <v>262</v>
      </c>
      <c r="Q19" s="123"/>
      <c r="R19" s="123">
        <v>44485</v>
      </c>
      <c r="S19" t="s">
        <v>262</v>
      </c>
      <c r="T19" s="123"/>
      <c r="U19">
        <v>0</v>
      </c>
      <c r="V19">
        <v>0</v>
      </c>
      <c r="W19" t="s">
        <v>262</v>
      </c>
      <c r="X19" t="s">
        <v>1134</v>
      </c>
      <c r="AA19" t="s">
        <v>5</v>
      </c>
      <c r="AB19" t="s">
        <v>262</v>
      </c>
      <c r="AC19" s="123">
        <v>44485</v>
      </c>
      <c r="AD19" t="s">
        <v>349</v>
      </c>
      <c r="AE19" t="s">
        <v>1316</v>
      </c>
      <c r="AF19" t="s">
        <v>1115</v>
      </c>
      <c r="AG19" t="s">
        <v>0</v>
      </c>
      <c r="AH19">
        <v>1</v>
      </c>
      <c r="AI19" t="b">
        <v>0</v>
      </c>
      <c r="AK19" t="b">
        <v>0</v>
      </c>
      <c r="AM19" t="b">
        <v>0</v>
      </c>
      <c r="AN19" t="b">
        <v>0</v>
      </c>
      <c r="AO19" t="b">
        <v>0</v>
      </c>
      <c r="AP19" t="b">
        <v>0</v>
      </c>
      <c r="AQ19" t="b">
        <v>0</v>
      </c>
      <c r="AR19" t="b">
        <v>0</v>
      </c>
      <c r="AS19" t="b">
        <v>0</v>
      </c>
      <c r="AT19" t="s">
        <v>1342</v>
      </c>
      <c r="AU19">
        <v>9882358</v>
      </c>
      <c r="AV19" t="s">
        <v>982</v>
      </c>
      <c r="AW19" t="s">
        <v>1052</v>
      </c>
      <c r="AX19" s="123">
        <v>44537</v>
      </c>
      <c r="AY19" t="s">
        <v>1101</v>
      </c>
      <c r="BB19" t="s">
        <v>402</v>
      </c>
      <c r="BD19" t="s">
        <v>801</v>
      </c>
      <c r="BG19" s="123"/>
      <c r="BH19" t="b">
        <v>0</v>
      </c>
      <c r="BK19" t="s">
        <v>1117</v>
      </c>
      <c r="BL19" t="s">
        <v>1317</v>
      </c>
      <c r="BM19" t="s">
        <v>852</v>
      </c>
      <c r="BN19" t="s">
        <v>1318</v>
      </c>
      <c r="BO19" t="s">
        <v>1319</v>
      </c>
      <c r="BP19" t="s">
        <v>1155</v>
      </c>
      <c r="BQ19" t="s">
        <v>1156</v>
      </c>
      <c r="BR19" s="122">
        <v>376.00591435185186</v>
      </c>
      <c r="BS19" t="s">
        <v>1199</v>
      </c>
      <c r="BT19" t="s">
        <v>1311</v>
      </c>
      <c r="BU19" t="s">
        <v>1201</v>
      </c>
      <c r="BV19" t="s">
        <v>1158</v>
      </c>
      <c r="BW19" t="s">
        <v>1159</v>
      </c>
      <c r="BX19" t="s">
        <v>1160</v>
      </c>
      <c r="BY19" t="s">
        <v>1161</v>
      </c>
      <c r="BZ19" t="s">
        <v>346</v>
      </c>
      <c r="CA19" t="s">
        <v>341</v>
      </c>
      <c r="CB19" t="s">
        <v>1316</v>
      </c>
      <c r="CC19" s="123">
        <v>44486</v>
      </c>
      <c r="CD19" t="s">
        <v>341</v>
      </c>
      <c r="CE19" s="123">
        <v>44486</v>
      </c>
      <c r="CF19" t="s">
        <v>341</v>
      </c>
      <c r="CG19" s="123">
        <v>44486</v>
      </c>
      <c r="CH19" t="s">
        <v>262</v>
      </c>
      <c r="CI19" s="123"/>
      <c r="CJ19" t="s">
        <v>341</v>
      </c>
      <c r="CK19" s="123">
        <v>44486</v>
      </c>
      <c r="CL19" t="s">
        <v>341</v>
      </c>
      <c r="CM19" s="123">
        <v>44486</v>
      </c>
      <c r="CN19" t="s">
        <v>341</v>
      </c>
      <c r="CO19" s="123">
        <v>44486</v>
      </c>
      <c r="CT19" s="123"/>
      <c r="CV19" s="123"/>
    </row>
    <row r="20" spans="1:100" x14ac:dyDescent="0.15">
      <c r="A20" t="s">
        <v>1320</v>
      </c>
      <c r="B20" s="123">
        <v>44517</v>
      </c>
      <c r="C20" t="s">
        <v>1321</v>
      </c>
      <c r="D20" t="s">
        <v>364</v>
      </c>
      <c r="E20" t="s">
        <v>1283</v>
      </c>
      <c r="F20" t="s">
        <v>1284</v>
      </c>
      <c r="G20" t="s">
        <v>390</v>
      </c>
      <c r="H20" t="s">
        <v>1322</v>
      </c>
      <c r="I20" t="s">
        <v>19</v>
      </c>
      <c r="J20" t="s">
        <v>1343</v>
      </c>
      <c r="K20" t="s">
        <v>144</v>
      </c>
      <c r="L20" t="s">
        <v>1344</v>
      </c>
      <c r="M20" t="s">
        <v>346</v>
      </c>
      <c r="N20" t="s">
        <v>1334</v>
      </c>
      <c r="O20" t="s">
        <v>1323</v>
      </c>
      <c r="P20" t="s">
        <v>1324</v>
      </c>
      <c r="Q20" s="123">
        <v>44517</v>
      </c>
      <c r="R20" s="123">
        <v>44607</v>
      </c>
      <c r="S20" t="s">
        <v>1335</v>
      </c>
      <c r="T20" s="123">
        <v>44517</v>
      </c>
      <c r="U20">
        <v>0</v>
      </c>
      <c r="V20">
        <v>0</v>
      </c>
      <c r="W20" t="s">
        <v>262</v>
      </c>
      <c r="X20" t="s">
        <v>1336</v>
      </c>
      <c r="AA20" t="s">
        <v>4</v>
      </c>
      <c r="AB20" t="s">
        <v>1337</v>
      </c>
      <c r="AC20" s="123">
        <v>44517</v>
      </c>
      <c r="AD20" t="s">
        <v>349</v>
      </c>
      <c r="AE20" t="s">
        <v>1213</v>
      </c>
      <c r="AF20" t="s">
        <v>1115</v>
      </c>
      <c r="AG20" t="s">
        <v>0</v>
      </c>
      <c r="AH20">
        <v>1</v>
      </c>
      <c r="AI20" t="b">
        <v>0</v>
      </c>
      <c r="AK20" t="b">
        <v>0</v>
      </c>
      <c r="AM20" t="b">
        <v>0</v>
      </c>
      <c r="AN20" t="b">
        <v>0</v>
      </c>
      <c r="AO20" t="b">
        <v>0</v>
      </c>
      <c r="AP20" t="b">
        <v>0</v>
      </c>
      <c r="AQ20" t="b">
        <v>0</v>
      </c>
      <c r="AR20" t="b">
        <v>0</v>
      </c>
      <c r="AS20" t="b">
        <v>0</v>
      </c>
      <c r="AT20" t="s">
        <v>1338</v>
      </c>
      <c r="AU20">
        <v>9882358</v>
      </c>
      <c r="AV20" t="s">
        <v>982</v>
      </c>
      <c r="AW20" t="s">
        <v>1052</v>
      </c>
      <c r="AX20" s="123">
        <v>44537</v>
      </c>
      <c r="AY20" t="s">
        <v>1101</v>
      </c>
      <c r="AZ20" t="s">
        <v>19</v>
      </c>
      <c r="BA20" t="s">
        <v>144</v>
      </c>
      <c r="BB20" t="s">
        <v>43</v>
      </c>
      <c r="BD20" t="s">
        <v>756</v>
      </c>
      <c r="BG20" s="123"/>
      <c r="BH20" t="b">
        <v>0</v>
      </c>
      <c r="BI20" t="s">
        <v>1325</v>
      </c>
      <c r="BK20" t="s">
        <v>1117</v>
      </c>
      <c r="CC20" s="123"/>
      <c r="CE20" s="123"/>
      <c r="CG20" s="123"/>
      <c r="CI20" s="123"/>
      <c r="CK20" s="123"/>
      <c r="CM20" s="123"/>
      <c r="CO20" s="123"/>
      <c r="CT20" s="123"/>
      <c r="CV20" s="123"/>
    </row>
    <row r="21" spans="1:100" x14ac:dyDescent="0.15">
      <c r="A21" t="s">
        <v>1326</v>
      </c>
      <c r="B21" s="123">
        <v>44526</v>
      </c>
      <c r="C21" t="s">
        <v>1327</v>
      </c>
      <c r="D21" t="s">
        <v>364</v>
      </c>
      <c r="E21" t="s">
        <v>1283</v>
      </c>
      <c r="F21" t="s">
        <v>1284</v>
      </c>
      <c r="G21" t="s">
        <v>390</v>
      </c>
      <c r="H21" t="s">
        <v>1328</v>
      </c>
      <c r="I21" t="s">
        <v>17</v>
      </c>
      <c r="J21" t="s">
        <v>1345</v>
      </c>
      <c r="K21" t="s">
        <v>129</v>
      </c>
      <c r="L21" t="s">
        <v>1346</v>
      </c>
      <c r="M21" t="s">
        <v>346</v>
      </c>
      <c r="N21" t="s">
        <v>1329</v>
      </c>
      <c r="O21" t="s">
        <v>1332</v>
      </c>
      <c r="P21" t="s">
        <v>1330</v>
      </c>
      <c r="Q21" s="123">
        <v>44526</v>
      </c>
      <c r="R21" s="123">
        <v>44616</v>
      </c>
      <c r="S21" t="s">
        <v>1333</v>
      </c>
      <c r="T21" s="123">
        <v>44526</v>
      </c>
      <c r="U21">
        <v>0</v>
      </c>
      <c r="V21">
        <v>0</v>
      </c>
      <c r="W21" t="s">
        <v>262</v>
      </c>
      <c r="X21" t="s">
        <v>1339</v>
      </c>
      <c r="AA21" t="s">
        <v>1</v>
      </c>
      <c r="AB21" t="s">
        <v>1340</v>
      </c>
      <c r="AC21" s="123">
        <v>44526</v>
      </c>
      <c r="AD21" t="s">
        <v>349</v>
      </c>
      <c r="AE21" t="s">
        <v>1213</v>
      </c>
      <c r="AF21" t="s">
        <v>1115</v>
      </c>
      <c r="AG21" t="s">
        <v>0</v>
      </c>
      <c r="AH21">
        <v>1</v>
      </c>
      <c r="AI21" t="b">
        <v>0</v>
      </c>
      <c r="AK21" t="b">
        <v>0</v>
      </c>
      <c r="AM21" t="b">
        <v>0</v>
      </c>
      <c r="AN21" t="b">
        <v>0</v>
      </c>
      <c r="AO21" t="b">
        <v>0</v>
      </c>
      <c r="AP21" t="b">
        <v>0</v>
      </c>
      <c r="AQ21" t="b">
        <v>0</v>
      </c>
      <c r="AR21" t="b">
        <v>0</v>
      </c>
      <c r="AS21" t="b">
        <v>0</v>
      </c>
      <c r="AT21" t="s">
        <v>1341</v>
      </c>
      <c r="AU21">
        <v>9882358</v>
      </c>
      <c r="AV21" t="s">
        <v>982</v>
      </c>
      <c r="AW21" t="s">
        <v>1052</v>
      </c>
      <c r="AX21" s="123">
        <v>44537</v>
      </c>
      <c r="AY21" t="s">
        <v>1101</v>
      </c>
      <c r="AZ21" t="s">
        <v>17</v>
      </c>
      <c r="BA21" t="s">
        <v>129</v>
      </c>
      <c r="BB21" t="s">
        <v>43</v>
      </c>
      <c r="BD21" t="s">
        <v>756</v>
      </c>
      <c r="BG21" s="123"/>
      <c r="BH21" t="b">
        <v>0</v>
      </c>
      <c r="BI21" t="s">
        <v>1331</v>
      </c>
      <c r="BK21" t="s">
        <v>1117</v>
      </c>
      <c r="CC21" s="123"/>
      <c r="CE21" s="123"/>
      <c r="CG21" s="123"/>
      <c r="CI21" s="123"/>
      <c r="CK21" s="123"/>
      <c r="CM21" s="123"/>
      <c r="CO21" s="123"/>
      <c r="CT21" s="123"/>
      <c r="CV21" s="123"/>
    </row>
    <row r="22" spans="1:100" x14ac:dyDescent="0.15">
      <c r="A22" t="s">
        <v>1347</v>
      </c>
      <c r="B22" s="123">
        <v>44481</v>
      </c>
      <c r="C22" t="s">
        <v>1348</v>
      </c>
      <c r="D22" t="s">
        <v>364</v>
      </c>
      <c r="E22" t="s">
        <v>1283</v>
      </c>
      <c r="F22" t="s">
        <v>1284</v>
      </c>
      <c r="G22" t="s">
        <v>390</v>
      </c>
      <c r="H22" t="s">
        <v>1322</v>
      </c>
      <c r="I22" t="s">
        <v>14</v>
      </c>
      <c r="J22" t="s">
        <v>1380</v>
      </c>
      <c r="K22" t="s">
        <v>100</v>
      </c>
      <c r="L22" t="s">
        <v>1381</v>
      </c>
      <c r="M22" t="s">
        <v>346</v>
      </c>
      <c r="N22" t="s">
        <v>1363</v>
      </c>
      <c r="O22" t="s">
        <v>1364</v>
      </c>
      <c r="P22" t="s">
        <v>1365</v>
      </c>
      <c r="Q22" s="123">
        <v>44481</v>
      </c>
      <c r="R22" s="123">
        <v>44835</v>
      </c>
      <c r="S22" t="s">
        <v>1366</v>
      </c>
      <c r="T22" s="123">
        <v>44542</v>
      </c>
      <c r="U22">
        <v>0</v>
      </c>
      <c r="V22">
        <v>0</v>
      </c>
      <c r="W22" t="s">
        <v>262</v>
      </c>
      <c r="X22" t="s">
        <v>1373</v>
      </c>
      <c r="AA22" t="s">
        <v>167</v>
      </c>
      <c r="AB22" t="s">
        <v>1373</v>
      </c>
      <c r="AC22" s="123">
        <v>44542</v>
      </c>
      <c r="AD22" t="s">
        <v>349</v>
      </c>
      <c r="AE22" t="s">
        <v>1213</v>
      </c>
      <c r="AF22" t="s">
        <v>1115</v>
      </c>
      <c r="AG22" t="s">
        <v>0</v>
      </c>
      <c r="AH22">
        <v>1</v>
      </c>
      <c r="AI22" t="b">
        <v>0</v>
      </c>
      <c r="AK22" t="b">
        <v>0</v>
      </c>
      <c r="AM22" t="b">
        <v>1</v>
      </c>
      <c r="AN22" t="b">
        <v>0</v>
      </c>
      <c r="AO22" t="b">
        <v>0</v>
      </c>
      <c r="AP22" t="b">
        <v>0</v>
      </c>
      <c r="AQ22" t="b">
        <v>0</v>
      </c>
      <c r="AR22" t="b">
        <v>0</v>
      </c>
      <c r="AS22" t="b">
        <v>0</v>
      </c>
      <c r="AT22" t="s">
        <v>1374</v>
      </c>
      <c r="AU22">
        <v>9882358</v>
      </c>
      <c r="AV22" t="s">
        <v>982</v>
      </c>
      <c r="AW22" t="s">
        <v>1052</v>
      </c>
      <c r="AX22" s="123">
        <v>44567</v>
      </c>
      <c r="AY22" t="s">
        <v>1101</v>
      </c>
      <c r="AZ22" t="s">
        <v>14</v>
      </c>
      <c r="BA22" t="s">
        <v>100</v>
      </c>
      <c r="BB22" t="s">
        <v>43</v>
      </c>
      <c r="BD22" t="s">
        <v>756</v>
      </c>
      <c r="BG22" s="123"/>
      <c r="BH22" t="b">
        <v>0</v>
      </c>
      <c r="BI22" t="s">
        <v>1349</v>
      </c>
      <c r="BK22" t="s">
        <v>1117</v>
      </c>
      <c r="CC22" s="123"/>
      <c r="CE22" s="123"/>
      <c r="CG22" s="123"/>
      <c r="CI22" s="123"/>
      <c r="CK22" s="123"/>
      <c r="CM22" s="123"/>
      <c r="CO22" s="123"/>
      <c r="CT22" s="123"/>
      <c r="CV22" s="123"/>
    </row>
    <row r="23" spans="1:100" x14ac:dyDescent="0.15">
      <c r="A23" t="s">
        <v>1350</v>
      </c>
      <c r="B23" s="123">
        <v>44543</v>
      </c>
      <c r="C23" t="s">
        <v>1351</v>
      </c>
      <c r="D23" t="s">
        <v>364</v>
      </c>
      <c r="E23" t="s">
        <v>1283</v>
      </c>
      <c r="F23" t="s">
        <v>1284</v>
      </c>
      <c r="G23" t="s">
        <v>390</v>
      </c>
      <c r="H23" t="s">
        <v>1322</v>
      </c>
      <c r="I23" t="s">
        <v>17</v>
      </c>
      <c r="J23" t="s">
        <v>1345</v>
      </c>
      <c r="K23" t="s">
        <v>131</v>
      </c>
      <c r="L23" t="s">
        <v>1382</v>
      </c>
      <c r="M23" t="s">
        <v>346</v>
      </c>
      <c r="N23" t="s">
        <v>1352</v>
      </c>
      <c r="O23" t="s">
        <v>1361</v>
      </c>
      <c r="P23" t="s">
        <v>1353</v>
      </c>
      <c r="Q23" s="123">
        <v>44543</v>
      </c>
      <c r="R23" s="123">
        <v>44633</v>
      </c>
      <c r="S23" t="s">
        <v>1362</v>
      </c>
      <c r="T23" s="123">
        <v>44543</v>
      </c>
      <c r="U23">
        <v>0</v>
      </c>
      <c r="V23">
        <v>0</v>
      </c>
      <c r="W23" t="s">
        <v>262</v>
      </c>
      <c r="X23" t="s">
        <v>1375</v>
      </c>
      <c r="AA23" t="s">
        <v>4</v>
      </c>
      <c r="AB23" t="s">
        <v>1375</v>
      </c>
      <c r="AC23" s="123">
        <v>44543</v>
      </c>
      <c r="AD23" t="s">
        <v>349</v>
      </c>
      <c r="AE23" t="s">
        <v>1213</v>
      </c>
      <c r="AF23" t="s">
        <v>1115</v>
      </c>
      <c r="AG23" t="s">
        <v>0</v>
      </c>
      <c r="AH23">
        <v>1</v>
      </c>
      <c r="AI23" t="b">
        <v>0</v>
      </c>
      <c r="AK23" t="b">
        <v>0</v>
      </c>
      <c r="AM23" t="b">
        <v>1</v>
      </c>
      <c r="AN23" t="b">
        <v>0</v>
      </c>
      <c r="AO23" t="b">
        <v>0</v>
      </c>
      <c r="AP23" t="b">
        <v>0</v>
      </c>
      <c r="AQ23" t="b">
        <v>0</v>
      </c>
      <c r="AR23" t="b">
        <v>0</v>
      </c>
      <c r="AS23" t="b">
        <v>0</v>
      </c>
      <c r="AT23" t="s">
        <v>1376</v>
      </c>
      <c r="AU23">
        <v>9882358</v>
      </c>
      <c r="AV23" t="s">
        <v>982</v>
      </c>
      <c r="AW23" t="s">
        <v>1052</v>
      </c>
      <c r="AX23" s="123">
        <v>44567</v>
      </c>
      <c r="AY23" t="s">
        <v>1101</v>
      </c>
      <c r="AZ23" t="s">
        <v>17</v>
      </c>
      <c r="BA23" t="s">
        <v>131</v>
      </c>
      <c r="BB23" t="s">
        <v>43</v>
      </c>
      <c r="BD23" t="s">
        <v>756</v>
      </c>
      <c r="BG23" s="123"/>
      <c r="BH23" t="b">
        <v>0</v>
      </c>
      <c r="BI23" t="s">
        <v>1354</v>
      </c>
      <c r="BK23" t="s">
        <v>1117</v>
      </c>
      <c r="CC23" s="123"/>
      <c r="CE23" s="123"/>
      <c r="CG23" s="123"/>
      <c r="CI23" s="123"/>
      <c r="CK23" s="123"/>
      <c r="CM23" s="123"/>
      <c r="CO23" s="123"/>
      <c r="CT23" s="123"/>
      <c r="CV23" s="123"/>
    </row>
    <row r="24" spans="1:100" x14ac:dyDescent="0.15">
      <c r="A24" t="s">
        <v>1355</v>
      </c>
      <c r="B24" s="123">
        <v>44547</v>
      </c>
      <c r="C24" t="s">
        <v>1356</v>
      </c>
      <c r="D24" t="s">
        <v>364</v>
      </c>
      <c r="E24" t="s">
        <v>1283</v>
      </c>
      <c r="F24" t="s">
        <v>1284</v>
      </c>
      <c r="G24" t="s">
        <v>390</v>
      </c>
      <c r="H24" t="s">
        <v>1322</v>
      </c>
      <c r="I24" t="s">
        <v>14</v>
      </c>
      <c r="J24" t="s">
        <v>1380</v>
      </c>
      <c r="K24" t="s">
        <v>98</v>
      </c>
      <c r="L24" t="s">
        <v>1383</v>
      </c>
      <c r="M24" t="s">
        <v>346</v>
      </c>
      <c r="N24" t="s">
        <v>1357</v>
      </c>
      <c r="O24" t="s">
        <v>1358</v>
      </c>
      <c r="P24" t="s">
        <v>1359</v>
      </c>
      <c r="Q24" s="123">
        <v>44547</v>
      </c>
      <c r="R24" s="123">
        <v>44637</v>
      </c>
      <c r="S24" t="s">
        <v>1360</v>
      </c>
      <c r="T24" s="123">
        <v>44547</v>
      </c>
      <c r="U24">
        <v>0</v>
      </c>
      <c r="V24">
        <v>0</v>
      </c>
      <c r="W24" t="s">
        <v>262</v>
      </c>
      <c r="X24" t="s">
        <v>1377</v>
      </c>
      <c r="AA24" t="s">
        <v>5</v>
      </c>
      <c r="AB24" t="s">
        <v>1378</v>
      </c>
      <c r="AC24" s="123">
        <v>44547</v>
      </c>
      <c r="AD24" t="s">
        <v>349</v>
      </c>
      <c r="AE24" t="s">
        <v>1213</v>
      </c>
      <c r="AF24" t="s">
        <v>1115</v>
      </c>
      <c r="AG24" t="s">
        <v>0</v>
      </c>
      <c r="AH24">
        <v>1</v>
      </c>
      <c r="AI24" t="b">
        <v>0</v>
      </c>
      <c r="AK24" t="b">
        <v>0</v>
      </c>
      <c r="AM24" t="b">
        <v>1</v>
      </c>
      <c r="AN24" t="b">
        <v>0</v>
      </c>
      <c r="AO24" t="b">
        <v>0</v>
      </c>
      <c r="AP24" t="b">
        <v>0</v>
      </c>
      <c r="AQ24" t="b">
        <v>0</v>
      </c>
      <c r="AR24" t="b">
        <v>0</v>
      </c>
      <c r="AS24" t="b">
        <v>0</v>
      </c>
      <c r="AT24" t="s">
        <v>1379</v>
      </c>
      <c r="AU24">
        <v>9882358</v>
      </c>
      <c r="AV24" t="s">
        <v>982</v>
      </c>
      <c r="AW24" t="s">
        <v>1052</v>
      </c>
      <c r="AX24" s="123">
        <v>44567</v>
      </c>
      <c r="AY24" t="s">
        <v>1101</v>
      </c>
      <c r="AZ24" t="s">
        <v>14</v>
      </c>
      <c r="BA24" t="s">
        <v>98</v>
      </c>
      <c r="BB24" t="s">
        <v>43</v>
      </c>
      <c r="BD24" t="s">
        <v>756</v>
      </c>
      <c r="BG24" s="123"/>
      <c r="BH24" t="b">
        <v>0</v>
      </c>
      <c r="BK24" t="s">
        <v>1117</v>
      </c>
      <c r="CC24" s="123"/>
      <c r="CE24" s="123"/>
      <c r="CG24" s="123"/>
      <c r="CI24" s="123"/>
      <c r="CK24" s="123"/>
      <c r="CM24" s="123"/>
      <c r="CO24" s="123"/>
      <c r="CT24" s="123"/>
      <c r="CV24" s="123"/>
    </row>
    <row r="25" spans="1:100" x14ac:dyDescent="0.15">
      <c r="A25" t="s">
        <v>1367</v>
      </c>
      <c r="B25" s="123">
        <v>44566</v>
      </c>
      <c r="C25" t="s">
        <v>1384</v>
      </c>
      <c r="D25" t="s">
        <v>358</v>
      </c>
      <c r="E25" t="s">
        <v>1146</v>
      </c>
      <c r="F25" t="s">
        <v>1147</v>
      </c>
      <c r="G25" t="s">
        <v>379</v>
      </c>
      <c r="I25" t="s">
        <v>360</v>
      </c>
      <c r="J25" t="s">
        <v>1148</v>
      </c>
      <c r="K25" t="s">
        <v>402</v>
      </c>
      <c r="L25" t="s">
        <v>1149</v>
      </c>
      <c r="M25" t="s">
        <v>346</v>
      </c>
      <c r="N25" t="s">
        <v>1150</v>
      </c>
      <c r="O25" t="s">
        <v>262</v>
      </c>
      <c r="P25" t="s">
        <v>262</v>
      </c>
      <c r="Q25" s="123"/>
      <c r="R25" s="123">
        <v>44566</v>
      </c>
      <c r="S25" t="s">
        <v>262</v>
      </c>
      <c r="T25" s="123"/>
      <c r="U25">
        <v>0</v>
      </c>
      <c r="V25">
        <v>0</v>
      </c>
      <c r="W25" t="s">
        <v>262</v>
      </c>
      <c r="X25" t="s">
        <v>1134</v>
      </c>
      <c r="AA25" t="s">
        <v>5</v>
      </c>
      <c r="AB25" t="s">
        <v>262</v>
      </c>
      <c r="AC25" s="123">
        <v>44566</v>
      </c>
      <c r="AD25" t="s">
        <v>349</v>
      </c>
      <c r="AE25" t="s">
        <v>1372</v>
      </c>
      <c r="AF25" t="s">
        <v>1115</v>
      </c>
      <c r="AG25" t="s">
        <v>0</v>
      </c>
      <c r="AH25">
        <v>1</v>
      </c>
      <c r="AI25" t="b">
        <v>0</v>
      </c>
      <c r="AK25" t="b">
        <v>0</v>
      </c>
      <c r="AM25" t="b">
        <v>0</v>
      </c>
      <c r="AN25" t="b">
        <v>0</v>
      </c>
      <c r="AO25" t="b">
        <v>0</v>
      </c>
      <c r="AP25" t="b">
        <v>0</v>
      </c>
      <c r="AQ25" t="b">
        <v>0</v>
      </c>
      <c r="AR25" t="b">
        <v>0</v>
      </c>
      <c r="AS25" t="b">
        <v>0</v>
      </c>
      <c r="AT25" t="s">
        <v>1385</v>
      </c>
      <c r="AU25">
        <v>9882358</v>
      </c>
      <c r="AV25" t="s">
        <v>982</v>
      </c>
      <c r="AW25" t="s">
        <v>1052</v>
      </c>
      <c r="AX25" s="123">
        <v>44567</v>
      </c>
      <c r="AY25" t="s">
        <v>1101</v>
      </c>
      <c r="BB25" t="s">
        <v>402</v>
      </c>
      <c r="BC25" t="s">
        <v>262</v>
      </c>
      <c r="BD25" t="s">
        <v>801</v>
      </c>
      <c r="BG25" s="123"/>
      <c r="BH25" t="b">
        <v>0</v>
      </c>
      <c r="BK25" t="s">
        <v>1117</v>
      </c>
      <c r="BL25" t="s">
        <v>1368</v>
      </c>
      <c r="BM25" t="s">
        <v>851</v>
      </c>
      <c r="BN25" t="s">
        <v>1369</v>
      </c>
      <c r="BO25" t="s">
        <v>1370</v>
      </c>
      <c r="BP25" t="s">
        <v>1155</v>
      </c>
      <c r="BQ25" t="s">
        <v>1156</v>
      </c>
      <c r="BR25" s="122">
        <v>434.53577546296299</v>
      </c>
      <c r="BS25" t="s">
        <v>1199</v>
      </c>
      <c r="BT25" t="s">
        <v>1311</v>
      </c>
      <c r="BU25" t="s">
        <v>1371</v>
      </c>
      <c r="BV25" t="s">
        <v>1158</v>
      </c>
      <c r="BW25" t="s">
        <v>1159</v>
      </c>
      <c r="BX25" t="s">
        <v>1160</v>
      </c>
      <c r="BY25" t="s">
        <v>1161</v>
      </c>
      <c r="BZ25" t="s">
        <v>346</v>
      </c>
      <c r="CA25" t="s">
        <v>341</v>
      </c>
      <c r="CB25" t="s">
        <v>1372</v>
      </c>
      <c r="CC25" s="123"/>
      <c r="CD25" t="s">
        <v>341</v>
      </c>
      <c r="CE25" s="123">
        <v>44567</v>
      </c>
      <c r="CF25" t="s">
        <v>341</v>
      </c>
      <c r="CG25" s="123">
        <v>44567</v>
      </c>
      <c r="CI25" s="123"/>
      <c r="CK25" s="123"/>
      <c r="CL25" t="s">
        <v>341</v>
      </c>
      <c r="CM25" s="123">
        <v>44567</v>
      </c>
      <c r="CN25" t="s">
        <v>341</v>
      </c>
      <c r="CO25" s="123">
        <v>44567</v>
      </c>
      <c r="CT25" s="123"/>
      <c r="CV25" s="12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5" defaultRowHeight="15" customHeight="1" x14ac:dyDescent="0.25"/>
  <cols>
    <col min="1" max="1" width="12.5" style="52" customWidth="1"/>
    <col min="2" max="2" width="27" style="53" customWidth="1"/>
    <col min="3" max="5" width="23.125" style="53" customWidth="1"/>
    <col min="6" max="6" width="13.25" style="53" customWidth="1"/>
    <col min="7" max="7" width="24.625" style="53" customWidth="1"/>
    <col min="8" max="8" width="16.5" style="53" customWidth="1"/>
    <col min="9" max="9" width="12.25" style="53" customWidth="1"/>
    <col min="10" max="16384" width="9.5" style="53"/>
  </cols>
  <sheetData>
    <row r="1" spans="1:10" ht="30" x14ac:dyDescent="0.25">
      <c r="A1" s="106" t="s">
        <v>1042</v>
      </c>
      <c r="B1" s="106" t="s">
        <v>1031</v>
      </c>
      <c r="C1" s="106" t="s">
        <v>1032</v>
      </c>
      <c r="D1" s="106" t="s">
        <v>1038</v>
      </c>
      <c r="E1" s="106" t="s">
        <v>1037</v>
      </c>
      <c r="F1" s="106" t="s">
        <v>1036</v>
      </c>
      <c r="G1" s="106" t="s">
        <v>1033</v>
      </c>
      <c r="H1" s="106" t="s">
        <v>1034</v>
      </c>
      <c r="I1" s="106" t="s">
        <v>1035</v>
      </c>
    </row>
    <row r="2" spans="1:10" ht="60" x14ac:dyDescent="0.25">
      <c r="A2" s="105" t="s">
        <v>992</v>
      </c>
      <c r="B2" s="105" t="s">
        <v>993</v>
      </c>
      <c r="C2" s="105" t="s">
        <v>994</v>
      </c>
      <c r="D2" s="104" t="s">
        <v>1039</v>
      </c>
      <c r="E2" s="104" t="s">
        <v>1040</v>
      </c>
      <c r="F2" s="105" t="s">
        <v>995</v>
      </c>
      <c r="G2" s="105" t="s">
        <v>996</v>
      </c>
      <c r="H2" s="105" t="s">
        <v>997</v>
      </c>
      <c r="I2" s="105" t="s">
        <v>998</v>
      </c>
    </row>
    <row r="3" spans="1:10" ht="105" x14ac:dyDescent="0.25">
      <c r="A3" s="105" t="s">
        <v>999</v>
      </c>
      <c r="B3" s="105" t="s">
        <v>1000</v>
      </c>
      <c r="C3" s="105" t="s">
        <v>1001</v>
      </c>
      <c r="D3" s="104" t="s">
        <v>1021</v>
      </c>
      <c r="E3" s="105" t="s">
        <v>1002</v>
      </c>
      <c r="F3" s="104" t="s">
        <v>1022</v>
      </c>
      <c r="G3" s="105" t="s">
        <v>996</v>
      </c>
      <c r="H3" s="104" t="s">
        <v>1023</v>
      </c>
      <c r="I3" s="105" t="s">
        <v>998</v>
      </c>
    </row>
    <row r="4" spans="1:10" ht="75" x14ac:dyDescent="0.25">
      <c r="A4" s="105" t="s">
        <v>1003</v>
      </c>
      <c r="B4" s="104" t="s">
        <v>1024</v>
      </c>
      <c r="C4" s="105" t="s">
        <v>1004</v>
      </c>
      <c r="D4" s="104" t="s">
        <v>1041</v>
      </c>
      <c r="E4" s="104" t="s">
        <v>1025</v>
      </c>
      <c r="F4" s="104" t="s">
        <v>1026</v>
      </c>
      <c r="G4" s="105" t="s">
        <v>1005</v>
      </c>
      <c r="H4" s="104" t="s">
        <v>1027</v>
      </c>
      <c r="I4" s="105" t="s">
        <v>1006</v>
      </c>
    </row>
    <row r="5" spans="1:10" ht="105" x14ac:dyDescent="0.25">
      <c r="A5" s="105" t="s">
        <v>1007</v>
      </c>
      <c r="B5" s="105" t="s">
        <v>1008</v>
      </c>
      <c r="C5" s="104" t="s">
        <v>1028</v>
      </c>
      <c r="D5" s="104" t="s">
        <v>1019</v>
      </c>
      <c r="E5" s="104" t="s">
        <v>1029</v>
      </c>
      <c r="F5" s="104" t="s">
        <v>1020</v>
      </c>
      <c r="G5" s="105" t="s">
        <v>1009</v>
      </c>
      <c r="H5" s="105" t="s">
        <v>1010</v>
      </c>
      <c r="I5" s="105" t="s">
        <v>1011</v>
      </c>
    </row>
    <row r="6" spans="1:10" ht="45" x14ac:dyDescent="0.25">
      <c r="A6" s="105" t="s">
        <v>1012</v>
      </c>
      <c r="B6" s="105" t="s">
        <v>1013</v>
      </c>
      <c r="C6" s="105" t="s">
        <v>1014</v>
      </c>
      <c r="D6" s="104" t="s">
        <v>1030</v>
      </c>
      <c r="E6" s="105" t="s">
        <v>1015</v>
      </c>
      <c r="F6" s="105" t="s">
        <v>1016</v>
      </c>
      <c r="G6" s="105" t="s">
        <v>1017</v>
      </c>
      <c r="H6" s="105" t="s">
        <v>1010</v>
      </c>
      <c r="I6" s="105" t="s">
        <v>1018</v>
      </c>
    </row>
    <row r="7" spans="1:10" ht="15" customHeight="1" x14ac:dyDescent="0.25">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25" x14ac:dyDescent="0.2"/>
  <cols>
    <col min="1" max="2" width="9" style="14"/>
    <col min="3" max="3" width="12.5" style="14" customWidth="1"/>
    <col min="4" max="4" width="11.125" style="14" bestFit="1" customWidth="1"/>
    <col min="5" max="6" width="9" style="14"/>
    <col min="7" max="7" width="22" style="14" bestFit="1" customWidth="1"/>
    <col min="8" max="8" width="7.875" style="14" customWidth="1"/>
    <col min="9" max="9" width="40.25" style="14" bestFit="1" customWidth="1"/>
    <col min="10" max="10" width="9" style="14"/>
    <col min="11" max="11" width="47.875" style="14" bestFit="1" customWidth="1"/>
    <col min="12" max="12" width="9" style="14"/>
    <col min="13" max="13" width="14.125" style="14" bestFit="1" customWidth="1"/>
    <col min="14" max="14" width="21.625" style="14" customWidth="1"/>
    <col min="15" max="15" width="11.875" style="14" customWidth="1"/>
    <col min="16" max="16" width="10.125" style="14" customWidth="1"/>
    <col min="17" max="17" width="11.5" style="14" customWidth="1"/>
    <col min="18" max="26" width="9" style="14"/>
    <col min="27" max="27" width="19.5" style="14" customWidth="1"/>
    <col min="28" max="36" width="9" style="14"/>
    <col min="37" max="37" width="36.125" style="14" bestFit="1" customWidth="1"/>
    <col min="38" max="38" width="9.875" style="14" customWidth="1"/>
    <col min="39" max="39" width="17.25" style="14" customWidth="1"/>
    <col min="40" max="42" width="9" style="14"/>
    <col min="43" max="43" width="12.5" style="14" customWidth="1"/>
    <col min="44" max="44" width="9" style="14"/>
    <col min="45" max="45" width="12.875" style="14" customWidth="1"/>
    <col min="46" max="49" width="9" style="14"/>
    <col min="50" max="50" width="28.875" style="14" customWidth="1"/>
    <col min="51" max="51" width="16.625" style="14" customWidth="1"/>
    <col min="52" max="16384" width="9" style="14"/>
  </cols>
  <sheetData>
    <row r="1" spans="1:54" s="27" customFormat="1" ht="82.5" customHeight="1" thickBot="1" x14ac:dyDescent="0.25">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x14ac:dyDescent="0.2">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x14ac:dyDescent="0.25">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75" thickBot="1" x14ac:dyDescent="0.3">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75" thickBot="1" x14ac:dyDescent="0.3">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30" thickBot="1" x14ac:dyDescent="0.3">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x14ac:dyDescent="0.2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x14ac:dyDescent="0.2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x14ac:dyDescent="0.2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x14ac:dyDescent="0.2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x14ac:dyDescent="0.2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x14ac:dyDescent="0.2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x14ac:dyDescent="0.2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x14ac:dyDescent="0.2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x14ac:dyDescent="0.2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x14ac:dyDescent="0.2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x14ac:dyDescent="0.2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x14ac:dyDescent="0.2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x14ac:dyDescent="0.2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x14ac:dyDescent="0.2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x14ac:dyDescent="0.2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x14ac:dyDescent="0.2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x14ac:dyDescent="0.2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x14ac:dyDescent="0.2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x14ac:dyDescent="0.2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x14ac:dyDescent="0.2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x14ac:dyDescent="0.2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x14ac:dyDescent="0.2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x14ac:dyDescent="0.2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x14ac:dyDescent="0.2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x14ac:dyDescent="0.2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x14ac:dyDescent="0.2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x14ac:dyDescent="0.2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x14ac:dyDescent="0.2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x14ac:dyDescent="0.2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x14ac:dyDescent="0.2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x14ac:dyDescent="0.2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x14ac:dyDescent="0.2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x14ac:dyDescent="0.25">
      <c r="B39" s="110" t="s">
        <v>291</v>
      </c>
      <c r="C39" s="14" t="s">
        <v>292</v>
      </c>
      <c r="E39" s="17"/>
      <c r="F39" s="17"/>
      <c r="K39" s="35" t="s">
        <v>41</v>
      </c>
      <c r="L39" s="39"/>
      <c r="N39" s="80" t="s">
        <v>732</v>
      </c>
      <c r="O39" s="81">
        <v>9254252</v>
      </c>
      <c r="P39" s="81" t="s">
        <v>731</v>
      </c>
      <c r="Q39" s="81" t="s">
        <v>950</v>
      </c>
      <c r="AM39" s="14" t="s">
        <v>650</v>
      </c>
      <c r="AN39" s="14" t="s">
        <v>649</v>
      </c>
    </row>
    <row r="40" spans="2:47" ht="15" x14ac:dyDescent="0.25">
      <c r="B40" s="110" t="s">
        <v>216</v>
      </c>
      <c r="C40" s="14" t="s">
        <v>215</v>
      </c>
      <c r="E40" s="17"/>
      <c r="K40" s="35" t="s">
        <v>42</v>
      </c>
      <c r="L40" s="39"/>
      <c r="N40" s="80" t="s">
        <v>642</v>
      </c>
      <c r="O40" s="80">
        <v>9687746</v>
      </c>
      <c r="P40" s="80" t="s">
        <v>641</v>
      </c>
      <c r="Q40" s="80" t="s">
        <v>916</v>
      </c>
      <c r="AM40" s="14" t="s">
        <v>652</v>
      </c>
      <c r="AN40" s="14" t="s">
        <v>651</v>
      </c>
    </row>
    <row r="41" spans="2:47" ht="15" x14ac:dyDescent="0.25">
      <c r="B41" s="110" t="s">
        <v>218</v>
      </c>
      <c r="C41" s="14" t="s">
        <v>217</v>
      </c>
      <c r="E41" s="17"/>
      <c r="G41" s="17"/>
      <c r="K41" s="35" t="s">
        <v>43</v>
      </c>
      <c r="L41" s="39"/>
      <c r="N41" s="80" t="s">
        <v>644</v>
      </c>
      <c r="O41" s="80">
        <v>9565053</v>
      </c>
      <c r="P41" s="80" t="s">
        <v>643</v>
      </c>
      <c r="Q41" s="80" t="s">
        <v>294</v>
      </c>
      <c r="AM41" s="14" t="s">
        <v>654</v>
      </c>
      <c r="AN41" s="14" t="s">
        <v>653</v>
      </c>
    </row>
    <row r="42" spans="2:47" ht="15" x14ac:dyDescent="0.25">
      <c r="B42" s="110" t="s">
        <v>258</v>
      </c>
      <c r="C42" s="14" t="s">
        <v>257</v>
      </c>
      <c r="E42" s="17"/>
      <c r="G42" s="17"/>
      <c r="K42" s="35" t="s">
        <v>44</v>
      </c>
      <c r="L42" s="39"/>
      <c r="N42" s="80" t="s">
        <v>683</v>
      </c>
      <c r="O42" s="80">
        <v>9561277</v>
      </c>
      <c r="P42" s="80" t="s">
        <v>682</v>
      </c>
      <c r="Q42" s="80" t="s">
        <v>932</v>
      </c>
      <c r="AM42" s="14" t="s">
        <v>656</v>
      </c>
      <c r="AN42" s="14" t="s">
        <v>655</v>
      </c>
    </row>
    <row r="43" spans="2:47" ht="15" x14ac:dyDescent="0.25">
      <c r="B43" s="110" t="s">
        <v>210</v>
      </c>
      <c r="C43" s="14" t="s">
        <v>209</v>
      </c>
      <c r="E43" s="17"/>
      <c r="G43" s="17"/>
      <c r="K43" s="35" t="s">
        <v>45</v>
      </c>
      <c r="L43" s="39"/>
      <c r="N43" s="80" t="s">
        <v>646</v>
      </c>
      <c r="O43" s="80">
        <v>9547001</v>
      </c>
      <c r="P43" s="80" t="s">
        <v>645</v>
      </c>
      <c r="Q43" s="80" t="s">
        <v>953</v>
      </c>
      <c r="AM43" s="14" t="s">
        <v>254</v>
      </c>
      <c r="AN43" s="14" t="s">
        <v>657</v>
      </c>
    </row>
    <row r="44" spans="2:47" ht="15" x14ac:dyDescent="0.25">
      <c r="B44" s="110" t="s">
        <v>226</v>
      </c>
      <c r="C44" s="14" t="s">
        <v>225</v>
      </c>
      <c r="E44" s="17"/>
      <c r="K44" s="35" t="s">
        <v>46</v>
      </c>
      <c r="L44" s="39"/>
      <c r="N44" s="80" t="s">
        <v>1088</v>
      </c>
      <c r="O44" s="80">
        <v>9902093</v>
      </c>
      <c r="P44" s="80" t="s">
        <v>1089</v>
      </c>
      <c r="Q44" s="80" t="s">
        <v>1090</v>
      </c>
      <c r="AM44" s="14" t="s">
        <v>675</v>
      </c>
      <c r="AN44" s="14" t="s">
        <v>674</v>
      </c>
    </row>
    <row r="45" spans="2:47" ht="15" x14ac:dyDescent="0.25">
      <c r="B45" s="110" t="s">
        <v>399</v>
      </c>
      <c r="C45" s="14" t="s">
        <v>284</v>
      </c>
      <c r="E45" s="17"/>
      <c r="K45" s="35" t="s">
        <v>47</v>
      </c>
      <c r="L45" s="39"/>
      <c r="N45" s="80" t="s">
        <v>734</v>
      </c>
      <c r="O45" s="81">
        <v>9830288</v>
      </c>
      <c r="P45" s="81" t="s">
        <v>733</v>
      </c>
      <c r="Q45" s="81" t="s">
        <v>943</v>
      </c>
      <c r="AM45" s="14" t="s">
        <v>659</v>
      </c>
      <c r="AN45" s="14" t="s">
        <v>658</v>
      </c>
    </row>
    <row r="46" spans="2:47" ht="15" x14ac:dyDescent="0.25">
      <c r="B46" s="110" t="s">
        <v>232</v>
      </c>
      <c r="C46" s="14" t="s">
        <v>231</v>
      </c>
      <c r="E46" s="17"/>
      <c r="K46" s="35" t="s">
        <v>48</v>
      </c>
      <c r="L46" s="39"/>
      <c r="N46" s="80" t="s">
        <v>736</v>
      </c>
      <c r="O46" s="81">
        <v>9426283</v>
      </c>
      <c r="P46" s="81" t="s">
        <v>735</v>
      </c>
      <c r="Q46" s="81" t="s">
        <v>286</v>
      </c>
      <c r="AM46" s="14" t="s">
        <v>687</v>
      </c>
      <c r="AN46" s="14" t="s">
        <v>686</v>
      </c>
    </row>
    <row r="47" spans="2:47" ht="15" x14ac:dyDescent="0.25">
      <c r="B47" s="110" t="s">
        <v>260</v>
      </c>
      <c r="C47" s="14" t="s">
        <v>259</v>
      </c>
      <c r="E47" s="17"/>
      <c r="K47" s="35" t="s">
        <v>49</v>
      </c>
      <c r="L47" s="39"/>
      <c r="N47" s="80" t="s">
        <v>738</v>
      </c>
      <c r="O47" s="81">
        <v>9830290</v>
      </c>
      <c r="P47" s="81" t="s">
        <v>737</v>
      </c>
      <c r="Q47" s="81" t="s">
        <v>944</v>
      </c>
      <c r="AM47" s="14" t="s">
        <v>702</v>
      </c>
      <c r="AN47" s="14" t="s">
        <v>701</v>
      </c>
    </row>
    <row r="48" spans="2:47" x14ac:dyDescent="0.2">
      <c r="B48" s="110" t="s">
        <v>202</v>
      </c>
      <c r="C48" s="14" t="s">
        <v>201</v>
      </c>
      <c r="E48" s="17"/>
      <c r="K48" s="35" t="s">
        <v>50</v>
      </c>
      <c r="L48" s="39"/>
      <c r="N48" s="14" t="s">
        <v>1048</v>
      </c>
      <c r="O48" s="14">
        <v>9863223</v>
      </c>
      <c r="P48" s="14" t="s">
        <v>1049</v>
      </c>
      <c r="Q48" s="14" t="s">
        <v>1050</v>
      </c>
      <c r="AM48" s="14" t="s">
        <v>661</v>
      </c>
      <c r="AN48" s="14" t="s">
        <v>660</v>
      </c>
    </row>
    <row r="49" spans="2:40" ht="15" x14ac:dyDescent="0.25">
      <c r="B49" s="110" t="s">
        <v>197</v>
      </c>
      <c r="C49" s="14" t="s">
        <v>196</v>
      </c>
      <c r="E49" s="17"/>
      <c r="K49" s="35" t="s">
        <v>51</v>
      </c>
      <c r="L49" s="39"/>
      <c r="N49" s="80" t="s">
        <v>1075</v>
      </c>
      <c r="O49" s="80">
        <v>9442524</v>
      </c>
      <c r="P49" s="80" t="s">
        <v>1076</v>
      </c>
      <c r="Q49" s="80" t="s">
        <v>1077</v>
      </c>
      <c r="AM49" s="14" t="s">
        <v>689</v>
      </c>
      <c r="AN49" s="14" t="s">
        <v>688</v>
      </c>
    </row>
    <row r="50" spans="2:40" ht="15" x14ac:dyDescent="0.25">
      <c r="B50" s="110" t="s">
        <v>224</v>
      </c>
      <c r="C50" s="14" t="s">
        <v>223</v>
      </c>
      <c r="E50" s="17"/>
      <c r="K50" s="35" t="s">
        <v>52</v>
      </c>
      <c r="L50" s="39"/>
      <c r="N50" s="80" t="s">
        <v>899</v>
      </c>
      <c r="O50" s="80">
        <v>9774862</v>
      </c>
      <c r="P50" s="80" t="s">
        <v>647</v>
      </c>
      <c r="Q50" s="80" t="s">
        <v>917</v>
      </c>
      <c r="AM50" s="14" t="s">
        <v>663</v>
      </c>
      <c r="AN50" s="14" t="s">
        <v>662</v>
      </c>
    </row>
    <row r="51" spans="2:40" ht="15" x14ac:dyDescent="0.25">
      <c r="B51" s="110" t="s">
        <v>400</v>
      </c>
      <c r="C51" s="14" t="s">
        <v>401</v>
      </c>
      <c r="E51" s="17"/>
      <c r="K51" s="35" t="s">
        <v>402</v>
      </c>
      <c r="L51" s="39"/>
      <c r="N51" s="80" t="s">
        <v>1078</v>
      </c>
      <c r="O51" s="80">
        <v>9760471</v>
      </c>
      <c r="P51" s="80" t="s">
        <v>1079</v>
      </c>
      <c r="Q51" s="80" t="s">
        <v>1080</v>
      </c>
      <c r="AM51" s="14" t="s">
        <v>740</v>
      </c>
      <c r="AN51" s="14" t="s">
        <v>739</v>
      </c>
    </row>
    <row r="52" spans="2:40" ht="15" x14ac:dyDescent="0.25">
      <c r="B52" s="110" t="s">
        <v>206</v>
      </c>
      <c r="C52" s="14" t="s">
        <v>205</v>
      </c>
      <c r="E52" s="17"/>
      <c r="K52" s="32" t="s">
        <v>335</v>
      </c>
      <c r="L52" s="39"/>
      <c r="N52" s="80" t="s">
        <v>685</v>
      </c>
      <c r="O52" s="80">
        <v>9403217</v>
      </c>
      <c r="P52" s="80" t="s">
        <v>684</v>
      </c>
      <c r="Q52" s="80" t="s">
        <v>933</v>
      </c>
      <c r="AM52" s="14" t="s">
        <v>742</v>
      </c>
      <c r="AN52" s="14" t="s">
        <v>741</v>
      </c>
    </row>
    <row r="53" spans="2:40" ht="15" x14ac:dyDescent="0.25">
      <c r="B53" s="110" t="s">
        <v>403</v>
      </c>
      <c r="C53" s="14" t="s">
        <v>404</v>
      </c>
      <c r="E53" s="17"/>
      <c r="K53" s="32" t="s">
        <v>405</v>
      </c>
      <c r="L53" s="39"/>
      <c r="N53" s="80" t="s">
        <v>252</v>
      </c>
      <c r="O53" s="80">
        <v>9236066</v>
      </c>
      <c r="P53" s="80" t="s">
        <v>648</v>
      </c>
      <c r="Q53" s="80" t="s">
        <v>251</v>
      </c>
      <c r="AM53" s="14" t="s">
        <v>665</v>
      </c>
      <c r="AN53" s="14" t="s">
        <v>664</v>
      </c>
    </row>
    <row r="54" spans="2:40" ht="15" x14ac:dyDescent="0.25">
      <c r="B54" s="110" t="s">
        <v>246</v>
      </c>
      <c r="C54" s="14" t="s">
        <v>245</v>
      </c>
      <c r="E54" s="17"/>
      <c r="K54" s="32" t="s">
        <v>170</v>
      </c>
      <c r="L54" s="39"/>
      <c r="N54" s="80" t="s">
        <v>650</v>
      </c>
      <c r="O54" s="80">
        <v>9424106</v>
      </c>
      <c r="P54" s="80" t="s">
        <v>649</v>
      </c>
      <c r="Q54" s="80" t="s">
        <v>918</v>
      </c>
      <c r="AM54" s="14" t="s">
        <v>667</v>
      </c>
      <c r="AN54" s="14" t="s">
        <v>666</v>
      </c>
    </row>
    <row r="55" spans="2:40" ht="15" x14ac:dyDescent="0.25">
      <c r="B55" s="110" t="s">
        <v>195</v>
      </c>
      <c r="C55" s="14" t="s">
        <v>194</v>
      </c>
      <c r="E55" s="17"/>
      <c r="K55" s="32" t="s">
        <v>406</v>
      </c>
      <c r="L55" s="39"/>
      <c r="N55" s="80" t="s">
        <v>652</v>
      </c>
      <c r="O55" s="80">
        <v>9276767</v>
      </c>
      <c r="P55" s="80" t="s">
        <v>651</v>
      </c>
      <c r="Q55" s="80" t="s">
        <v>919</v>
      </c>
      <c r="AM55" s="14" t="s">
        <v>258</v>
      </c>
      <c r="AN55" s="14" t="s">
        <v>690</v>
      </c>
    </row>
    <row r="56" spans="2:40" ht="15" x14ac:dyDescent="0.25">
      <c r="B56" s="110" t="s">
        <v>193</v>
      </c>
      <c r="C56" s="14" t="s">
        <v>192</v>
      </c>
      <c r="E56" s="17"/>
      <c r="K56" s="32" t="s">
        <v>407</v>
      </c>
      <c r="L56" s="39"/>
      <c r="N56" s="80" t="s">
        <v>654</v>
      </c>
      <c r="O56" s="80">
        <v>9310006</v>
      </c>
      <c r="P56" s="80" t="s">
        <v>653</v>
      </c>
      <c r="Q56" s="80" t="s">
        <v>920</v>
      </c>
      <c r="AM56" s="14" t="s">
        <v>669</v>
      </c>
      <c r="AN56" s="14" t="s">
        <v>668</v>
      </c>
    </row>
    <row r="57" spans="2:40" ht="15" x14ac:dyDescent="0.25">
      <c r="B57" s="110" t="s">
        <v>244</v>
      </c>
      <c r="C57" s="14" t="s">
        <v>243</v>
      </c>
      <c r="E57" s="17"/>
      <c r="K57" s="32" t="s">
        <v>408</v>
      </c>
      <c r="L57" s="39"/>
      <c r="N57" s="80" t="s">
        <v>656</v>
      </c>
      <c r="O57" s="80">
        <v>9246293</v>
      </c>
      <c r="P57" s="80" t="s">
        <v>906</v>
      </c>
      <c r="Q57" s="80" t="s">
        <v>908</v>
      </c>
      <c r="AM57" s="14" t="s">
        <v>744</v>
      </c>
      <c r="AN57" s="14" t="s">
        <v>743</v>
      </c>
    </row>
    <row r="58" spans="2:40" ht="15" x14ac:dyDescent="0.25">
      <c r="B58" s="110" t="s">
        <v>208</v>
      </c>
      <c r="C58" s="14" t="s">
        <v>207</v>
      </c>
      <c r="E58" s="17"/>
      <c r="K58" s="32" t="s">
        <v>409</v>
      </c>
      <c r="L58" s="39"/>
      <c r="N58" s="80" t="s">
        <v>254</v>
      </c>
      <c r="O58" s="80">
        <v>9156759</v>
      </c>
      <c r="P58" s="80" t="s">
        <v>657</v>
      </c>
      <c r="Q58" s="80" t="s">
        <v>253</v>
      </c>
      <c r="AM58" s="14" t="s">
        <v>692</v>
      </c>
      <c r="AN58" s="14" t="s">
        <v>691</v>
      </c>
    </row>
    <row r="59" spans="2:40" ht="15" x14ac:dyDescent="0.25">
      <c r="B59" s="110" t="s">
        <v>279</v>
      </c>
      <c r="C59" s="14" t="s">
        <v>280</v>
      </c>
      <c r="E59" s="17"/>
      <c r="K59" s="32" t="s">
        <v>410</v>
      </c>
      <c r="L59" s="39"/>
      <c r="N59" s="80" t="s">
        <v>675</v>
      </c>
      <c r="O59" s="80">
        <v>9316945</v>
      </c>
      <c r="P59" s="80" t="s">
        <v>674</v>
      </c>
      <c r="Q59" s="80" t="s">
        <v>921</v>
      </c>
      <c r="AM59" s="14" t="s">
        <v>671</v>
      </c>
      <c r="AN59" s="14" t="s">
        <v>670</v>
      </c>
    </row>
    <row r="60" spans="2:40" ht="15" x14ac:dyDescent="0.25">
      <c r="B60" s="110" t="s">
        <v>411</v>
      </c>
      <c r="C60" s="14" t="s">
        <v>268</v>
      </c>
      <c r="E60" s="17"/>
      <c r="K60" s="32" t="s">
        <v>412</v>
      </c>
      <c r="L60" s="39"/>
      <c r="N60" s="80" t="s">
        <v>900</v>
      </c>
      <c r="O60" s="80">
        <v>9788679</v>
      </c>
      <c r="P60" s="80" t="s">
        <v>901</v>
      </c>
      <c r="Q60" s="80" t="s">
        <v>922</v>
      </c>
      <c r="AM60" s="14" t="s">
        <v>673</v>
      </c>
      <c r="AN60" s="14" t="s">
        <v>672</v>
      </c>
    </row>
    <row r="61" spans="2:40" ht="15" x14ac:dyDescent="0.25">
      <c r="K61" s="32" t="s">
        <v>413</v>
      </c>
      <c r="L61" s="39"/>
      <c r="N61" s="80" t="s">
        <v>902</v>
      </c>
      <c r="O61" s="80">
        <v>9788681</v>
      </c>
      <c r="P61" s="80" t="s">
        <v>903</v>
      </c>
      <c r="Q61" s="80" t="s">
        <v>923</v>
      </c>
      <c r="AM61" s="14" t="s">
        <v>260</v>
      </c>
      <c r="AN61" s="14" t="s">
        <v>747</v>
      </c>
    </row>
    <row r="62" spans="2:40" ht="15" x14ac:dyDescent="0.25">
      <c r="K62" s="32" t="s">
        <v>414</v>
      </c>
      <c r="L62" s="39"/>
      <c r="N62" s="80" t="s">
        <v>659</v>
      </c>
      <c r="O62" s="80">
        <v>9668051</v>
      </c>
      <c r="P62" s="80" t="s">
        <v>658</v>
      </c>
      <c r="Q62" s="80" t="s">
        <v>924</v>
      </c>
      <c r="AM62" s="14" t="s">
        <v>749</v>
      </c>
      <c r="AN62" s="14" t="s">
        <v>748</v>
      </c>
    </row>
    <row r="63" spans="2:40" ht="15" x14ac:dyDescent="0.25">
      <c r="K63" s="32" t="s">
        <v>415</v>
      </c>
      <c r="L63" s="39"/>
      <c r="N63" s="80" t="s">
        <v>687</v>
      </c>
      <c r="O63" s="80">
        <v>9110107</v>
      </c>
      <c r="P63" s="80" t="s">
        <v>686</v>
      </c>
      <c r="Q63" s="80" t="s">
        <v>219</v>
      </c>
      <c r="AM63" s="14" t="s">
        <v>752</v>
      </c>
      <c r="AN63" s="14" t="s">
        <v>745</v>
      </c>
    </row>
    <row r="64" spans="2:40" ht="15" x14ac:dyDescent="0.25">
      <c r="K64" s="32" t="s">
        <v>416</v>
      </c>
      <c r="L64" s="39"/>
      <c r="N64" s="80" t="s">
        <v>702</v>
      </c>
      <c r="O64" s="81">
        <v>9760782</v>
      </c>
      <c r="P64" s="81" t="s">
        <v>701</v>
      </c>
      <c r="Q64" s="81" t="s">
        <v>936</v>
      </c>
      <c r="AM64" s="14" t="s">
        <v>753</v>
      </c>
      <c r="AN64" s="14" t="s">
        <v>746</v>
      </c>
    </row>
    <row r="65" spans="5:40" x14ac:dyDescent="0.2">
      <c r="K65" s="32" t="s">
        <v>417</v>
      </c>
      <c r="L65" s="39"/>
      <c r="N65" s="14" t="s">
        <v>1061</v>
      </c>
      <c r="O65" s="14">
        <v>9520376</v>
      </c>
      <c r="P65" s="14" t="s">
        <v>1062</v>
      </c>
      <c r="Q65" s="14" t="s">
        <v>1063</v>
      </c>
      <c r="AM65" s="14" t="s">
        <v>246</v>
      </c>
      <c r="AN65" s="14" t="s">
        <v>703</v>
      </c>
    </row>
    <row r="66" spans="5:40" x14ac:dyDescent="0.2">
      <c r="K66" s="32" t="s">
        <v>418</v>
      </c>
      <c r="L66" s="39"/>
      <c r="N66" s="14" t="s">
        <v>1065</v>
      </c>
      <c r="O66" s="14">
        <v>9425277</v>
      </c>
      <c r="P66" s="14" t="s">
        <v>1064</v>
      </c>
      <c r="Q66" s="14" t="s">
        <v>1066</v>
      </c>
      <c r="AM66" s="14" t="s">
        <v>705</v>
      </c>
      <c r="AN66" s="14" t="s">
        <v>704</v>
      </c>
    </row>
    <row r="67" spans="5:40" ht="15" x14ac:dyDescent="0.25">
      <c r="E67" s="17"/>
      <c r="K67" s="32" t="s">
        <v>419</v>
      </c>
      <c r="L67" s="39"/>
      <c r="N67" s="80" t="s">
        <v>661</v>
      </c>
      <c r="O67" s="80">
        <v>9696797</v>
      </c>
      <c r="P67" s="80" t="s">
        <v>660</v>
      </c>
      <c r="Q67" s="80" t="s">
        <v>925</v>
      </c>
      <c r="AM67" s="14" t="s">
        <v>707</v>
      </c>
      <c r="AN67" s="14" t="s">
        <v>706</v>
      </c>
    </row>
    <row r="68" spans="5:40" ht="15" x14ac:dyDescent="0.25">
      <c r="E68" s="17"/>
      <c r="K68" s="32" t="s">
        <v>420</v>
      </c>
      <c r="L68" s="39"/>
      <c r="N68" s="80" t="s">
        <v>689</v>
      </c>
      <c r="O68" s="80">
        <v>9460887</v>
      </c>
      <c r="P68" s="80" t="s">
        <v>688</v>
      </c>
      <c r="Q68" s="80" t="s">
        <v>284</v>
      </c>
      <c r="AM68" s="14" t="s">
        <v>244</v>
      </c>
      <c r="AN68" s="14" t="s">
        <v>708</v>
      </c>
    </row>
    <row r="69" spans="5:40" ht="15" x14ac:dyDescent="0.25">
      <c r="E69" s="17"/>
      <c r="K69" s="32" t="s">
        <v>421</v>
      </c>
      <c r="L69" s="39"/>
      <c r="N69" s="80" t="s">
        <v>663</v>
      </c>
      <c r="O69" s="80">
        <v>9514391</v>
      </c>
      <c r="P69" s="80" t="s">
        <v>662</v>
      </c>
      <c r="Q69" s="80" t="s">
        <v>292</v>
      </c>
      <c r="AM69" s="14" t="s">
        <v>279</v>
      </c>
      <c r="AN69" s="14" t="s">
        <v>709</v>
      </c>
    </row>
    <row r="70" spans="5:40" ht="15" x14ac:dyDescent="0.25">
      <c r="E70" s="17"/>
      <c r="K70" s="32" t="s">
        <v>422</v>
      </c>
      <c r="L70" s="39"/>
      <c r="N70" s="80" t="s">
        <v>740</v>
      </c>
      <c r="O70" s="81">
        <v>9793375</v>
      </c>
      <c r="P70" s="81" t="s">
        <v>739</v>
      </c>
      <c r="Q70" s="81" t="s">
        <v>945</v>
      </c>
    </row>
    <row r="71" spans="5:40" ht="15" x14ac:dyDescent="0.25">
      <c r="E71" s="17"/>
      <c r="K71" s="32" t="s">
        <v>423</v>
      </c>
      <c r="L71" s="39"/>
      <c r="N71" s="80" t="s">
        <v>742</v>
      </c>
      <c r="O71" s="81">
        <v>9793387</v>
      </c>
      <c r="P71" s="81" t="s">
        <v>741</v>
      </c>
      <c r="Q71" s="81" t="s">
        <v>946</v>
      </c>
    </row>
    <row r="72" spans="5:40" ht="15" x14ac:dyDescent="0.25">
      <c r="E72" s="17"/>
      <c r="K72" s="32" t="s">
        <v>424</v>
      </c>
      <c r="L72" s="39"/>
      <c r="N72" s="80" t="s">
        <v>665</v>
      </c>
      <c r="O72" s="80">
        <v>9552331</v>
      </c>
      <c r="P72" s="80" t="s">
        <v>664</v>
      </c>
      <c r="Q72" s="80" t="s">
        <v>926</v>
      </c>
    </row>
    <row r="73" spans="5:40" ht="15" x14ac:dyDescent="0.25">
      <c r="K73" s="32" t="s">
        <v>425</v>
      </c>
      <c r="L73" s="39"/>
      <c r="N73" s="80" t="s">
        <v>667</v>
      </c>
      <c r="O73" s="80">
        <v>9621247</v>
      </c>
      <c r="P73" s="80" t="s">
        <v>666</v>
      </c>
      <c r="Q73" s="80" t="s">
        <v>927</v>
      </c>
    </row>
    <row r="74" spans="5:40" ht="15" x14ac:dyDescent="0.25">
      <c r="K74" s="32" t="s">
        <v>426</v>
      </c>
      <c r="L74" s="39"/>
      <c r="N74" s="80" t="s">
        <v>258</v>
      </c>
      <c r="O74" s="80">
        <v>9293648</v>
      </c>
      <c r="P74" s="80" t="s">
        <v>690</v>
      </c>
      <c r="Q74" s="80" t="s">
        <v>257</v>
      </c>
    </row>
    <row r="75" spans="5:40" ht="15" x14ac:dyDescent="0.25">
      <c r="K75" s="32" t="s">
        <v>803</v>
      </c>
      <c r="L75" s="39"/>
      <c r="N75" s="80" t="s">
        <v>1081</v>
      </c>
      <c r="O75" s="80">
        <v>9894480</v>
      </c>
      <c r="P75" s="80" t="s">
        <v>1082</v>
      </c>
      <c r="Q75" s="80" t="s">
        <v>1083</v>
      </c>
    </row>
    <row r="76" spans="5:40" ht="15" x14ac:dyDescent="0.25">
      <c r="K76" s="37" t="s">
        <v>334</v>
      </c>
      <c r="L76" s="39"/>
      <c r="N76" s="80" t="s">
        <v>669</v>
      </c>
      <c r="O76" s="80">
        <v>9806768</v>
      </c>
      <c r="P76" s="80" t="s">
        <v>668</v>
      </c>
      <c r="Q76" s="80" t="s">
        <v>928</v>
      </c>
    </row>
    <row r="77" spans="5:40" ht="15" x14ac:dyDescent="0.25">
      <c r="K77" s="37" t="s">
        <v>427</v>
      </c>
      <c r="L77" s="39"/>
      <c r="N77" s="80" t="s">
        <v>744</v>
      </c>
      <c r="O77" s="81">
        <v>9771028</v>
      </c>
      <c r="P77" s="81" t="s">
        <v>907</v>
      </c>
      <c r="Q77" s="81" t="s">
        <v>952</v>
      </c>
    </row>
    <row r="78" spans="5:40" ht="15" x14ac:dyDescent="0.25">
      <c r="K78" s="37" t="s">
        <v>171</v>
      </c>
      <c r="L78" s="39"/>
      <c r="N78" s="80" t="s">
        <v>692</v>
      </c>
      <c r="O78" s="80">
        <v>9267687</v>
      </c>
      <c r="P78" s="80" t="s">
        <v>691</v>
      </c>
      <c r="Q78" s="80" t="s">
        <v>225</v>
      </c>
    </row>
    <row r="79" spans="5:40" ht="15" x14ac:dyDescent="0.25">
      <c r="K79" s="37" t="s">
        <v>428</v>
      </c>
      <c r="L79" s="39"/>
      <c r="N79" s="80" t="s">
        <v>1084</v>
      </c>
      <c r="O79" s="80">
        <v>9767467</v>
      </c>
      <c r="P79" s="80" t="s">
        <v>1085</v>
      </c>
      <c r="Q79" s="80" t="s">
        <v>1086</v>
      </c>
    </row>
    <row r="80" spans="5:40" ht="15" x14ac:dyDescent="0.25">
      <c r="K80" s="37" t="s">
        <v>429</v>
      </c>
      <c r="L80" s="39"/>
      <c r="N80" s="80" t="s">
        <v>671</v>
      </c>
      <c r="O80" s="80">
        <v>9666510</v>
      </c>
      <c r="P80" s="80" t="s">
        <v>670</v>
      </c>
      <c r="Q80" s="80" t="s">
        <v>929</v>
      </c>
    </row>
    <row r="81" spans="11:17" ht="15" x14ac:dyDescent="0.25">
      <c r="K81" s="37" t="s">
        <v>430</v>
      </c>
      <c r="L81" s="39"/>
      <c r="N81" s="80" t="s">
        <v>969</v>
      </c>
      <c r="O81" s="81">
        <v>9859181</v>
      </c>
      <c r="P81" s="81" t="s">
        <v>970</v>
      </c>
      <c r="Q81" s="81" t="s">
        <v>971</v>
      </c>
    </row>
    <row r="82" spans="11:17" ht="15" x14ac:dyDescent="0.25">
      <c r="K82" s="37" t="s">
        <v>431</v>
      </c>
      <c r="L82" s="39"/>
      <c r="N82" s="80" t="s">
        <v>673</v>
      </c>
      <c r="O82" s="80">
        <v>9748124</v>
      </c>
      <c r="P82" s="80" t="s">
        <v>672</v>
      </c>
      <c r="Q82" s="80" t="s">
        <v>930</v>
      </c>
    </row>
    <row r="83" spans="11:17" ht="15" x14ac:dyDescent="0.25">
      <c r="K83" s="37" t="s">
        <v>432</v>
      </c>
      <c r="L83" s="39"/>
      <c r="N83" s="80" t="s">
        <v>260</v>
      </c>
      <c r="O83" s="80">
        <v>9123934</v>
      </c>
      <c r="P83" s="80" t="s">
        <v>747</v>
      </c>
      <c r="Q83" s="80" t="s">
        <v>259</v>
      </c>
    </row>
    <row r="84" spans="11:17" ht="15" x14ac:dyDescent="0.25">
      <c r="K84" s="37" t="s">
        <v>433</v>
      </c>
      <c r="L84" s="39"/>
      <c r="N84" s="80" t="s">
        <v>981</v>
      </c>
      <c r="O84" s="81">
        <v>9882425</v>
      </c>
      <c r="P84" s="81" t="s">
        <v>988</v>
      </c>
      <c r="Q84" s="81" t="s">
        <v>1053</v>
      </c>
    </row>
    <row r="85" spans="11:17" ht="15" x14ac:dyDescent="0.25">
      <c r="K85" s="37" t="s">
        <v>434</v>
      </c>
      <c r="L85" s="39"/>
      <c r="N85" s="80" t="s">
        <v>977</v>
      </c>
      <c r="O85" s="81">
        <v>9882396</v>
      </c>
      <c r="P85" s="81" t="s">
        <v>984</v>
      </c>
      <c r="Q85" s="81" t="s">
        <v>1054</v>
      </c>
    </row>
    <row r="86" spans="11:17" ht="15" x14ac:dyDescent="0.25">
      <c r="K86" s="37" t="s">
        <v>435</v>
      </c>
      <c r="L86" s="39"/>
      <c r="N86" s="80" t="s">
        <v>979</v>
      </c>
      <c r="O86" s="81">
        <v>9882413</v>
      </c>
      <c r="P86" s="81" t="s">
        <v>986</v>
      </c>
      <c r="Q86" s="81" t="s">
        <v>1055</v>
      </c>
    </row>
    <row r="87" spans="11:17" ht="15" x14ac:dyDescent="0.25">
      <c r="K87" s="37" t="s">
        <v>436</v>
      </c>
      <c r="L87" s="39"/>
      <c r="N87" s="80" t="s">
        <v>978</v>
      </c>
      <c r="O87" s="81">
        <v>9882401</v>
      </c>
      <c r="P87" s="81" t="s">
        <v>985</v>
      </c>
      <c r="Q87" s="81" t="s">
        <v>1056</v>
      </c>
    </row>
    <row r="88" spans="11:17" ht="15" x14ac:dyDescent="0.25">
      <c r="K88" s="37" t="s">
        <v>437</v>
      </c>
      <c r="L88" s="39"/>
      <c r="N88" s="80" t="s">
        <v>749</v>
      </c>
      <c r="O88" s="80">
        <v>9344071</v>
      </c>
      <c r="P88" s="80" t="s">
        <v>748</v>
      </c>
      <c r="Q88" s="80" t="s">
        <v>401</v>
      </c>
    </row>
    <row r="89" spans="11:17" ht="15" x14ac:dyDescent="0.25">
      <c r="K89" s="37" t="s">
        <v>438</v>
      </c>
      <c r="L89" s="39"/>
      <c r="N89" s="80" t="s">
        <v>964</v>
      </c>
      <c r="O89" s="81">
        <v>9790361</v>
      </c>
      <c r="P89" s="81" t="s">
        <v>745</v>
      </c>
      <c r="Q89" s="81" t="s">
        <v>947</v>
      </c>
    </row>
    <row r="90" spans="11:17" ht="15" x14ac:dyDescent="0.25">
      <c r="K90" s="37" t="s">
        <v>439</v>
      </c>
      <c r="L90" s="39"/>
      <c r="N90" s="80" t="s">
        <v>963</v>
      </c>
      <c r="O90" s="81">
        <v>9790373</v>
      </c>
      <c r="P90" s="81" t="s">
        <v>746</v>
      </c>
      <c r="Q90" s="81" t="s">
        <v>948</v>
      </c>
    </row>
    <row r="91" spans="11:17" ht="15" x14ac:dyDescent="0.25">
      <c r="K91" s="37" t="s">
        <v>440</v>
      </c>
      <c r="L91" s="39"/>
      <c r="N91" s="80" t="s">
        <v>246</v>
      </c>
      <c r="O91" s="81">
        <v>9339973</v>
      </c>
      <c r="P91" s="81" t="s">
        <v>703</v>
      </c>
      <c r="Q91" s="81" t="s">
        <v>245</v>
      </c>
    </row>
    <row r="92" spans="11:17" ht="15" x14ac:dyDescent="0.25">
      <c r="K92" s="37" t="s">
        <v>441</v>
      </c>
      <c r="L92" s="39"/>
      <c r="N92" s="80" t="s">
        <v>705</v>
      </c>
      <c r="O92" s="81">
        <v>9770696</v>
      </c>
      <c r="P92" s="81" t="s">
        <v>704</v>
      </c>
      <c r="Q92" s="81" t="s">
        <v>937</v>
      </c>
    </row>
    <row r="93" spans="11:17" ht="15" x14ac:dyDescent="0.25">
      <c r="K93" s="37" t="s">
        <v>442</v>
      </c>
      <c r="L93" s="39"/>
      <c r="N93" s="80" t="s">
        <v>707</v>
      </c>
      <c r="O93" s="81">
        <v>9787754</v>
      </c>
      <c r="P93" s="81" t="s">
        <v>706</v>
      </c>
      <c r="Q93" s="81" t="s">
        <v>938</v>
      </c>
    </row>
    <row r="94" spans="11:17" ht="15" x14ac:dyDescent="0.25">
      <c r="K94" s="37" t="s">
        <v>443</v>
      </c>
      <c r="L94" s="39"/>
      <c r="N94" s="80" t="s">
        <v>244</v>
      </c>
      <c r="O94" s="81">
        <v>9311270</v>
      </c>
      <c r="P94" s="81" t="s">
        <v>708</v>
      </c>
      <c r="Q94" s="81" t="s">
        <v>243</v>
      </c>
    </row>
    <row r="95" spans="11:17" ht="15" x14ac:dyDescent="0.25">
      <c r="K95" s="37" t="s">
        <v>444</v>
      </c>
      <c r="L95" s="39"/>
      <c r="N95" s="80" t="s">
        <v>279</v>
      </c>
      <c r="O95" s="81">
        <v>9387267</v>
      </c>
      <c r="P95" s="81" t="s">
        <v>709</v>
      </c>
      <c r="Q95" s="81" t="s">
        <v>280</v>
      </c>
    </row>
    <row r="96" spans="11:17" ht="15" x14ac:dyDescent="0.25">
      <c r="K96" s="37" t="s">
        <v>445</v>
      </c>
      <c r="L96" s="39"/>
      <c r="N96" s="80" t="s">
        <v>1093</v>
      </c>
      <c r="O96" s="80">
        <v>9875226</v>
      </c>
      <c r="P96" s="80" t="s">
        <v>1091</v>
      </c>
      <c r="Q96" s="80" t="s">
        <v>1092</v>
      </c>
    </row>
    <row r="97" spans="11:17" ht="15" x14ac:dyDescent="0.25">
      <c r="K97" s="37" t="s">
        <v>446</v>
      </c>
      <c r="L97" s="39"/>
      <c r="N97" s="114" t="s">
        <v>1098</v>
      </c>
      <c r="O97" s="80">
        <v>9903140</v>
      </c>
      <c r="P97" s="14" t="s">
        <v>1100</v>
      </c>
      <c r="Q97" s="116" t="s">
        <v>1099</v>
      </c>
    </row>
    <row r="98" spans="11:17" x14ac:dyDescent="0.2">
      <c r="K98" s="37" t="s">
        <v>447</v>
      </c>
      <c r="L98" s="39"/>
    </row>
    <row r="99" spans="11:17" x14ac:dyDescent="0.2">
      <c r="K99" s="37" t="s">
        <v>448</v>
      </c>
      <c r="L99" s="39"/>
    </row>
    <row r="100" spans="11:17" x14ac:dyDescent="0.2">
      <c r="K100" s="38" t="s">
        <v>333</v>
      </c>
      <c r="L100" s="39"/>
    </row>
    <row r="101" spans="11:17" x14ac:dyDescent="0.2">
      <c r="K101" s="38" t="s">
        <v>449</v>
      </c>
      <c r="L101" s="39"/>
    </row>
    <row r="102" spans="11:17" x14ac:dyDescent="0.2">
      <c r="K102" s="38" t="s">
        <v>450</v>
      </c>
      <c r="L102" s="39"/>
    </row>
    <row r="103" spans="11:17" x14ac:dyDescent="0.2">
      <c r="K103" s="38" t="s">
        <v>451</v>
      </c>
      <c r="L103" s="39"/>
    </row>
    <row r="104" spans="11:17" x14ac:dyDescent="0.2">
      <c r="K104" s="38" t="s">
        <v>452</v>
      </c>
      <c r="L104" s="39"/>
    </row>
    <row r="105" spans="11:17" x14ac:dyDescent="0.2">
      <c r="K105" s="38" t="s">
        <v>453</v>
      </c>
      <c r="L105" s="39"/>
    </row>
    <row r="106" spans="11:17" x14ac:dyDescent="0.2">
      <c r="K106" s="38" t="s">
        <v>454</v>
      </c>
      <c r="L106" s="39"/>
    </row>
    <row r="107" spans="11:17" x14ac:dyDescent="0.2">
      <c r="K107" s="38" t="s">
        <v>455</v>
      </c>
      <c r="L107" s="39"/>
    </row>
    <row r="108" spans="11:17" x14ac:dyDescent="0.2">
      <c r="K108" s="38" t="s">
        <v>456</v>
      </c>
      <c r="L108" s="39"/>
    </row>
    <row r="109" spans="11:17" x14ac:dyDescent="0.2">
      <c r="K109" s="38" t="s">
        <v>457</v>
      </c>
      <c r="L109" s="39"/>
    </row>
    <row r="110" spans="11:17" x14ac:dyDescent="0.2">
      <c r="K110" s="38" t="s">
        <v>458</v>
      </c>
      <c r="L110" s="39"/>
    </row>
    <row r="111" spans="11:17" x14ac:dyDescent="0.2">
      <c r="K111" s="38" t="s">
        <v>459</v>
      </c>
      <c r="L111" s="39"/>
    </row>
    <row r="112" spans="11:17" x14ac:dyDescent="0.2">
      <c r="K112" s="38" t="s">
        <v>460</v>
      </c>
      <c r="L112" s="39"/>
    </row>
    <row r="113" spans="11:12" x14ac:dyDescent="0.2">
      <c r="K113" s="38" t="s">
        <v>461</v>
      </c>
      <c r="L113" s="39"/>
    </row>
    <row r="114" spans="11:12" x14ac:dyDescent="0.2">
      <c r="K114" s="38" t="s">
        <v>462</v>
      </c>
      <c r="L114" s="39"/>
    </row>
    <row r="115" spans="11:12" x14ac:dyDescent="0.2">
      <c r="K115" s="38" t="s">
        <v>463</v>
      </c>
      <c r="L115" s="39"/>
    </row>
    <row r="116" spans="11:12" x14ac:dyDescent="0.2">
      <c r="K116" s="38" t="s">
        <v>464</v>
      </c>
      <c r="L116" s="39"/>
    </row>
    <row r="117" spans="11:12" x14ac:dyDescent="0.2">
      <c r="K117" s="38" t="s">
        <v>465</v>
      </c>
      <c r="L117" s="39"/>
    </row>
    <row r="118" spans="11:12" x14ac:dyDescent="0.2">
      <c r="K118" s="38" t="s">
        <v>466</v>
      </c>
      <c r="L118" s="39"/>
    </row>
    <row r="119" spans="11:12" x14ac:dyDescent="0.2">
      <c r="K119" s="38" t="s">
        <v>467</v>
      </c>
      <c r="L119" s="39"/>
    </row>
    <row r="120" spans="11:12" x14ac:dyDescent="0.2">
      <c r="K120" s="38" t="s">
        <v>468</v>
      </c>
      <c r="L120" s="39"/>
    </row>
    <row r="121" spans="11:12" x14ac:dyDescent="0.2">
      <c r="K121" s="38" t="s">
        <v>469</v>
      </c>
      <c r="L121" s="39"/>
    </row>
    <row r="122" spans="11:12" x14ac:dyDescent="0.2">
      <c r="K122" s="38" t="s">
        <v>470</v>
      </c>
      <c r="L122" s="39"/>
    </row>
    <row r="123" spans="11:12" x14ac:dyDescent="0.2">
      <c r="K123" s="38" t="s">
        <v>471</v>
      </c>
      <c r="L123" s="39"/>
    </row>
    <row r="124" spans="11:12" x14ac:dyDescent="0.2">
      <c r="K124" s="40" t="s">
        <v>53</v>
      </c>
      <c r="L124" s="39"/>
    </row>
    <row r="125" spans="11:12" x14ac:dyDescent="0.2">
      <c r="K125" s="41" t="s">
        <v>54</v>
      </c>
      <c r="L125" s="39"/>
    </row>
    <row r="126" spans="11:12" x14ac:dyDescent="0.2">
      <c r="K126" s="41" t="s">
        <v>55</v>
      </c>
      <c r="L126" s="39"/>
    </row>
    <row r="127" spans="11:12" x14ac:dyDescent="0.2">
      <c r="K127" s="41" t="s">
        <v>56</v>
      </c>
      <c r="L127" s="39"/>
    </row>
    <row r="128" spans="11:12" x14ac:dyDescent="0.2">
      <c r="K128" s="41" t="s">
        <v>57</v>
      </c>
      <c r="L128" s="39"/>
    </row>
    <row r="129" spans="11:12" x14ac:dyDescent="0.2">
      <c r="K129" s="41" t="s">
        <v>58</v>
      </c>
      <c r="L129" s="39"/>
    </row>
    <row r="130" spans="11:12" x14ac:dyDescent="0.2">
      <c r="K130" s="42" t="s">
        <v>59</v>
      </c>
      <c r="L130" s="39"/>
    </row>
    <row r="131" spans="11:12" x14ac:dyDescent="0.2">
      <c r="K131" s="40" t="s">
        <v>172</v>
      </c>
      <c r="L131" s="39"/>
    </row>
    <row r="132" spans="11:12" x14ac:dyDescent="0.2">
      <c r="K132" s="41" t="s">
        <v>173</v>
      </c>
      <c r="L132" s="39"/>
    </row>
    <row r="133" spans="11:12" x14ac:dyDescent="0.2">
      <c r="K133" s="41" t="s">
        <v>60</v>
      </c>
      <c r="L133" s="39"/>
    </row>
    <row r="134" spans="11:12" x14ac:dyDescent="0.2">
      <c r="K134" s="41" t="s">
        <v>61</v>
      </c>
      <c r="L134" s="39"/>
    </row>
    <row r="135" spans="11:12" x14ac:dyDescent="0.2">
      <c r="K135" s="41" t="s">
        <v>62</v>
      </c>
      <c r="L135" s="39"/>
    </row>
    <row r="136" spans="11:12" x14ac:dyDescent="0.2">
      <c r="K136" s="41" t="s">
        <v>63</v>
      </c>
      <c r="L136" s="39"/>
    </row>
    <row r="137" spans="11:12" x14ac:dyDescent="0.2">
      <c r="K137" s="42" t="s">
        <v>64</v>
      </c>
      <c r="L137" s="39"/>
    </row>
    <row r="138" spans="11:12" x14ac:dyDescent="0.2">
      <c r="K138" s="40" t="s">
        <v>174</v>
      </c>
      <c r="L138" s="39"/>
    </row>
    <row r="139" spans="11:12" x14ac:dyDescent="0.2">
      <c r="K139" s="41" t="s">
        <v>65</v>
      </c>
      <c r="L139" s="39"/>
    </row>
    <row r="140" spans="11:12" x14ac:dyDescent="0.2">
      <c r="K140" s="41" t="s">
        <v>66</v>
      </c>
      <c r="L140" s="39"/>
    </row>
    <row r="141" spans="11:12" x14ac:dyDescent="0.2">
      <c r="K141" s="41" t="s">
        <v>67</v>
      </c>
      <c r="L141" s="39"/>
    </row>
    <row r="142" spans="11:12" x14ac:dyDescent="0.2">
      <c r="K142" s="41" t="s">
        <v>68</v>
      </c>
      <c r="L142" s="39"/>
    </row>
    <row r="143" spans="11:12" x14ac:dyDescent="0.2">
      <c r="K143" s="41" t="s">
        <v>69</v>
      </c>
      <c r="L143" s="39"/>
    </row>
    <row r="144" spans="11:12" x14ac:dyDescent="0.2">
      <c r="K144" s="41" t="s">
        <v>175</v>
      </c>
      <c r="L144" s="39"/>
    </row>
    <row r="145" spans="11:12" x14ac:dyDescent="0.2">
      <c r="K145" s="41" t="s">
        <v>70</v>
      </c>
      <c r="L145" s="39"/>
    </row>
    <row r="146" spans="11:12" x14ac:dyDescent="0.2">
      <c r="K146" s="41" t="s">
        <v>71</v>
      </c>
      <c r="L146" s="39"/>
    </row>
    <row r="147" spans="11:12" x14ac:dyDescent="0.2">
      <c r="K147" s="42" t="s">
        <v>176</v>
      </c>
      <c r="L147" s="39"/>
    </row>
    <row r="148" spans="11:12" x14ac:dyDescent="0.2">
      <c r="K148" s="40" t="s">
        <v>72</v>
      </c>
      <c r="L148" s="39"/>
    </row>
    <row r="149" spans="11:12" x14ac:dyDescent="0.2">
      <c r="K149" s="41" t="s">
        <v>73</v>
      </c>
      <c r="L149" s="39"/>
    </row>
    <row r="150" spans="11:12" x14ac:dyDescent="0.2">
      <c r="K150" s="41" t="s">
        <v>74</v>
      </c>
      <c r="L150" s="39"/>
    </row>
    <row r="151" spans="11:12" x14ac:dyDescent="0.2">
      <c r="K151" s="41" t="s">
        <v>75</v>
      </c>
      <c r="L151" s="39"/>
    </row>
    <row r="152" spans="11:12" x14ac:dyDescent="0.2">
      <c r="K152" s="42" t="s">
        <v>76</v>
      </c>
      <c r="L152" s="39"/>
    </row>
    <row r="153" spans="11:12" x14ac:dyDescent="0.2">
      <c r="K153" s="40" t="s">
        <v>77</v>
      </c>
      <c r="L153" s="39"/>
    </row>
    <row r="154" spans="11:12" x14ac:dyDescent="0.2">
      <c r="K154" s="41" t="s">
        <v>78</v>
      </c>
      <c r="L154" s="39"/>
    </row>
    <row r="155" spans="11:12" x14ac:dyDescent="0.2">
      <c r="K155" s="42" t="s">
        <v>79</v>
      </c>
      <c r="L155" s="39"/>
    </row>
    <row r="156" spans="11:12" x14ac:dyDescent="0.2">
      <c r="K156" s="43" t="s">
        <v>80</v>
      </c>
      <c r="L156" s="39"/>
    </row>
    <row r="157" spans="11:12" x14ac:dyDescent="0.2">
      <c r="K157" s="43" t="s">
        <v>81</v>
      </c>
      <c r="L157" s="39"/>
    </row>
    <row r="158" spans="11:12" x14ac:dyDescent="0.2">
      <c r="K158" s="43" t="s">
        <v>177</v>
      </c>
      <c r="L158" s="39"/>
    </row>
    <row r="159" spans="11:12" x14ac:dyDescent="0.2">
      <c r="K159" s="43" t="s">
        <v>82</v>
      </c>
      <c r="L159" s="39"/>
    </row>
    <row r="160" spans="11:12" x14ac:dyDescent="0.2">
      <c r="K160" s="43" t="s">
        <v>83</v>
      </c>
      <c r="L160" s="39"/>
    </row>
    <row r="161" spans="11:12" x14ac:dyDescent="0.2">
      <c r="K161" s="40" t="s">
        <v>84</v>
      </c>
      <c r="L161" s="39"/>
    </row>
    <row r="162" spans="11:12" x14ac:dyDescent="0.2">
      <c r="K162" s="41" t="s">
        <v>85</v>
      </c>
      <c r="L162" s="39"/>
    </row>
    <row r="163" spans="11:12" x14ac:dyDescent="0.2">
      <c r="K163" s="41" t="s">
        <v>86</v>
      </c>
      <c r="L163" s="39"/>
    </row>
    <row r="164" spans="11:12" x14ac:dyDescent="0.2">
      <c r="K164" s="41" t="s">
        <v>87</v>
      </c>
      <c r="L164" s="39"/>
    </row>
    <row r="165" spans="11:12" x14ac:dyDescent="0.2">
      <c r="K165" s="41" t="s">
        <v>88</v>
      </c>
      <c r="L165" s="39"/>
    </row>
    <row r="166" spans="11:12" x14ac:dyDescent="0.2">
      <c r="K166" s="41" t="s">
        <v>89</v>
      </c>
      <c r="L166" s="39"/>
    </row>
    <row r="167" spans="11:12" x14ac:dyDescent="0.2">
      <c r="K167" s="41" t="s">
        <v>90</v>
      </c>
      <c r="L167" s="39"/>
    </row>
    <row r="168" spans="11:12" x14ac:dyDescent="0.2">
      <c r="K168" s="41" t="s">
        <v>91</v>
      </c>
      <c r="L168" s="39"/>
    </row>
    <row r="169" spans="11:12" x14ac:dyDescent="0.2">
      <c r="K169" s="41" t="s">
        <v>92</v>
      </c>
      <c r="L169" s="39"/>
    </row>
    <row r="170" spans="11:12" x14ac:dyDescent="0.2">
      <c r="K170" s="41" t="s">
        <v>93</v>
      </c>
      <c r="L170" s="39"/>
    </row>
    <row r="171" spans="11:12" x14ac:dyDescent="0.2">
      <c r="K171" s="41" t="s">
        <v>94</v>
      </c>
      <c r="L171" s="39"/>
    </row>
    <row r="172" spans="11:12" x14ac:dyDescent="0.2">
      <c r="K172" s="41" t="s">
        <v>95</v>
      </c>
      <c r="L172" s="39"/>
    </row>
    <row r="173" spans="11:12" x14ac:dyDescent="0.2">
      <c r="K173" s="41" t="s">
        <v>96</v>
      </c>
      <c r="L173" s="39"/>
    </row>
    <row r="174" spans="11:12" x14ac:dyDescent="0.2">
      <c r="K174" s="41" t="s">
        <v>97</v>
      </c>
      <c r="L174" s="39"/>
    </row>
    <row r="175" spans="11:12" x14ac:dyDescent="0.2">
      <c r="K175" s="41" t="s">
        <v>98</v>
      </c>
      <c r="L175" s="39"/>
    </row>
    <row r="176" spans="11:12" x14ac:dyDescent="0.2">
      <c r="K176" s="41" t="s">
        <v>178</v>
      </c>
      <c r="L176" s="39"/>
    </row>
    <row r="177" spans="11:12" x14ac:dyDescent="0.2">
      <c r="K177" s="41" t="s">
        <v>99</v>
      </c>
      <c r="L177" s="39"/>
    </row>
    <row r="178" spans="11:12" x14ac:dyDescent="0.2">
      <c r="K178" s="42" t="s">
        <v>100</v>
      </c>
      <c r="L178" s="39"/>
    </row>
    <row r="179" spans="11:12" x14ac:dyDescent="0.2">
      <c r="K179" s="40" t="s">
        <v>101</v>
      </c>
      <c r="L179" s="39"/>
    </row>
    <row r="180" spans="11:12" x14ac:dyDescent="0.2">
      <c r="K180" s="41" t="s">
        <v>102</v>
      </c>
      <c r="L180" s="39"/>
    </row>
    <row r="181" spans="11:12" x14ac:dyDescent="0.2">
      <c r="K181" s="41" t="s">
        <v>103</v>
      </c>
      <c r="L181" s="39"/>
    </row>
    <row r="182" spans="11:12" x14ac:dyDescent="0.2">
      <c r="K182" s="41" t="s">
        <v>104</v>
      </c>
      <c r="L182" s="39"/>
    </row>
    <row r="183" spans="11:12" x14ac:dyDescent="0.2">
      <c r="K183" s="41" t="s">
        <v>105</v>
      </c>
      <c r="L183" s="39"/>
    </row>
    <row r="184" spans="11:12" x14ac:dyDescent="0.2">
      <c r="K184" s="41" t="s">
        <v>106</v>
      </c>
    </row>
    <row r="185" spans="11:12" x14ac:dyDescent="0.2">
      <c r="K185" s="41" t="s">
        <v>107</v>
      </c>
    </row>
    <row r="186" spans="11:12" x14ac:dyDescent="0.2">
      <c r="K186" s="41" t="s">
        <v>108</v>
      </c>
    </row>
    <row r="187" spans="11:12" x14ac:dyDescent="0.2">
      <c r="K187" s="41" t="s">
        <v>109</v>
      </c>
    </row>
    <row r="188" spans="11:12" x14ac:dyDescent="0.2">
      <c r="K188" s="41" t="s">
        <v>110</v>
      </c>
    </row>
    <row r="189" spans="11:12" x14ac:dyDescent="0.2">
      <c r="K189" s="41" t="s">
        <v>111</v>
      </c>
    </row>
    <row r="190" spans="11:12" x14ac:dyDescent="0.2">
      <c r="K190" s="41" t="s">
        <v>112</v>
      </c>
    </row>
    <row r="191" spans="11:12" x14ac:dyDescent="0.2">
      <c r="K191" s="41" t="s">
        <v>113</v>
      </c>
    </row>
    <row r="192" spans="11:12" x14ac:dyDescent="0.2">
      <c r="K192" s="41" t="s">
        <v>179</v>
      </c>
    </row>
    <row r="193" spans="11:11" x14ac:dyDescent="0.2">
      <c r="K193" s="42" t="s">
        <v>114</v>
      </c>
    </row>
    <row r="194" spans="11:11" x14ac:dyDescent="0.2">
      <c r="K194" s="40" t="s">
        <v>115</v>
      </c>
    </row>
    <row r="195" spans="11:11" x14ac:dyDescent="0.2">
      <c r="K195" s="41" t="s">
        <v>116</v>
      </c>
    </row>
    <row r="196" spans="11:11" x14ac:dyDescent="0.2">
      <c r="K196" s="41" t="s">
        <v>117</v>
      </c>
    </row>
    <row r="197" spans="11:11" x14ac:dyDescent="0.2">
      <c r="K197" s="41" t="s">
        <v>118</v>
      </c>
    </row>
    <row r="198" spans="11:11" x14ac:dyDescent="0.2">
      <c r="K198" s="41" t="s">
        <v>119</v>
      </c>
    </row>
    <row r="199" spans="11:11" x14ac:dyDescent="0.2">
      <c r="K199" s="41" t="s">
        <v>120</v>
      </c>
    </row>
    <row r="200" spans="11:11" x14ac:dyDescent="0.2">
      <c r="K200" s="42" t="s">
        <v>121</v>
      </c>
    </row>
    <row r="201" spans="11:11" x14ac:dyDescent="0.2">
      <c r="K201" s="40" t="s">
        <v>122</v>
      </c>
    </row>
    <row r="202" spans="11:11" x14ac:dyDescent="0.2">
      <c r="K202" s="41" t="s">
        <v>123</v>
      </c>
    </row>
    <row r="203" spans="11:11" x14ac:dyDescent="0.2">
      <c r="K203" s="41" t="s">
        <v>124</v>
      </c>
    </row>
    <row r="204" spans="11:11" x14ac:dyDescent="0.2">
      <c r="K204" s="41" t="s">
        <v>125</v>
      </c>
    </row>
    <row r="205" spans="11:11" x14ac:dyDescent="0.2">
      <c r="K205" s="41" t="s">
        <v>180</v>
      </c>
    </row>
    <row r="206" spans="11:11" x14ac:dyDescent="0.2">
      <c r="K206" s="41" t="s">
        <v>126</v>
      </c>
    </row>
    <row r="207" spans="11:11" x14ac:dyDescent="0.2">
      <c r="K207" s="41" t="s">
        <v>181</v>
      </c>
    </row>
    <row r="208" spans="11:11" x14ac:dyDescent="0.2">
      <c r="K208" s="41" t="s">
        <v>182</v>
      </c>
    </row>
    <row r="209" spans="11:11" x14ac:dyDescent="0.2">
      <c r="K209" s="41" t="s">
        <v>183</v>
      </c>
    </row>
    <row r="210" spans="11:11" x14ac:dyDescent="0.2">
      <c r="K210" s="41" t="s">
        <v>127</v>
      </c>
    </row>
    <row r="211" spans="11:11" x14ac:dyDescent="0.2">
      <c r="K211" s="41" t="s">
        <v>184</v>
      </c>
    </row>
    <row r="212" spans="11:11" x14ac:dyDescent="0.2">
      <c r="K212" s="41" t="s">
        <v>128</v>
      </c>
    </row>
    <row r="213" spans="11:11" x14ac:dyDescent="0.2">
      <c r="K213" s="41" t="s">
        <v>185</v>
      </c>
    </row>
    <row r="214" spans="11:11" x14ac:dyDescent="0.2">
      <c r="K214" s="41" t="s">
        <v>129</v>
      </c>
    </row>
    <row r="215" spans="11:11" x14ac:dyDescent="0.2">
      <c r="K215" s="41" t="s">
        <v>130</v>
      </c>
    </row>
    <row r="216" spans="11:11" x14ac:dyDescent="0.2">
      <c r="K216" s="41" t="s">
        <v>131</v>
      </c>
    </row>
    <row r="217" spans="11:11" x14ac:dyDescent="0.2">
      <c r="K217" s="41" t="s">
        <v>132</v>
      </c>
    </row>
    <row r="218" spans="11:11" x14ac:dyDescent="0.2">
      <c r="K218" s="41" t="s">
        <v>186</v>
      </c>
    </row>
    <row r="219" spans="11:11" x14ac:dyDescent="0.2">
      <c r="K219" s="41" t="s">
        <v>187</v>
      </c>
    </row>
    <row r="220" spans="11:11" x14ac:dyDescent="0.2">
      <c r="K220" s="41" t="s">
        <v>133</v>
      </c>
    </row>
    <row r="221" spans="11:11" x14ac:dyDescent="0.2">
      <c r="K221" s="42" t="s">
        <v>188</v>
      </c>
    </row>
    <row r="222" spans="11:11" x14ac:dyDescent="0.2">
      <c r="K222" s="40" t="s">
        <v>134</v>
      </c>
    </row>
    <row r="223" spans="11:11" x14ac:dyDescent="0.2">
      <c r="K223" s="41" t="s">
        <v>135</v>
      </c>
    </row>
    <row r="224" spans="11:11" x14ac:dyDescent="0.2">
      <c r="K224" s="41" t="s">
        <v>136</v>
      </c>
    </row>
    <row r="225" spans="11:11" x14ac:dyDescent="0.2">
      <c r="K225" s="41" t="s">
        <v>137</v>
      </c>
    </row>
    <row r="226" spans="11:11" x14ac:dyDescent="0.2">
      <c r="K226" s="41" t="s">
        <v>138</v>
      </c>
    </row>
    <row r="227" spans="11:11" x14ac:dyDescent="0.2">
      <c r="K227" s="41" t="s">
        <v>139</v>
      </c>
    </row>
    <row r="228" spans="11:11" x14ac:dyDescent="0.2">
      <c r="K228" s="41" t="s">
        <v>140</v>
      </c>
    </row>
    <row r="229" spans="11:11" x14ac:dyDescent="0.2">
      <c r="K229" s="42" t="s">
        <v>141</v>
      </c>
    </row>
    <row r="230" spans="11:11" x14ac:dyDescent="0.2">
      <c r="K230" s="43" t="s">
        <v>142</v>
      </c>
    </row>
    <row r="231" spans="11:11" x14ac:dyDescent="0.2">
      <c r="K231" s="43" t="s">
        <v>143</v>
      </c>
    </row>
    <row r="232" spans="11:11" x14ac:dyDescent="0.2">
      <c r="K232" s="40" t="s">
        <v>144</v>
      </c>
    </row>
    <row r="233" spans="11:11" x14ac:dyDescent="0.2">
      <c r="K233" s="41" t="s">
        <v>145</v>
      </c>
    </row>
    <row r="234" spans="11:11" x14ac:dyDescent="0.2">
      <c r="K234" s="41" t="s">
        <v>146</v>
      </c>
    </row>
    <row r="235" spans="11:11" x14ac:dyDescent="0.2">
      <c r="K235" s="41" t="s">
        <v>147</v>
      </c>
    </row>
    <row r="236" spans="11:11" x14ac:dyDescent="0.2">
      <c r="K236" s="41" t="s">
        <v>148</v>
      </c>
    </row>
    <row r="237" spans="11:11" x14ac:dyDescent="0.2">
      <c r="K237" s="41" t="s">
        <v>189</v>
      </c>
    </row>
    <row r="238" spans="11:11" x14ac:dyDescent="0.2">
      <c r="K238" s="41" t="s">
        <v>149</v>
      </c>
    </row>
    <row r="239" spans="11:11" x14ac:dyDescent="0.2">
      <c r="K239" s="42" t="s">
        <v>150</v>
      </c>
    </row>
    <row r="240" spans="11:11" x14ac:dyDescent="0.2">
      <c r="K240" s="40" t="s">
        <v>151</v>
      </c>
    </row>
    <row r="241" spans="11:11" x14ac:dyDescent="0.2">
      <c r="K241" s="41" t="s">
        <v>152</v>
      </c>
    </row>
    <row r="242" spans="11:11" x14ac:dyDescent="0.2">
      <c r="K242" s="41" t="s">
        <v>153</v>
      </c>
    </row>
    <row r="243" spans="11:11" x14ac:dyDescent="0.2">
      <c r="K243" s="41" t="s">
        <v>154</v>
      </c>
    </row>
    <row r="244" spans="11:11" x14ac:dyDescent="0.2">
      <c r="K244" s="41" t="s">
        <v>155</v>
      </c>
    </row>
    <row r="245" spans="11:11" x14ac:dyDescent="0.2">
      <c r="K245" s="41" t="s">
        <v>156</v>
      </c>
    </row>
    <row r="246" spans="11:11" x14ac:dyDescent="0.2">
      <c r="K246" s="41" t="s">
        <v>328</v>
      </c>
    </row>
    <row r="247" spans="11:11" x14ac:dyDescent="0.2">
      <c r="K247" s="41" t="s">
        <v>329</v>
      </c>
    </row>
    <row r="248" spans="11:11" x14ac:dyDescent="0.2">
      <c r="K248" s="41" t="s">
        <v>330</v>
      </c>
    </row>
    <row r="249" spans="11:11" x14ac:dyDescent="0.2">
      <c r="K249" s="41" t="s">
        <v>331</v>
      </c>
    </row>
    <row r="250" spans="11:11" x14ac:dyDescent="0.2">
      <c r="K250" s="42" t="s">
        <v>332</v>
      </c>
    </row>
    <row r="251" spans="11:11" x14ac:dyDescent="0.2">
      <c r="K251" s="40" t="s">
        <v>157</v>
      </c>
    </row>
    <row r="252" spans="11:11" x14ac:dyDescent="0.2">
      <c r="K252" s="41" t="s">
        <v>158</v>
      </c>
    </row>
    <row r="253" spans="11:11" x14ac:dyDescent="0.2">
      <c r="K253" s="41" t="s">
        <v>159</v>
      </c>
    </row>
    <row r="254" spans="11:11" x14ac:dyDescent="0.2">
      <c r="K254" s="41" t="s">
        <v>160</v>
      </c>
    </row>
    <row r="255" spans="11:11" x14ac:dyDescent="0.2">
      <c r="K255" s="41" t="s">
        <v>161</v>
      </c>
    </row>
    <row r="256" spans="11:11" x14ac:dyDescent="0.2">
      <c r="K256" s="42" t="s">
        <v>162</v>
      </c>
    </row>
    <row r="257" spans="11:11" x14ac:dyDescent="0.2">
      <c r="K257" s="40" t="s">
        <v>190</v>
      </c>
    </row>
    <row r="258" spans="11:11" x14ac:dyDescent="0.2">
      <c r="K258" s="41" t="s">
        <v>163</v>
      </c>
    </row>
    <row r="259" spans="11:11" x14ac:dyDescent="0.2">
      <c r="K259" s="41" t="s">
        <v>164</v>
      </c>
    </row>
    <row r="260" spans="11:11" x14ac:dyDescent="0.2">
      <c r="K260" s="42" t="s">
        <v>165</v>
      </c>
    </row>
    <row r="261" spans="11:11" x14ac:dyDescent="0.2">
      <c r="K261" s="40" t="s">
        <v>191</v>
      </c>
    </row>
    <row r="262" spans="11:11" x14ac:dyDescent="0.2">
      <c r="K262" s="42" t="s">
        <v>166</v>
      </c>
    </row>
    <row r="263" spans="11:11" x14ac:dyDescent="0.2">
      <c r="K263" s="101" t="s">
        <v>967</v>
      </c>
    </row>
    <row r="264" spans="11:11" x14ac:dyDescent="0.2">
      <c r="K264" s="44" t="s">
        <v>472</v>
      </c>
    </row>
    <row r="265" spans="11:11" x14ac:dyDescent="0.2">
      <c r="K265" s="44" t="s">
        <v>473</v>
      </c>
    </row>
    <row r="266" spans="11:11" x14ac:dyDescent="0.2">
      <c r="K266" s="44" t="s">
        <v>474</v>
      </c>
    </row>
    <row r="267" spans="11:11" x14ac:dyDescent="0.2">
      <c r="K267" s="44" t="s">
        <v>475</v>
      </c>
    </row>
    <row r="268" spans="11:11" x14ac:dyDescent="0.2">
      <c r="K268" s="40" t="s">
        <v>476</v>
      </c>
    </row>
    <row r="269" spans="11:11" x14ac:dyDescent="0.2">
      <c r="K269" s="44" t="s">
        <v>477</v>
      </c>
    </row>
    <row r="270" spans="11:11" x14ac:dyDescent="0.2">
      <c r="K270" s="44" t="s">
        <v>478</v>
      </c>
    </row>
    <row r="271" spans="11:11" x14ac:dyDescent="0.2">
      <c r="K271" s="44" t="s">
        <v>479</v>
      </c>
    </row>
    <row r="272" spans="11:11" x14ac:dyDescent="0.2">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x14ac:dyDescent="0.2"/>
  <cols>
    <col min="1" max="1" width="5.5" style="112" customWidth="1"/>
    <col min="2" max="2" width="6.25" style="112" bestFit="1" customWidth="1"/>
    <col min="3" max="3" width="89.125" style="112" bestFit="1" customWidth="1"/>
    <col min="4" max="16384" width="9" style="112"/>
  </cols>
  <sheetData>
    <row r="1" spans="2:3" x14ac:dyDescent="0.2">
      <c r="B1" s="112" t="s">
        <v>510</v>
      </c>
      <c r="C1" s="112" t="s">
        <v>511</v>
      </c>
    </row>
    <row r="2" spans="2:3" x14ac:dyDescent="0.2">
      <c r="C2" s="112" t="s">
        <v>567</v>
      </c>
    </row>
    <row r="3" spans="2:3" x14ac:dyDescent="0.2">
      <c r="C3" s="112" t="s">
        <v>569</v>
      </c>
    </row>
    <row r="4" spans="2:3" x14ac:dyDescent="0.2">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Ashok</cp:lastModifiedBy>
  <cp:lastPrinted>2020-04-22T13:54:49Z</cp:lastPrinted>
  <dcterms:created xsi:type="dcterms:W3CDTF">1997-01-08T22:48:59Z</dcterms:created>
  <dcterms:modified xsi:type="dcterms:W3CDTF">2022-02-01T10:40:52Z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