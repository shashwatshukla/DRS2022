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sshukla\Documents\hydralit\Test data\"/>
    </mc:Choice>
  </mc:AlternateContent>
  <xr:revisionPtr revIDLastSave="0" documentId="13_ncr:1_{2A6D4D03-6FB8-4FD1-A66B-C7187DDC995B}" xr6:coauthVersionLast="47" xr6:coauthVersionMax="47" xr10:uidLastSave="{00000000-0000-0000-0000-000000000000}"/>
  <bookViews>
    <workbookView xWindow="28680" yWindow="-120" windowWidth="29040" windowHeight="15720" tabRatio="601" activeTab="1" xr2:uid="{00000000-000D-0000-FFFF-FFFF00000000}"/>
  </bookViews>
  <sheets>
    <sheet name="Instructions" sheetId="14" r:id="rId1"/>
    <sheet name="DRSEND" sheetId="9"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1"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DRSEND!$A$57</definedName>
    <definedName name="PAV">ListInfo!$K$159</definedName>
    <definedName name="_xlnm.Print_Area" localSheetId="1">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ListInfo!$N$5:$N$97</definedName>
    <definedName name="Status">ListInfo!$AD$2:$AD$3</definedName>
    <definedName name="STR">ListInfo!$K$246:$K$250</definedName>
    <definedName name="threelettershipcode">ListInfo!$AN$2:$AN$69</definedName>
    <definedName name="vesseldata">ListInfo!$N$5:$Q$97</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56" i="9" l="1"/>
  <c r="J56" i="9"/>
  <c r="F56" i="9"/>
  <c r="E56" i="9"/>
  <c r="L55" i="9" l="1"/>
  <c r="J55" i="9"/>
  <c r="F55" i="9"/>
  <c r="E55" i="9"/>
  <c r="L54" i="9"/>
  <c r="J54" i="9"/>
  <c r="F54" i="9"/>
  <c r="E54" i="9"/>
  <c r="D1" i="9"/>
  <c r="C5" i="9"/>
  <c r="C2" i="9"/>
  <c r="C3" i="9"/>
  <c r="AW7" i="9" l="1"/>
  <c r="AX7" i="9"/>
  <c r="AY7" i="9"/>
  <c r="AV7" i="9"/>
  <c r="L7" i="9"/>
  <c r="J7" i="9"/>
  <c r="F7" i="9"/>
  <c r="E7" i="9"/>
  <c r="AU7" i="9" l="1"/>
</calcChain>
</file>

<file path=xl/sharedStrings.xml><?xml version="1.0" encoding="utf-8"?>
<sst xmlns="http://schemas.openxmlformats.org/spreadsheetml/2006/main" count="4993" uniqueCount="1576">
  <si>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</si>
  <si>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</si>
  <si>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</si>
  <si>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</si>
  <si>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</si>
  <si>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</si>
  <si>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</si>
  <si>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</si>
  <si>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</si>
  <si>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</si>
  <si>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</si>
  <si>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</si>
  <si>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</si>
  <si>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</si>
  <si>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</si>
  <si>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</si>
  <si>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</si>
  <si>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</si>
  <si>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</si>
  <si>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</si>
  <si>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</si>
  <si>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</si>
  <si>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</si>
  <si>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</si>
  <si>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</si>
  <si>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</si>
  <si>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</si>
  <si>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</si>
  <si>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</si>
  <si>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</si>
  <si>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</si>
  <si>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</si>
  <si>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</si>
  <si>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</si>
  <si>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</si>
  <si>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</si>
  <si>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</si>
  <si>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</si>
  <si>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</si>
  <si>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</si>
  <si>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</si>
  <si>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</si>
  <si>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</si>
  <si>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</si>
  <si>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</si>
  <si>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</si>
  <si>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</si>
  <si>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</si>
  <si>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</si>
  <si>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</si>
  <si>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</si>
  <si>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</si>
  <si>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</si>
  <si>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</si>
  <si>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</si>
  <si>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</si>
  <si>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</si>
  <si>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</si>
  <si>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</si>
  <si>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</si>
  <si>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</si>
  <si>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</si>
  <si>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</si>
  <si>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</si>
  <si>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</si>
  <si>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</si>
  <si>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</si>
  <si>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</si>
  <si>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</si>
  <si>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</si>
  <si>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</si>
  <si>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</si>
  <si>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</si>
  <si>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</si>
  <si>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</si>
  <si>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</si>
  <si>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</si>
  <si>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</si>
  <si>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</si>
  <si>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</si>
  <si>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</si>
  <si>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</si>
  <si>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</si>
  <si>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</si>
  <si>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</si>
  <si>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</si>
  <si>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</si>
  <si>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</si>
  <si>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</si>
  <si>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</si>
  <si>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</si>
  <si>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</si>
  <si>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</si>
  <si>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</si>
  <si>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</si>
  <si>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</si>
  <si>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</si>
  <si>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</si>
  <si>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</si>
  <si>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</si>
  <si>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</si>
  <si>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</si>
  <si>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</si>
  <si>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</si>
  <si>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</si>
  <si>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</si>
  <si>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</si>
  <si>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</si>
  <si>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</si>
  <si>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</si>
  <si>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</si>
  <si>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</si>
  <si>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</si>
  <si>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</si>
  <si>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</si>
  <si>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</si>
  <si>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</si>
  <si>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</si>
  <si>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</si>
  <si>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</si>
  <si>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</si>
  <si>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</si>
  <si>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</si>
  <si>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</si>
  <si>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</si>
  <si>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</si>
  <si>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</si>
  <si>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</si>
  <si>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</si>
  <si>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</si>
  <si>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</si>
  <si>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</si>
  <si>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</si>
  <si>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</si>
  <si>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</si>
  <si>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</si>
  <si>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</si>
  <si>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</si>
  <si>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</si>
  <si>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</si>
  <si>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</si>
  <si>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</si>
  <si>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</si>
  <si>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</si>
  <si>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</si>
  <si>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</si>
  <si>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</si>
  <si>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</si>
  <si>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</si>
  <si>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</si>
  <si>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</si>
  <si>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</si>
  <si>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</si>
  <si>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</si>
  <si>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</si>
  <si>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</si>
  <si>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</si>
  <si>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</si>
  <si>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</si>
  <si>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</si>
  <si>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</si>
  <si>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</si>
  <si>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</si>
  <si>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</si>
  <si>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</si>
  <si>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</si>
  <si>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</si>
  <si>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</si>
  <si>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</si>
  <si>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</si>
  <si>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</si>
  <si>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</si>
  <si>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</si>
  <si>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</si>
  <si>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</si>
  <si>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</si>
  <si>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</si>
  <si>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</si>
  <si>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</si>
  <si>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</si>
  <si>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</si>
  <si>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</si>
  <si>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</si>
  <si>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</si>
  <si>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</si>
  <si>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</si>
  <si>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</si>
  <si>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</si>
  <si>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</si>
  <si>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</si>
  <si>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</si>
  <si>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</si>
  <si>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</si>
  <si>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</si>
  <si>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</si>
  <si>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</si>
  <si>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</si>
  <si>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</si>
  <si>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</si>
  <si>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</si>
  <si>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</si>
  <si>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</si>
  <si>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</si>
  <si>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</si>
  <si>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</si>
  <si>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</si>
  <si>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</si>
  <si>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</si>
  <si>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</si>
  <si>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</si>
  <si>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</si>
  <si>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</si>
  <si>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</si>
  <si>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</si>
  <si>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</si>
  <si>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</si>
  <si>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</si>
  <si>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</si>
  <si>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</si>
  <si>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</si>
  <si>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</si>
  <si>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</si>
  <si>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</si>
  <si>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</si>
  <si>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</si>
  <si>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</si>
  <si>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</si>
  <si>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</si>
  <si>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</si>
  <si>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</si>
  <si>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</si>
  <si>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</si>
  <si>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</si>
  <si>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</si>
  <si>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</si>
  <si>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</si>
  <si>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</si>
  <si>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</si>
  <si>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</si>
  <si>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</si>
  <si>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</si>
  <si>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</si>
  <si>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</si>
  <si>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</si>
  <si>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</si>
  <si>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</si>
  <si>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</si>
  <si>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</si>
  <si>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</si>
  <si>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</si>
  <si>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</si>
  <si>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</si>
  <si>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</si>
  <si>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</si>
  <si>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</si>
  <si>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</si>
  <si>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</si>
  <si>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</si>
  <si>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</si>
  <si>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</si>
  <si>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</si>
  <si>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</si>
  <si>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</si>
  <si>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</si>
  <si>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</si>
  <si>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</si>
  <si>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</si>
  <si>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</si>
  <si>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</si>
  <si>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</si>
  <si>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</si>
  <si>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</si>
  <si>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</si>
  <si>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</si>
  <si>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</si>
  <si>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</si>
  <si>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</si>
  <si>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</si>
  <si>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</si>
  <si>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</si>
  <si>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</si>
  <si>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</si>
  <si>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</si>
  <si>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</si>
  <si>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</si>
  <si>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</si>
  <si>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</si>
  <si>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</si>
  <si>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</si>
  <si>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</si>
  <si>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</si>
  <si>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</si>
  <si>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</si>
  <si>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</si>
  <si>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</si>
  <si>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</si>
  <si>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</si>
  <si>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</si>
  <si>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</si>
  <si>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</si>
  <si>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</si>
  <si>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</si>
  <si>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</si>
  <si>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</si>
  <si>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</si>
  <si>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</si>
  <si>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</si>
  <si>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</si>
  <si>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</si>
  <si>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</si>
  <si>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</si>
  <si>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</si>
  <si>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</si>
  <si>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</si>
  <si>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</si>
  <si>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</si>
  <si>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</si>
  <si>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</si>
  <si>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</si>
  <si>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</si>
  <si>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</si>
  <si>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</si>
  <si>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</si>
  <si>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</si>
  <si>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</si>
  <si>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</si>
  <si>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</si>
  <si>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</si>
  <si>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</si>
  <si>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</si>
  <si>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</si>
  <si>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</si>
  <si>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</si>
  <si>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</si>
  <si>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</si>
  <si>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</si>
  <si>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</si>
  <si>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</si>
  <si>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</si>
  <si>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</si>
  <si>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</si>
  <si>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</si>
  <si>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</si>
  <si>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</si>
  <si>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</si>
  <si>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</si>
  <si>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</si>
  <si>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</si>
  <si>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</si>
  <si>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</si>
  <si>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</si>
  <si>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</si>
  <si>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</si>
  <si>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</si>
  <si>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</si>
  <si>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</si>
  <si>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</si>
  <si>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</si>
  <si>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</si>
  <si>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</si>
  <si>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</si>
  <si>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</si>
  <si>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</si>
  <si>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</si>
  <si>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</si>
  <si>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</si>
  <si>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</si>
  <si>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</si>
  <si>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</si>
  <si>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</si>
  <si>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</si>
  <si>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</si>
  <si>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</si>
  <si>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</si>
  <si>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</si>
  <si>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</si>
  <si>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</si>
  <si>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</si>
  <si>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</si>
  <si>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</si>
  <si>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</si>
  <si>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</si>
  <si>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</si>
  <si>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</si>
  <si>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</si>
  <si>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</si>
  <si>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</si>
  <si>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</si>
  <si>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</si>
  <si>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</si>
  <si>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</si>
  <si>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</si>
  <si>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</si>
  <si>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</si>
  <si>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</si>
  <si>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</si>
  <si>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</si>
  <si>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</si>
  <si>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</si>
  <si>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</si>
  <si>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</si>
  <si>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</si>
  <si>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</si>
  <si>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</si>
  <si>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</si>
  <si>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</si>
  <si>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</si>
  <si>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</si>
  <si>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</si>
  <si>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</si>
  <si>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</si>
  <si>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</si>
  <si>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</si>
  <si>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</si>
  <si>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</si>
  <si>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</si>
  <si>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</si>
  <si>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</si>
  <si>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</si>
  <si>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</si>
  <si>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</si>
  <si>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</si>
  <si>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</si>
  <si>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</si>
  <si>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</si>
  <si>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</si>
  <si>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</si>
  <si>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</si>
  <si>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</si>
  <si>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</si>
  <si>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</si>
  <si>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</si>
  <si>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</si>
  <si>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</si>
  <si>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</si>
  <si>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</si>
  <si>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</si>
  <si>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</si>
  <si>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</si>
  <si>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</si>
  <si>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</si>
  <si>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</si>
  <si>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</si>
  <si>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</si>
  <si>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</si>
  <si>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</si>
  <si>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</si>
  <si>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</si>
  <si>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</si>
  <si>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</si>
  <si>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</si>
  <si>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</si>
  <si>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</si>
  <si>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</si>
  <si>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</si>
  <si>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</si>
  <si>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</si>
  <si>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</si>
  <si>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</si>
  <si>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</si>
  <si>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</si>
  <si>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</si>
  <si>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</si>
  <si>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</si>
  <si>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</si>
  <si>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</si>
  <si>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</si>
  <si>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</si>
  <si>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</si>
  <si>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</si>
  <si>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</si>
  <si>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</si>
  <si>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</si>
  <si>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</si>
  <si>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</si>
  <si>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</si>
  <si>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</si>
  <si>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</si>
  <si>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</si>
  <si>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</si>
  <si>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</si>
  <si>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</si>
  <si>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</si>
  <si>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</si>
  <si>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</si>
  <si>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</si>
  <si>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</si>
  <si>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</si>
  <si>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</si>
  <si>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</si>
  <si>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</si>
  <si>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</si>
  <si>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</si>
  <si>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</si>
  <si>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</si>
  <si>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</si>
  <si>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</si>
  <si>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</si>
  <si>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</si>
  <si>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</si>
  <si>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</si>
  <si>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</si>
  <si>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</si>
  <si>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</si>
  <si>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</si>
  <si>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</si>
  <si>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</si>
  <si>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</si>
  <si>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</si>
  <si>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</si>
  <si>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</si>
  <si>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</si>
  <si>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</si>
  <si>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</si>
  <si>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</si>
  <si>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</si>
  <si>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</si>
  <si>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</si>
  <si>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</si>
  <si>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</si>
  <si>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</si>
  <si>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</si>
  <si>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</si>
  <si>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</si>
  <si>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</si>
  <si>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</si>
  <si>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</si>
  <si>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</si>
  <si>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</si>
  <si>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</si>
  <si>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</si>
  <si>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</si>
  <si>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</si>
  <si>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</si>
  <si>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</si>
  <si>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</si>
  <si>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</si>
  <si>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</si>
  <si>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</si>
  <si>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</si>
  <si>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</si>
  <si>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</si>
  <si>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</si>
  <si>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</si>
  <si>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</si>
  <si>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</si>
  <si>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</si>
  <si>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</si>
  <si>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</si>
  <si>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</si>
  <si>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</si>
  <si>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</si>
  <si>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</si>
  <si>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</si>
  <si>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</si>
  <si>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</si>
  <si>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</si>
  <si>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</si>
  <si>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</si>
  <si>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</si>
  <si>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</si>
  <si>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</si>
  <si>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</si>
  <si>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</si>
  <si>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</si>
  <si>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</si>
  <si>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</si>
  <si>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</si>
  <si>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</si>
  <si>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</si>
  <si>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</si>
  <si>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</si>
  <si>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</si>
  <si>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</si>
  <si>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</si>
  <si>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</si>
  <si>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</si>
  <si>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</si>
  <si>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</si>
  <si>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</si>
  <si>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</si>
  <si>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</si>
  <si>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</si>
  <si>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</si>
  <si>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</si>
  <si>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</si>
  <si>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</si>
  <si>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</si>
  <si>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</si>
  <si>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</si>
  <si>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</si>
  <si>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</si>
  <si>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</si>
  <si>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</si>
  <si>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</si>
  <si>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</si>
  <si>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</si>
  <si>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</si>
  <si>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</si>
  <si>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</si>
  <si>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</si>
  <si>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</si>
  <si>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</si>
  <si>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</si>
  <si>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</si>
  <si>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</si>
  <si>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</si>
  <si>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</si>
  <si>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</si>
  <si>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</si>
  <si>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</si>
  <si>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</si>
  <si>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</si>
  <si>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</si>
  <si>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</si>
  <si>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</si>
  <si>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</si>
  <si>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</si>
  <si>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</si>
  <si>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</si>
  <si>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</si>
  <si>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</si>
  <si>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</si>
  <si>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</si>
  <si>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</si>
  <si>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</si>
  <si>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</si>
  <si>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</si>
  <si>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</si>
  <si>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</si>
  <si>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</si>
  <si>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</si>
  <si>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</si>
  <si>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</si>
  <si>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</si>
  <si>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</si>
  <si>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</si>
  <si>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</si>
  <si>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</si>
  <si>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</si>
  <si>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</si>
  <si>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</si>
  <si>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</si>
  <si>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</si>
  <si>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</si>
  <si>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</si>
  <si>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</si>
  <si>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</si>
  <si>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</si>
  <si>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</si>
  <si>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</si>
  <si>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</si>
  <si>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</si>
  <si>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</si>
  <si>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</si>
  <si>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</si>
  <si>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</si>
  <si>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</si>
  <si>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</si>
  <si>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</si>
  <si>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</si>
  <si>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</si>
  <si>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</si>
  <si>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</si>
  <si>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</si>
  <si>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</si>
  <si>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</si>
  <si>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</si>
  <si>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</si>
  <si>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</si>
  <si>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</si>
  <si>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</si>
  <si>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</si>
  <si>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</si>
  <si>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</si>
  <si>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</si>
  <si>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</si>
  <si>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</si>
  <si>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</si>
  <si>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</si>
  <si>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</si>
  <si>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</si>
  <si>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</si>
  <si>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</si>
  <si>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</si>
  <si>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</si>
  <si>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</si>
  <si>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</si>
  <si>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</si>
  <si>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</si>
  <si>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</si>
  <si>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</si>
  <si>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</si>
  <si>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</si>
  <si>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</si>
  <si>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</si>
  <si>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</si>
  <si>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</si>
  <si>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</si>
  <si>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</si>
  <si>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</si>
  <si>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</si>
  <si>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</si>
  <si>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</si>
  <si>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</si>
  <si>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</si>
  <si>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</si>
  <si>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</si>
  <si>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</si>
  <si>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</si>
  <si>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</si>
  <si>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</si>
  <si>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</si>
  <si>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</si>
  <si>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</si>
  <si>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</si>
  <si>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</si>
  <si>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</si>
  <si>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</si>
  <si>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</si>
  <si>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</si>
  <si>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</si>
  <si>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</si>
  <si>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</si>
  <si>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</si>
  <si>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</si>
  <si>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</si>
  <si>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</si>
  <si>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</si>
  <si>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</si>
  <si>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</si>
  <si>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</si>
  <si>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</si>
  <si>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</si>
  <si>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</si>
  <si>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</si>
  <si>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</si>
  <si>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</si>
  <si>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</si>
  <si>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</si>
  <si>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</si>
  <si>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</si>
  <si>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</si>
  <si>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</si>
  <si>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</si>
  <si>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</si>
  <si>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</si>
  <si>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</si>
  <si>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</si>
  <si>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</si>
  <si>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</si>
  <si>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</si>
  <si>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</si>
  <si>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</si>
  <si>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</si>
  <si>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</si>
  <si>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</si>
  <si>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</si>
  <si>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</si>
  <si>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</si>
  <si>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</si>
  <si>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</si>
  <si>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</si>
  <si>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</si>
  <si>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</si>
  <si>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</si>
  <si>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</si>
  <si>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</si>
  <si>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</si>
  <si>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</si>
  <si>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</si>
  <si>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</si>
  <si>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</si>
  <si>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</si>
  <si>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</si>
  <si>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</si>
  <si>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</si>
  <si>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</si>
  <si>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</si>
  <si>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</si>
  <si>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</si>
  <si>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</si>
  <si>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</si>
  <si>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</si>
  <si>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</si>
  <si>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</si>
  <si>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</si>
  <si>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</si>
  <si>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</si>
  <si>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</si>
  <si>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</si>
  <si>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</si>
  <si>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</si>
  <si>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</si>
  <si>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</si>
  <si>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</si>
  <si>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</si>
  <si>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</si>
  <si>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</si>
  <si>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</si>
  <si>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</si>
  <si>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</si>
  <si>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</si>
  <si>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</si>
  <si>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</si>
  <si>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</si>
  <si>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</si>
  <si>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</si>
  <si>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</si>
  <si>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</si>
  <si>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</si>
  <si>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</si>
  <si>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</si>
  <si>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</si>
  <si>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</si>
  <si>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</si>
  <si>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</si>
  <si>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</si>
  <si>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</si>
  <si>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</si>
  <si>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</si>
  <si>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</si>
  <si>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</si>
  <si>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</si>
  <si>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</si>
  <si>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</si>
  <si>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</si>
  <si>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</si>
  <si>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</si>
  <si>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</si>
  <si>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</si>
  <si>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</si>
  <si>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</si>
  <si>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</si>
  <si>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</si>
  <si>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</si>
  <si>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</si>
  <si>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</si>
  <si>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</si>
  <si>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</si>
  <si>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</si>
  <si>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</si>
  <si>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</si>
  <si>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</si>
  <si>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</si>
  <si>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</si>
  <si>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</si>
  <si>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</si>
  <si>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</si>
  <si>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</si>
  <si>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</si>
  <si>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</si>
  <si>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</si>
  <si>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</si>
  <si>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</si>
  <si>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</si>
  <si>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</si>
  <si>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</si>
  <si>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</si>
  <si>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</si>
  <si>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</si>
  <si>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</si>
  <si>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</si>
  <si>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</si>
  <si>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</si>
  <si>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</si>
  <si>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</si>
  <si>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</si>
  <si>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</si>
  <si>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</si>
  <si>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</si>
  <si>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</si>
  <si>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</si>
  <si>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</si>
  <si>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</si>
  <si>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</si>
  <si>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</si>
  <si>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</si>
  <si>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</si>
  <si>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</si>
  <si>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</si>
  <si>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</si>
  <si>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</si>
  <si>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</si>
  <si>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</si>
  <si>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</si>
  <si>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</si>
  <si>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</si>
  <si>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</si>
  <si>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</si>
  <si>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</si>
  <si>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</si>
  <si>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</si>
  <si>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</si>
  <si>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</si>
  <si>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</si>
  <si>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</si>
  <si>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</si>
  <si>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</si>
  <si>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</si>
  <si>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</si>
  <si>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</si>
  <si>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</si>
  <si>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</si>
  <si>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</si>
  <si>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</si>
  <si>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</si>
  <si>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</si>
  <si>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</si>
  <si>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</si>
  <si>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</si>
  <si>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</si>
  <si>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</si>
  <si>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</si>
  <si>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</si>
  <si>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</si>
  <si>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</si>
  <si>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</si>
  <si>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</si>
  <si>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</si>
  <si>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</si>
  <si>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</si>
  <si>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</si>
  <si>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</si>
  <si>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</si>
  <si>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</si>
  <si>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</si>
  <si>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</si>
  <si>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</si>
  <si>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</si>
  <si>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</si>
  <si>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</si>
  <si>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</si>
  <si>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</si>
  <si>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</si>
  <si>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</si>
  <si>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</si>
  <si>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</si>
  <si>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</si>
  <si>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</si>
  <si>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</si>
  <si>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</si>
  <si>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</si>
  <si>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</si>
  <si>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</si>
  <si>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</si>
  <si>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</si>
  <si>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</si>
  <si>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</si>
  <si>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</si>
  <si>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</si>
  <si>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</si>
  <si>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</si>
  <si>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</si>
  <si>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</si>
  <si>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</si>
  <si>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</si>
  <si>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</si>
  <si>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</si>
  <si>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</si>
  <si>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</si>
  <si>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</si>
  <si>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</si>
  <si>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</si>
  <si>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</si>
  <si>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</si>
  <si>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</si>
  <si>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</si>
  <si>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</si>
  <si>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</si>
  <si>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</si>
  <si>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</si>
  <si>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</si>
  <si>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</si>
  <si>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</si>
  <si>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</si>
  <si>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</si>
  <si>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</si>
  <si>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</si>
  <si>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</si>
  <si>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</si>
  <si>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</si>
  <si>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</si>
  <si>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</si>
  <si>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</si>
  <si>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</si>
  <si>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</si>
  <si>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</si>
  <si>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</si>
  <si>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</si>
  <si>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</si>
  <si>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</si>
  <si>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</si>
  <si>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</si>
  <si>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</si>
  <si>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</si>
  <si>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</si>
  <si>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</si>
  <si>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</si>
  <si>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</si>
  <si>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</si>
  <si>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</si>
  <si>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</si>
  <si>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</si>
  <si>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</si>
  <si>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</si>
  <si>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</si>
  <si>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</si>
  <si>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</si>
  <si>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</si>
  <si>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</si>
  <si>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</si>
  <si>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</si>
  <si>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</si>
  <si>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</si>
  <si>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</si>
  <si>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</si>
  <si>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</si>
  <si>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</si>
  <si>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</si>
  <si>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</si>
  <si>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</si>
  <si>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</si>
  <si>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</si>
  <si>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</si>
  <si>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</si>
  <si>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</si>
  <si>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</si>
  <si>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</si>
  <si>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</si>
  <si>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</si>
  <si>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</si>
  <si>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</si>
  <si>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</si>
  <si>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</si>
  <si>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</si>
  <si>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</si>
  <si>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</si>
  <si>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</si>
  <si>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</si>
  <si>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</si>
  <si>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</si>
  <si>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</si>
  <si>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</si>
  <si>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</si>
  <si>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</si>
  <si>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</si>
  <si>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</si>
  <si>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</si>
  <si>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</si>
  <si>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</si>
  <si>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</si>
  <si>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</si>
  <si>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</si>
  <si>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</si>
  <si>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</si>
  <si>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</si>
  <si>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</si>
  <si>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</si>
  <si>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</si>
  <si>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</si>
  <si>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</si>
  <si>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</si>
  <si>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</si>
  <si>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</si>
  <si>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</si>
  <si>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</si>
  <si>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</si>
  <si>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</si>
  <si>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</si>
  <si>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</si>
  <si>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</si>
  <si>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</si>
  <si>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</si>
  <si>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</si>
  <si>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</si>
  <si>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</si>
  <si>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</si>
  <si>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</si>
  <si>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</si>
  <si>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</si>
  <si>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</si>
  <si>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</si>
  <si>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</si>
  <si>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Rising Himaji</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</si>
  <si>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</si>
  <si>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</si>
  <si>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</si>
  <si>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</si>
  <si>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</si>
  <si>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</si>
  <si>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</si>
  <si>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</si>
  <si>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</si>
  <si>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</si>
  <si>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</si>
  <si>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</si>
  <si>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</si>
  <si>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</si>
  <si>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</si>
  <si>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</si>
  <si>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Amoge</t>
  </si>
  <si>
    <t>Ahoge</t>
  </si>
  <si>
    <t>VET</t>
  </si>
  <si>
    <t>OK</t>
  </si>
  <si>
    <t>No</t>
  </si>
  <si>
    <t>Tanker 2</t>
  </si>
  <si>
    <t>Ramesh  Garg</t>
  </si>
  <si>
    <t>NONE</t>
  </si>
  <si>
    <t>Appreciate the hardwork and efforts put in by the Management team and the crew</t>
  </si>
  <si>
    <t>Dmoge</t>
  </si>
  <si>
    <t>Dhoge</t>
  </si>
  <si>
    <t>PSC</t>
  </si>
  <si>
    <t>PSC24</t>
  </si>
  <si>
    <t>Nil Observation</t>
  </si>
  <si>
    <t>Australia</t>
  </si>
  <si>
    <t>TANKER 2</t>
  </si>
  <si>
    <t>OIL/CHEM</t>
  </si>
  <si>
    <t>Exxon</t>
  </si>
  <si>
    <t>MKCA</t>
  </si>
  <si>
    <t>Panama</t>
  </si>
  <si>
    <t>ABS</t>
  </si>
  <si>
    <t>Cmoge</t>
  </si>
  <si>
    <t>Choge</t>
  </si>
  <si>
    <t>MMS</t>
  </si>
  <si>
    <t>MMS23</t>
  </si>
  <si>
    <t>MMS11</t>
  </si>
  <si>
    <t>Umang Singh Rawat</t>
  </si>
  <si>
    <t>MMS09</t>
  </si>
  <si>
    <t>MMS06</t>
  </si>
  <si>
    <t>MMS14</t>
  </si>
  <si>
    <t>Fmoge</t>
  </si>
  <si>
    <t>Fhoge</t>
  </si>
  <si>
    <t>Capt. S KUMAR</t>
  </si>
  <si>
    <t>EED-2021-01</t>
  </si>
  <si>
    <t>TP202001120210401134245</t>
  </si>
  <si>
    <t>Fortes  Navarro</t>
  </si>
  <si>
    <t>VET13</t>
  </si>
  <si>
    <t>Nil Observations</t>
  </si>
  <si>
    <t>CAPT. SUVRAT K. KHARE</t>
  </si>
  <si>
    <t>9882360_VET_20210118_01</t>
  </si>
  <si>
    <t>v55_2021/11/09 08:30:26</t>
  </si>
  <si>
    <t>EED-2021-02</t>
  </si>
  <si>
    <t>TP202001120210524121839</t>
  </si>
  <si>
    <t>Capt. Suvrat Khare</t>
  </si>
  <si>
    <t>9882360_PSC_20210409_01</t>
  </si>
  <si>
    <t>GoreBay</t>
  </si>
  <si>
    <t xml:space="preserve">Ajit Kumar </t>
  </si>
  <si>
    <t>Ramesh  Kumar Garg</t>
  </si>
  <si>
    <t>Dipanshu Arvind Patange</t>
  </si>
  <si>
    <t>v55_2021/11/09 08:30:27</t>
  </si>
  <si>
    <t>EED-2021-03</t>
  </si>
  <si>
    <t>TP202001120210414101450</t>
  </si>
  <si>
    <t>Emoge</t>
  </si>
  <si>
    <t>Ehoge</t>
  </si>
  <si>
    <t>Rahman, Md. Mijanur</t>
  </si>
  <si>
    <t>CLS</t>
  </si>
  <si>
    <t>CLS02</t>
  </si>
  <si>
    <t>Rest hour hour violation of Chief officer &amp; 2/Officer were noted at total 9 occasions during various operations in the month of March &amp; April 2021.</t>
  </si>
  <si>
    <t>Consecutive port operation, mooring operation  followed by tank washing. Chief officer &amp; 2-officer presence were must to ensure safe operation.</t>
  </si>
  <si>
    <t xml:space="preserve">This Major nonconformity was downgraded to a non-conformity upon immediate corrective action taken by the Master. Debriefing carried out_x000D_
on board immediately. Master provided Corrective action plan to prevent such re-occurrence of similar violation. _x000D_
</t>
  </si>
  <si>
    <t xml:space="preserve">Master and Chief Officer would coordinate_x000D_
ship operation activities more closely &amp; plan when Chief Officer`s presence would be necessary in CCR and accordingly plan rest hours in advance using Ship Time trax. Office to strictly monitor the work and rest hours of vessel on weekly basis. In case any deviation is expected with respect to operations to manage the rest hours of the crew, same would be notified to Company._x000D_
</t>
  </si>
  <si>
    <t xml:space="preserve">USR : Corrective action plan submitted to class and accepted. </t>
  </si>
  <si>
    <t xml:space="preserve">Corrective action plan submitted to class and accepted. </t>
  </si>
  <si>
    <t>v55_2021/11/09 08:30:28</t>
  </si>
  <si>
    <t>EED-2021-04</t>
  </si>
  <si>
    <t>TP202001120210524144506</t>
  </si>
  <si>
    <t>Gurprit Singh</t>
  </si>
  <si>
    <t>VET05</t>
  </si>
  <si>
    <t>Are crew members familiar with donning breathing apparatus and are fireman’s outfits in good order and ready for immediate use?_x000D_
_x000D_
One of the SCBA set was leaking at the connection to the BA cylinder, Leak corrected immediately. (Risk – 8)</t>
  </si>
  <si>
    <t xml:space="preserve">This is a fact stated. </t>
  </si>
  <si>
    <t>This is a fact stated. We wish to state that all LSA / FFA on our vessels are always well maintained, as per vessel’s specific PMS. _x000D_
_x000D_
During weekly inspection of LSA/FFA, which was carried out a day prior to the SIRE Inspection, SCBA Bottles were inspected, however, while transferring the SCBA set to its designated storage location, valve connecting the air bottle to the air supply hose got slightly loose, which caused this particular set to leak. _x000D_
As stated by inspector, this was rectified immediately._x000D_
_x000D_
We would also like to state that leak test is part of our standard donning procedures._x000D_
_x000D_
Preventive Action:_x000D_
Debriefing conducted by Master, concerned officer instructed to carry out weekly LSA/FFA checks diligently &amp; ensure that the SCBA sets are properly stowed. Leak test for all SCBA sets to be carried out once secured back in place._x000D_
_x000D_
Additionally, we have shared this information with the fleet for future compliance.</t>
  </si>
  <si>
    <t xml:space="preserve">Valve tightened and leak recitified. </t>
  </si>
  <si>
    <t>5.43</t>
  </si>
  <si>
    <t>9882360_VET_20210421_01</t>
  </si>
  <si>
    <t>Port Lincoln</t>
  </si>
  <si>
    <t>CHEM</t>
  </si>
  <si>
    <t>Ajit  Kumar</t>
  </si>
  <si>
    <t>v55_2021/11/09 08:30:29</t>
  </si>
  <si>
    <t>EED-2021-05</t>
  </si>
  <si>
    <t>TP202001120210605054003</t>
  </si>
  <si>
    <t>Chief Engineer</t>
  </si>
  <si>
    <t>AEQ</t>
  </si>
  <si>
    <t>AEQ06</t>
  </si>
  <si>
    <t xml:space="preserve">On 20th May/2021 at 01:07LT, MAC # 2 Äbnormal alarm” activated. On investigations, found that compressor tripped on Over load trip. Observed motor drawing very high current, abnormal sound from motor non-drive end and vibration. Compressor was stopped immediately. ._x000D_
Compressor turned by hand, found turning freely.  Upon dismantling the motor, it was observed that  rotor has shifted towards free end side and touched the end cover resulting in damage of rotor fins. Lot of metallic particles / powder found after opening the free end side cover. After removing the NDE bearing,  observed that Rotor was moving freely on rotor shaft and came out from shaft with gentle tap. _x000D_
There are lot of scratches on rotor as well internal dia of the rotor._x000D_
_x000D_
_x000D_
_x000D_
_x000D_
          _x000D_
</t>
  </si>
  <si>
    <t>Poor workmanship/ manufacturing defect</t>
  </si>
  <si>
    <t>Informed office. MAC # 1 Electrical circuit, Starter Contactor coil checked for resistance. Found all okay. Spare contactor identified and kept standby. RA prepared for "Operation &amp; Maneuvering with one compressor. Office informed Flag and received dispensation for damage to compressor. Short term conditional Cargo Ship Safety Construction Certificate taken from Class.</t>
  </si>
  <si>
    <t>New Motor received at Wellington. Same fitted and tried-out. Found working satisfactorily.This defect can be closed.</t>
  </si>
  <si>
    <t xml:space="preserve">USR : Unusual breakdown as rotor disconneted from shaft. Seems to be manufacturing defect. </t>
  </si>
  <si>
    <t xml:space="preserve">New motor procured and connected to the vessel at New Zealand. Fitted and working fine. </t>
  </si>
  <si>
    <t>2</t>
  </si>
  <si>
    <t>New Motor ordered by Office</t>
  </si>
  <si>
    <t>v55_2021/11/09 08:30:30</t>
  </si>
  <si>
    <t>EED-2021-06</t>
  </si>
  <si>
    <t>TP202001120210720233343</t>
  </si>
  <si>
    <t>MEN</t>
  </si>
  <si>
    <t>MEN03</t>
  </si>
  <si>
    <t>ME Unit#4 bottom piston ring found broken.</t>
  </si>
  <si>
    <t>Material Failure</t>
  </si>
  <si>
    <t>Reported to office. Every port piston ring &amp; liner inspected.</t>
  </si>
  <si>
    <t>Piston removed , all old piston rings removed and all piston rings replaced with new  ALUCOATED piston rings. Piston &amp; Liner inspectin &amp; Calibration carried out ,all found satisfactory. ME working satisfactory.This defect can be closed.</t>
  </si>
  <si>
    <t>23.9</t>
  </si>
  <si>
    <t xml:space="preserve">USR : Maker's SE attended at Singapore and found no issues as such but 4th piston ring was broken. Advised to replace at earliest. </t>
  </si>
  <si>
    <t xml:space="preserve">Piston rings renewed with new rings. </t>
  </si>
  <si>
    <t>v55_2021/11/09 08:30:31</t>
  </si>
  <si>
    <t>EED-2021-07</t>
  </si>
  <si>
    <t>TP202001120210916111802</t>
  </si>
  <si>
    <t>Capt. Suvrat Khare / Umang Singh Rawat</t>
  </si>
  <si>
    <t>MMS18</t>
  </si>
  <si>
    <t>For Manifold draining half cut plastic drum were used. As per VIQ 6.6 the use of plastic should be avoided unless provision for bonding is made.</t>
  </si>
  <si>
    <t>Overlook by vessel.</t>
  </si>
  <si>
    <t>All plastics drums were removed immediately .</t>
  </si>
  <si>
    <t>2 Nos Metal half drums were fabricated .This observation may be closed .</t>
  </si>
  <si>
    <t xml:space="preserve">USR: Staff advised on this and metal drums put in use. </t>
  </si>
  <si>
    <t xml:space="preserve">USR : Metal drums put in use/ </t>
  </si>
  <si>
    <t>9882360_SI_20210521_01</t>
  </si>
  <si>
    <t>v55_2021/11/09 08:30:32</t>
  </si>
  <si>
    <t>EED-2021-08</t>
  </si>
  <si>
    <t>TP202001120210916111803</t>
  </si>
  <si>
    <t>Anti-pollution warning notice posted for the overboard valve for Annex 1 &amp; Annex 2 on main deck needs replacement. As per VIQ 6.4 Anti pullution warning notice shall be posted in the vicinity of the ovbd. Valves.</t>
  </si>
  <si>
    <t>Overlook by vessel .</t>
  </si>
  <si>
    <t>Anti pullution warning notice shall be posted in the vicinity of the ovbd. Valves</t>
  </si>
  <si>
    <t>Anti pullution warning notice  posted in the vicinity of the ovbd. Valves .This observation may be closed .</t>
  </si>
  <si>
    <t xml:space="preserve">Poster put in place. </t>
  </si>
  <si>
    <t>v55_2021/11/09 08:30:33</t>
  </si>
  <si>
    <t>EED-2021-09</t>
  </si>
  <si>
    <t>TP202001120210916111804</t>
  </si>
  <si>
    <t xml:space="preserve">No ETB Manual was found to be located in the CCR. As per VIQ 9.29 ETB copies to be located in Bridge,CCR/Ships office &amp; Foc`sle space </t>
  </si>
  <si>
    <t>ETB Manual WAS PLACED Bridge,CCR/Ships office &amp; Foc`sle space .</t>
  </si>
  <si>
    <t>ETB Manual WAS PLACED Bridge,CCR/Ships office &amp; Foc`sle space .This defect may be closed .</t>
  </si>
  <si>
    <t>USR: Vessel is newly delivered and this was missed out by staff. The manual was placed at the required locations once they were appraised of this.</t>
  </si>
  <si>
    <t>The manual was placed at the required locations once they were appraised of this.</t>
  </si>
  <si>
    <t>v55_2021/11/09 08:30:34</t>
  </si>
  <si>
    <t>TP202001120210916111805</t>
  </si>
  <si>
    <t>EED-2021-10</t>
  </si>
  <si>
    <t>Although vessel has marked Snap back zones on mooring stations. The snap back zone needs to be highlighted more promptly to be easily discovered as hazardeous area.</t>
  </si>
  <si>
    <t>Upgradation of vessel .</t>
  </si>
  <si>
    <t>Vessel planned to mark snap back zones more promptly .</t>
  </si>
  <si>
    <t xml:space="preserve">Marking of  snap back zones done for better identification .This defect may be closed. </t>
  </si>
  <si>
    <t>USR: Markings done</t>
  </si>
  <si>
    <t>Markings done</t>
  </si>
  <si>
    <t>v55_2021/11/09 08:30:35</t>
  </si>
  <si>
    <t>TP202001120210916111806</t>
  </si>
  <si>
    <t>EED-2021-11</t>
  </si>
  <si>
    <t>Greasing points of the mooring winch needs to be numbered and total number of greasing points to be stenciled on the all the mooring winches &amp; windlass.</t>
  </si>
  <si>
    <t>Planned to mark total no. of grese points .</t>
  </si>
  <si>
    <t>All winches marked with total grease points on each winch .This defect may be closed .</t>
  </si>
  <si>
    <t>USR : All winches marked with total grease points on each winch .</t>
  </si>
  <si>
    <t>All winches marked with total grease points on each winch .</t>
  </si>
  <si>
    <t>v55_2021/11/09 08:30:36</t>
  </si>
  <si>
    <t>TP202001120210916111807</t>
  </si>
  <si>
    <t>EED-2021-12</t>
  </si>
  <si>
    <t>No IMO symbol found in one of the Upper deck smoke detector</t>
  </si>
  <si>
    <t>Overlook by Vessel</t>
  </si>
  <si>
    <t>IMO symbol posted at Upper deck smoke detector location .</t>
  </si>
  <si>
    <t>v55_2021/11/09 08:30:37</t>
  </si>
  <si>
    <t>TP202001120210916111808</t>
  </si>
  <si>
    <t>EED-2021-13</t>
  </si>
  <si>
    <t xml:space="preserve">Old revision of ECP-03-00A Checklist was posted in the Muster list. </t>
  </si>
  <si>
    <t xml:space="preserve">New revision of ECP-03-00A Checklist will be posted in the Muster list. </t>
  </si>
  <si>
    <t xml:space="preserve">New revision of ECP-03-00A Checklist posted in the Muster list. </t>
  </si>
  <si>
    <t>v55_2021/11/09 08:30:38</t>
  </si>
  <si>
    <t>TP202001120210916111809</t>
  </si>
  <si>
    <t>EED-2021-14</t>
  </si>
  <si>
    <t>MMS07</t>
  </si>
  <si>
    <t>Fire Extiguisher in the deck store was not inspected for the Month of April 2021.</t>
  </si>
  <si>
    <t>Overlook by vessel</t>
  </si>
  <si>
    <t>Fire Extiguisher in the deck store will be  inspected for the Month of April 2021.</t>
  </si>
  <si>
    <t>Fire Extiguisher in the deck store inspected for the Month of April 2021.This defect may be closed .</t>
  </si>
  <si>
    <t xml:space="preserve">USR: Staff advised and inspection done. </t>
  </si>
  <si>
    <t xml:space="preserve">Staff advised and inspection done. </t>
  </si>
  <si>
    <t>v55_2021/11/09 08:30:39</t>
  </si>
  <si>
    <t>TP202001120210916111810</t>
  </si>
  <si>
    <t>EED-2021-15</t>
  </si>
  <si>
    <t>Missing deck log book entry for weekly inspection for Lifeboats &amp; checking the movement from their stowed position without any person onboard.</t>
  </si>
  <si>
    <t>Same entries will be done .</t>
  </si>
  <si>
    <t>All enteries made and will comply further .This Defect may be closed.</t>
  </si>
  <si>
    <t xml:space="preserve">USR : staff advised to ensure inspections done as required and entries also made in time. </t>
  </si>
  <si>
    <t>v55_2021/11/09 08:30:40</t>
  </si>
  <si>
    <t>TP202001120210916111811</t>
  </si>
  <si>
    <t>EED-2021-16</t>
  </si>
  <si>
    <t>MMS15</t>
  </si>
  <si>
    <t>ECDIS # 2 breaker not marked on bridge distribution panel.</t>
  </si>
  <si>
    <t>ECDIS # 2 breaker marked on bridge distribution panel .</t>
  </si>
  <si>
    <t>ECDIS # 2 breaker marked on bridge distribution panel .This defect may be closed .</t>
  </si>
  <si>
    <t xml:space="preserve">ECDIS # 2 breaker marked on bridge distribution panel </t>
  </si>
  <si>
    <t>v55_2021/11/09 08:30:41</t>
  </si>
  <si>
    <t>TP202001120210916111812</t>
  </si>
  <si>
    <t>EED-2021-17</t>
  </si>
  <si>
    <t>BDP 03-30B(Master Pilot Information Checklist) incomplete. Anchor Shop Test Result not entered.</t>
  </si>
  <si>
    <t>BDP 03-30B(Master Pilot Information Checklist)  Anchor Shop Test Result entered.</t>
  </si>
  <si>
    <t>BDP 03-30B(Master Pilot Information Checklist)  Anchor Shop Test Result entered.This defect may be closed .</t>
  </si>
  <si>
    <t xml:space="preserve">USR : Anchor shop test result entered in the checklist. </t>
  </si>
  <si>
    <t xml:space="preserve">Anchor shop test result entered in the checklist. </t>
  </si>
  <si>
    <t>v55_2021/11/09 08:30:42</t>
  </si>
  <si>
    <t>TP202001120210916111813</t>
  </si>
  <si>
    <t>EED-2021-18</t>
  </si>
  <si>
    <t xml:space="preserve">	Emergency steering motor not marked on Bridge Auto pilot console.</t>
  </si>
  <si>
    <t>Overlook by Vessel .</t>
  </si>
  <si>
    <t>Emergency steering motor  marked on Bridge Auto pilot console.</t>
  </si>
  <si>
    <t>Emergency steering motor  marked on Bridge Auto pilot console.This defect may be closed .</t>
  </si>
  <si>
    <t>USR : Emergency steering motor  marked on Bridge Auto pilot console</t>
  </si>
  <si>
    <t>Emergency steering motor  marked on Bridge Auto pilot console</t>
  </si>
  <si>
    <t>v55_2021/11/09 08:30:43</t>
  </si>
  <si>
    <t>TP202001120210916111814</t>
  </si>
  <si>
    <t>EED-2021-19</t>
  </si>
  <si>
    <t xml:space="preserve">	Emergency steering drill date not posted on Bridge Auto pilot console.</t>
  </si>
  <si>
    <t>Emergency steering drill date  posted on Bridge Auto pilot console.</t>
  </si>
  <si>
    <t>Emergency steering drill date  posted on Bridge Auto pilot console.This defect may be closed .</t>
  </si>
  <si>
    <t>v55_2021/11/09 08:30:44</t>
  </si>
  <si>
    <t>TP202001120210916111815</t>
  </si>
  <si>
    <t>EED-2021-20</t>
  </si>
  <si>
    <t>No record found for May 2021 hospital alarm trying out in Deck Log Book.</t>
  </si>
  <si>
    <t>Hospital alarm tried  out and record maintained .</t>
  </si>
  <si>
    <t>Hospital alarm tried  out and record maintained .This defect may be closed .</t>
  </si>
  <si>
    <t xml:space="preserve">USR: Staff advised that this alarm is to be tested regularly. Alarm was tested and record maintained. </t>
  </si>
  <si>
    <t>v55_2021/11/09 08:30:45</t>
  </si>
  <si>
    <t>TP202001120210916111816</t>
  </si>
  <si>
    <t>EED-2021-21</t>
  </si>
  <si>
    <t>Minor Grade L.O. Pails kept on deck in steering room. Suitable racks fabrication in progress.</t>
  </si>
  <si>
    <t>Overlook by Vessel.</t>
  </si>
  <si>
    <t>Fabrication of new rack planned .</t>
  </si>
  <si>
    <t>New Rack fabricated and LO Pails arranged in Rack.This defect may be closed.</t>
  </si>
  <si>
    <t>USR : New Rack fabricated and LO Pails arranged properly</t>
  </si>
  <si>
    <t>v55_2021/11/09 08:30:46</t>
  </si>
  <si>
    <t>TP202001120210916111817</t>
  </si>
  <si>
    <t>EED-2021-22</t>
  </si>
  <si>
    <t>Few Spare/ stores boxes/ cartons kept on deck in transformer room. Plan to fabricate suitable metal racks and fix</t>
  </si>
  <si>
    <t>Plan to fabricate suitable metal racks and fix Same.</t>
  </si>
  <si>
    <t>Fabricated metal rack and  Same arranged .This defect may be closed .</t>
  </si>
  <si>
    <t xml:space="preserve">USR : Rack fabricated and spares arranged. </t>
  </si>
  <si>
    <t>v55_2021/11/09 08:30:47</t>
  </si>
  <si>
    <t>TP202001120210916111818</t>
  </si>
  <si>
    <t>EED-2021-23</t>
  </si>
  <si>
    <t>MSDS for  Sodium Hypochlorite (NORCHEM chemicals) not available. This Chemical was received on 09/May/2021</t>
  </si>
  <si>
    <t xml:space="preserve">Overlook by vessel </t>
  </si>
  <si>
    <t>MSDS for  Sodium Hypochlorite (NORCHEM chemicals) will be posted in place .</t>
  </si>
  <si>
    <t>MSDS for  Sodium Hypochlorite (NORCHEM chemicals)  posted in place .This defect may be closed .</t>
  </si>
  <si>
    <t xml:space="preserve">USR :  MSDS provided to vessel and printout of same put in place. </t>
  </si>
  <si>
    <t>v55_2021/11/09 08:30:48</t>
  </si>
  <si>
    <t>TP202001120210916111819</t>
  </si>
  <si>
    <t>EED-2021-24</t>
  </si>
  <si>
    <t>Fuel Change-over procedures are not company approved. Same will be sent to office for Tech PIC approval</t>
  </si>
  <si>
    <t>Procedure will be sent to fooce for approval .</t>
  </si>
  <si>
    <t>Fuel Change-over procedures approved by Tech PIC .This defect may be closed.</t>
  </si>
  <si>
    <t>USR: Changeover procedures reviewed and approved by office.</t>
  </si>
  <si>
    <t>v55_2021/11/09 08:30:49</t>
  </si>
  <si>
    <t>TP202001120210916111820</t>
  </si>
  <si>
    <t>EED-2021-25</t>
  </si>
  <si>
    <t>E/R tank top floor plate hinge welding broken. Plan to take HW permit approval</t>
  </si>
  <si>
    <t>Same planned to fabricate .</t>
  </si>
  <si>
    <t>E/R tank top floor plate hinge Fabricated .This defect may be closed.</t>
  </si>
  <si>
    <t xml:space="preserve">USR : Plate repaired and fitted. </t>
  </si>
  <si>
    <t>v55_2021/11/09 08:30:50</t>
  </si>
  <si>
    <t>TP202001120210916111821</t>
  </si>
  <si>
    <t>EED-2021-26</t>
  </si>
  <si>
    <t>Old revision of SMP-14-01B Checklist was posted in crew change room</t>
  </si>
  <si>
    <t>New SMP-14-01B Checklist was posted in crew change room .</t>
  </si>
  <si>
    <t>New SMP-14-01B Checklist was posted in crew change room .This defect may be closed .</t>
  </si>
  <si>
    <t xml:space="preserve">New SMP-14-01B Checklist was posted in crew change room </t>
  </si>
  <si>
    <t>v55_2021/11/09 08:30:51</t>
  </si>
  <si>
    <t>TP202001120210916111822</t>
  </si>
  <si>
    <t>EED-2021-27</t>
  </si>
  <si>
    <t>Electric shock treatment poster not available near designate Hot Work Area.</t>
  </si>
  <si>
    <t>New Poster was placed near designate Hot Work Area.</t>
  </si>
  <si>
    <t>New Poster was placed near designate Hot Work Area.This defect may be closed.</t>
  </si>
  <si>
    <t>v55_2021/11/09 08:30:52</t>
  </si>
  <si>
    <t>TP202001120210721124708</t>
  </si>
  <si>
    <t>EED-2021-28</t>
  </si>
  <si>
    <t>Suvrat Khare</t>
  </si>
  <si>
    <t>9882360_PSC_20210708_01</t>
  </si>
  <si>
    <t>Guam</t>
  </si>
  <si>
    <t xml:space="preserve">  </t>
  </si>
  <si>
    <t>v55_2021/11/09 08:30:53</t>
  </si>
  <si>
    <t>TP202001120210720235301</t>
  </si>
  <si>
    <t>EED-2021-29</t>
  </si>
  <si>
    <t>ELC</t>
  </si>
  <si>
    <t>ELC07</t>
  </si>
  <si>
    <t>WAC motor found not working due to poor winding insulation &amp; contactor damage.</t>
  </si>
  <si>
    <t>Poor quality of  motor and/or contactor.</t>
  </si>
  <si>
    <t>Office informed &amp; GC raised for Motor and Contactor.</t>
  </si>
  <si>
    <t>New Motor &amp; contactor received at Yosu on 19th Jul 2021. Job planned. Motor replaced with new motor &amp; all contactor replaced with new one . WAC working satisfactory.This defect can be closed.</t>
  </si>
  <si>
    <t xml:space="preserve">USR : New motor supplied on board under GC. Please update once renewed. </t>
  </si>
  <si>
    <t>USR 28/07/21: Motor replaced with new motor &amp; all contactor replaced with new one . WAC working satisfactory.</t>
  </si>
  <si>
    <t>v55_2021/11/09 08:30:54</t>
  </si>
  <si>
    <t>TP202001120210720234312</t>
  </si>
  <si>
    <t>EED-2021-30</t>
  </si>
  <si>
    <t>No:2 steering Gear Motor bearing making noise.</t>
  </si>
  <si>
    <t>Poor quality of bearing</t>
  </si>
  <si>
    <t>Bridge advised to use No:2 Steering motor minimum, during maneauvering &amp; restricted navigation,till overhauling the motor.</t>
  </si>
  <si>
    <t>Motor overhauled with new bearings. Now working satisfactory.This defect can be closed.</t>
  </si>
  <si>
    <t xml:space="preserve">USR : NDE bearing was making some noise. Vessel identified it early and renewed. </t>
  </si>
  <si>
    <t xml:space="preserve">Motor overhauled. Bearings renewed. </t>
  </si>
  <si>
    <t>v55_2021/11/09 08:30:55</t>
  </si>
  <si>
    <t>TP202001120210803021206</t>
  </si>
  <si>
    <t>EED-2021-31</t>
  </si>
  <si>
    <t>Capt Satish Kumar</t>
  </si>
  <si>
    <t>NEQ</t>
  </si>
  <si>
    <t>NEQ04</t>
  </si>
  <si>
    <t>No records found onboard for 3 monthly DSC test to be carried out with shore on DC power source.</t>
  </si>
  <si>
    <t>Lack of knowledge &amp; In effective Monitoring of  GMDSS Test requirement.</t>
  </si>
  <si>
    <t>Vessel continuously carrying out DSC test on DC Power source with Honolulu JRCC, Pt Reyes &amp; other US coast Stations. on various frequencing &amp; still awaiting acknowledgement.</t>
  </si>
  <si>
    <t>DSC Test Conducted successfully and acknowledgement received from Station PT Reyes on 4 MHz frequency on DC Power.This defect can be closed .</t>
  </si>
  <si>
    <t>DSC Test Conducted successfully</t>
  </si>
  <si>
    <t>v55_2021/11/09 08:30:56</t>
  </si>
  <si>
    <t>EED-2021-032</t>
  </si>
  <si>
    <t>TP202001120211005205511</t>
  </si>
  <si>
    <t>Mr.Umang Singh Rawat</t>
  </si>
  <si>
    <t>Stbd accomodation ladder footboard stanchion locking pin broken</t>
  </si>
  <si>
    <t>Negligence and overlook.</t>
  </si>
  <si>
    <t>Damaged stanchion was replaced .</t>
  </si>
  <si>
    <t>Locking pin fabricated on stanchion .This defect may be closed .</t>
  </si>
  <si>
    <t xml:space="preserve">USR : pin had broken off in use. </t>
  </si>
  <si>
    <t xml:space="preserve">USR : Locking pin fabricated on stanchion </t>
  </si>
  <si>
    <t>9882360_SI_20210924_01</t>
  </si>
  <si>
    <t>v55_2021/11/09 08:30:57</t>
  </si>
  <si>
    <t>PSC04 Others of Navigation Equipments</t>
  </si>
  <si>
    <t>EED-2021-033</t>
  </si>
  <si>
    <t>TP202001120211005205513</t>
  </si>
  <si>
    <t>Stbd accomodation ladder top stanchion bent</t>
  </si>
  <si>
    <t>Lack of safe mind and poor seamanship</t>
  </si>
  <si>
    <t>Bent stanchion was replaced with spare .</t>
  </si>
  <si>
    <t>Bent stanchion was straightened. Other stanchions were visually inspected and found in good condition.This defect may be closed .</t>
  </si>
  <si>
    <t>USR: Stanchion bent in service</t>
  </si>
  <si>
    <t>USR: Bent stanchion was straightened. Other stanchions were visually inspected and found in good condition.</t>
  </si>
  <si>
    <t>v55_2021/11/09 08:30:58</t>
  </si>
  <si>
    <t>EED-2021-034</t>
  </si>
  <si>
    <t>TP202001120211005205514</t>
  </si>
  <si>
    <t>MMS03</t>
  </si>
  <si>
    <t>Crew smoke room fire door not closing properly / positively</t>
  </si>
  <si>
    <t xml:space="preserve">Crew smoke room fire door, door closer was adjusted for positive closing. </t>
  </si>
  <si>
    <t>NA .This defect may be closed .</t>
  </si>
  <si>
    <t>USR: Fire door closer not adjusted properly.</t>
  </si>
  <si>
    <t>USR: Door closer adjusted and door closing properly.</t>
  </si>
  <si>
    <t>Umang Signh Rawat</t>
  </si>
  <si>
    <t>v55_2021/11/09 08:30:59</t>
  </si>
  <si>
    <t>EED-2021-035</t>
  </si>
  <si>
    <t>TP202001120211005205516</t>
  </si>
  <si>
    <t xml:space="preserve">Waste cooking oil pail in galley not selaed. Funnel was fitted on top and left open. Pail was secured besides heat source / oven. </t>
  </si>
  <si>
    <t>Complacecny</t>
  </si>
  <si>
    <t>The funnel was removed and opening was secured by the lid. The pail was shifted to safe location and secured.</t>
  </si>
  <si>
    <t>NA .This defect may be closed.</t>
  </si>
  <si>
    <t xml:space="preserve">USR: Complacency. Was recitifed immediately. </t>
  </si>
  <si>
    <t>USR : The funnel was removed and opening was secured by the lid. The pail was shifted to safe location and secured.</t>
  </si>
  <si>
    <t>v55_2021/11/09 08:31:00</t>
  </si>
  <si>
    <t>EED-2021-036</t>
  </si>
  <si>
    <t>TP202001120211005205518</t>
  </si>
  <si>
    <t xml:space="preserve">ODME overboard hydraulic valve sight glass painted over. </t>
  </si>
  <si>
    <t>Negligence.</t>
  </si>
  <si>
    <t>Paint was removed from sight glass.</t>
  </si>
  <si>
    <t xml:space="preserve">USR : this must have been since yard and not checked by anyone. </t>
  </si>
  <si>
    <t xml:space="preserve">USR : Paint was removed from the sight glass. </t>
  </si>
  <si>
    <t>v55_2021/11/09 08:31:01</t>
  </si>
  <si>
    <t>EED-2021-037</t>
  </si>
  <si>
    <t>TP202001120211005205519</t>
  </si>
  <si>
    <t xml:space="preserve">Port pilot ladder hoisting winch gear oil emusified. To be renewed. </t>
  </si>
  <si>
    <t>Overlook.</t>
  </si>
  <si>
    <t>Renewal of gear  oil in Port pilot ladder hoisting planned after sailing .</t>
  </si>
  <si>
    <t>Winch gear oil of both pilot ladder reel was renewed.This defect may be closed .</t>
  </si>
  <si>
    <t>USR : Oil needed renewal</t>
  </si>
  <si>
    <t>USR: Winch gear oil of both pilot ladder reel was renewed.</t>
  </si>
  <si>
    <t>v55_2021/11/09 08:31:02</t>
  </si>
  <si>
    <t>EED-2021-038</t>
  </si>
  <si>
    <t>TP202001120211005205521</t>
  </si>
  <si>
    <t xml:space="preserve">Ballast pump cofferdams level upto max. Level not marked. As per Framo purging form need to mark max, min and maintain in between. </t>
  </si>
  <si>
    <t>Lack of knowledge</t>
  </si>
  <si>
    <t>Same will be carried out after sailing .</t>
  </si>
  <si>
    <t xml:space="preserve">The marking of High, Normal and Low was carried out. The measuring scale was also marked on the header tanks for ease of checking and recording of liquid level in Framo purging form.   This defect may be closed. </t>
  </si>
  <si>
    <t>USR : Markings made</t>
  </si>
  <si>
    <t>v55_2021/11/09 08:31:03</t>
  </si>
  <si>
    <t>EED-2021-039</t>
  </si>
  <si>
    <t>TP202001120211005205522</t>
  </si>
  <si>
    <t>MMS13</t>
  </si>
  <si>
    <t xml:space="preserve">Winches gear box oil level too high. Nearly full. </t>
  </si>
  <si>
    <t>Vessel will plan to inspect all winches and adjust oil level .</t>
  </si>
  <si>
    <t>Exess oil drained from gear box of three winches  .This defect may be closed .</t>
  </si>
  <si>
    <t xml:space="preserve">USR : Excess oil drained and level corrected. </t>
  </si>
  <si>
    <t>v55_2021/11/09 08:31:04</t>
  </si>
  <si>
    <t>EED-2021-040</t>
  </si>
  <si>
    <t>TP202001120211005205524</t>
  </si>
  <si>
    <t>Rubber to be fixed on the support frames for Framo hoses kept in forecastle store.</t>
  </si>
  <si>
    <t>Negligence</t>
  </si>
  <si>
    <t>Same will be fitted to frames for support of Framo hoses .</t>
  </si>
  <si>
    <t>Rubber matting was fixed for support of Framo hose.This defect may be closed.</t>
  </si>
  <si>
    <t>USR : Rubber matting was fixed for support of Framo hose</t>
  </si>
  <si>
    <t>v55_2021/11/09 08:31:05</t>
  </si>
  <si>
    <t>EED-2021-041</t>
  </si>
  <si>
    <t>TP202001120211005205525</t>
  </si>
  <si>
    <t xml:space="preserve">Battery cover / personnel protection plate to fabricate and fix for Emgy G/E starting batteries. </t>
  </si>
  <si>
    <t>Design fault</t>
  </si>
  <si>
    <t>Personnel protection plate fabricated and fixed in place.</t>
  </si>
  <si>
    <t>This defect can be closed</t>
  </si>
  <si>
    <t xml:space="preserve">USR : Deficient design. </t>
  </si>
  <si>
    <t>USR : Personnel protection plate fabricated and fixed in place.</t>
  </si>
  <si>
    <t>v55_2021/11/09 08:31:06</t>
  </si>
  <si>
    <t>EED-2021-042</t>
  </si>
  <si>
    <t>TP202001120211005205526</t>
  </si>
  <si>
    <t>220 &amp; 440 V low insulation alarms both set at 0.7 Mohms. Should be set to higher.</t>
  </si>
  <si>
    <t>overlooked by vessel</t>
  </si>
  <si>
    <t>220V low insulation alarm set at 2Mohm and 440V low insulation alarm set at 5Mohm.</t>
  </si>
  <si>
    <t>USR : Alarm limits set incorrectly.</t>
  </si>
  <si>
    <t>USR : 220V low insulation alarm set at 2Mohm and 440V low insulation alarm set at 5Mohm.</t>
  </si>
  <si>
    <t>v55_2021/11/09 08:31:07</t>
  </si>
  <si>
    <t>EED-2021-043</t>
  </si>
  <si>
    <t>TP202001120211005205528</t>
  </si>
  <si>
    <t xml:space="preserve">L/B spares and tools kept in cardboard box. New, proper arrangement to be made. </t>
  </si>
  <si>
    <t>overlook by vessel.</t>
  </si>
  <si>
    <t>Metal  spare box kept  for Port and Stbd lifeboat spares and tools.</t>
  </si>
  <si>
    <t xml:space="preserve">USR : Spares boxed made and placed. </t>
  </si>
  <si>
    <t>v55_2021/11/09 08:31:08</t>
  </si>
  <si>
    <t>EED-2021-044</t>
  </si>
  <si>
    <t>TP202001120211005205530</t>
  </si>
  <si>
    <t>MAC spare motor securing to made.</t>
  </si>
  <si>
    <t>New securing stand fabricated and Motor secured in place</t>
  </si>
  <si>
    <t>USR: New securing stand fabricated and Motor secured in place</t>
  </si>
  <si>
    <t>v55_2021/11/09 08:31:09</t>
  </si>
  <si>
    <t>EED-2021-045</t>
  </si>
  <si>
    <t>TP202001120211005205532</t>
  </si>
  <si>
    <t xml:space="preserve">Jubilee clips used to clamp gas torch to hose. Ear clamps to be used. </t>
  </si>
  <si>
    <t>Overlook by vessel. No spare Ear Clamp available onboard.</t>
  </si>
  <si>
    <t>Requisition will be raised for new Ear Clamp.</t>
  </si>
  <si>
    <t>EED-2021-046</t>
  </si>
  <si>
    <t>TP202001120211005205533</t>
  </si>
  <si>
    <t xml:space="preserve">A/E alternator pedetal bearings oil level too high, nearly full. </t>
  </si>
  <si>
    <t>overlooked by vessel.</t>
  </si>
  <si>
    <t>No:1 &amp;2 alternator bearing LO drained to correct level, so that it can visible during alternator operation.</t>
  </si>
  <si>
    <t xml:space="preserve">USR : Oil drained and level corrected. </t>
  </si>
  <si>
    <t>na</t>
  </si>
  <si>
    <t>v55_2021/12/07 10:42:00</t>
  </si>
  <si>
    <t>TP202001120211207104904</t>
  </si>
  <si>
    <t>EED-2021-047</t>
  </si>
  <si>
    <t>9882360_VET_20210924_01</t>
  </si>
  <si>
    <t>Francis Rodrigues</t>
  </si>
  <si>
    <t>4.19</t>
  </si>
  <si>
    <t>Echo Sounder was on Phasing range of 40 mtrs ,there is no 50 mtrs range on Echo sounder ,Echo sounder was on 40 mtrs range as only last 2 miles of leg to berth depth was abt 15 mtrs ,other wise depth range was abt 25 mtrs + tide of +/6 mtrs .</t>
  </si>
  <si>
    <t>TAM</t>
  </si>
  <si>
    <t>MR. UMANG SINGH RAWAT</t>
  </si>
  <si>
    <t>Ranjit  Kumar</t>
  </si>
  <si>
    <t>KUTTYATTU  BHANDARAPURAYIL  NARAYANAN</t>
  </si>
  <si>
    <t>RAMESH  JOTIRAM KHAMKAR</t>
  </si>
  <si>
    <t>India</t>
  </si>
  <si>
    <t>Hazira</t>
  </si>
  <si>
    <t>OIL</t>
  </si>
  <si>
    <t>Capt. Shashank Goel</t>
  </si>
  <si>
    <t>TP202001120211207104905</t>
  </si>
  <si>
    <t>EED-2021-048</t>
  </si>
  <si>
    <t>5.29</t>
  </si>
  <si>
    <t>This is fact and boat weight was on falls as it was missed by vessel after last lowering of life boat .</t>
  </si>
  <si>
    <t>The echo sounder was on a phasing range of 50 mtrs in 15 mtrs depth_x000D_
on arrival. Vessels draft was 9.5 mtrs</t>
  </si>
  <si>
    <t>This is a fact stated, Echo Sounder was confirmed working in good condition and showing correct depth / UKC at berth during the inspection. While the vessel was in channel depth range was about 25mtrs + tide of 6 mtrs therefore 50mtr range scale was set on the Echo sounder and as part of our company procedure observed UKC was also logged continuously in the logbook. Switching to lower range scale of 20mtr was inadvertently missed out by the duty officer in the last 2 miles of the leg to berth where depth was abt 15 mtrs. The bridge team has been thoroughly briefed on correct setting on Echo sounder by the Master or otherwise to be kept on ‘AUTO’ to avoid incorrect selection of scale_x000D_
_x000D_
As part of our information sharing process, this observation has been shared with all fleet vessels</t>
  </si>
  <si>
    <t>The port and stb lifeboat weight was on the fall wires in stowed_x000D_
position and the floating block was not resting on the davit hook.</t>
  </si>
  <si>
    <t>This is a fact stated. As part of the weekly routine job Lifeboats were moved from of their stowed position before the date of inspection. As part of Company and manufacturer’s guidelines Lifeboat weight should be removed from the falls and floating falls by resting the boat on the Davit hooks to prevent any damage to falls during vessel’s movement. It was inadvertently missed out by the crew while securing the boat. During SIRE inspection slight gap was noted between the floating block and Davit Hook which was corrected prior vessel’s departure from port. This would also have been identified and corrected during the next weekly inspection. Safety meeting was conducted, and all crew were briefed about the same._x000D_
_x000D_
As part of our information sharing process, this observation has been shared with all fleet vessels</t>
  </si>
  <si>
    <t>The bridge team has been thoroughly briefed on correct setting on Echo sounder by the Master or otherwise to be kept on ‘AUTO’ to avoid incorrect selection of scale_x000D_
_x000D_
As part of our information sharing process, this observation has been shared with all fleet vessels</t>
  </si>
  <si>
    <t>v55_2021/12/07 2:33:33 PM</t>
  </si>
  <si>
    <t>Safety meeting was conducted, and all crew were briefed about shting weight from falls to davit horn. _x000D_
_x000D_
As part of our information sharing process, this observation has been shared with all fleet vessels</t>
  </si>
  <si>
    <t>v55_2021/12/07 2:35:10 PM</t>
  </si>
  <si>
    <t>VET04</t>
  </si>
  <si>
    <t>TP202001120211211075539</t>
  </si>
  <si>
    <t>EED-2021-049</t>
  </si>
  <si>
    <t>K B narayanan CE</t>
  </si>
  <si>
    <t xml:space="preserve">While starting No:1 HFO purifier abnormal noise noticed so Purifier opened up for inspection, found that following parts damaged:_x000D_
1.Light liquid chamber-broken into pieces_x000D_
2.Heavy liquid impeller -cracked _x000D_
3.Light liquid impeller – stuck with heavy liquid impeller_x000D_
4.Gravity disc- deformed_x000D_
</t>
  </si>
  <si>
    <t>While assembly Heavy liquid impeller not seated properly, stuck in slightly tilted position. This led to unbalancing, vibration of Light &amp; heavy liquid impeller , and finally lead to breakdown.</t>
  </si>
  <si>
    <t xml:space="preserve">As a part of complete investigation purifier bowl,bowl boady ,pilot valve, water supplying device, Vertical shaft &amp; bearings , horizontal shaft bearings, gear and gear case  inspected found all satisfactory._x000D_
Vessel has no spares for the replacement of the damaged parts and have raised requisition for same. _x000D_
</t>
  </si>
  <si>
    <t>Spare received  and damaged parts replaced with new spare. Purifier run for 8hrs with oil feed found all working satisfactory.This defect can be closed.</t>
  </si>
  <si>
    <t>EED-21-100</t>
  </si>
  <si>
    <t>Yes</t>
  </si>
  <si>
    <t>New Ear Clamps received at Singapore on 25-Dec-2021 installed to clamp gas torch hoses.This defect can be closed.</t>
  </si>
  <si>
    <t xml:space="preserve">USR: Noted. We will supply ear clamps. _x000D_
USR  2022/01/06 : New ear clamps supplied and fitted. </t>
  </si>
  <si>
    <t xml:space="preserve">USR  2022/01/06 : New ear clamps supplied and fitted. </t>
  </si>
  <si>
    <t>Was awaiting convenient port for supply</t>
  </si>
  <si>
    <t xml:space="preserve">USR 2022/01/06:  Incorrect boxing up procedures is the most probable root cause for htis breakdown. Ship staff breifed by C/E on proper boxing back procedures as per makers manual. </t>
  </si>
  <si>
    <t xml:space="preserve">USR:  Incorrect boxing up procedures is the most probable root cause for htis breakdown. Ship staff breifed by C/E on proper boxing back procedures as per makers manual. </t>
  </si>
  <si>
    <t>v55_2022/01/06 11:42:41</t>
  </si>
  <si>
    <t>v55_2022/01/06 11:43:06</t>
  </si>
  <si>
    <t>AEQ20</t>
  </si>
  <si>
    <t>DELETE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</si>
</sst>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mm"/>
    <numFmt numFmtId="165" formatCode="yyyy\-mm\-dd;@"/>
  </numFmts>
  <fonts count="32">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sz val="11"/>
      <color indexed="12"/>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9"/>
      <color theme="1" tint="4.9989318521683403E-2"/>
      <name val="Arial"/>
      <family val="2"/>
    </font>
    <font>
      <b/>
      <sz val="11"/>
      <color theme="1" tint="4.9989318521683403E-2"/>
      <name val="Arial"/>
      <family val="2"/>
    </font>
    <font>
      <b/>
      <sz val="10"/>
      <name val="Arial"/>
      <family val="2"/>
    </font>
    <font>
      <b/>
      <sz val="22"/>
      <name val="Arial"/>
      <family val="2"/>
    </font>
    <font>
      <sz val="22"/>
      <name val="Arial"/>
      <family val="2"/>
    </font>
    <font>
      <sz val="12"/>
      <name val="Arial"/>
      <family val="2"/>
    </font>
    <font>
      <sz val="11"/>
      <name val="MS Reference Sans Serif"/>
      <family val="2"/>
    </font>
    <font>
      <sz val="10"/>
      <color theme="1"/>
      <name val="Arial"/>
      <family val="2"/>
    </font>
    <font>
      <b/>
      <sz val="10"/>
      <color theme="1"/>
      <name val="Arial"/>
      <family val="2"/>
    </font>
    <font>
      <sz val="11"/>
      <color rgb="FF4D5156"/>
      <name val="Arial"/>
      <family val="2"/>
    </font>
    <font>
      <b/>
      <sz val="11"/>
      <color theme="1"/>
      <name val="Calibri"/>
      <family val="2"/>
      <scheme val="minor"/>
    </font>
    <font>
      <sz val="10"/>
      <color indexed="10"/>
      <name val="Arial"/>
      <family val="2"/>
    </font>
    <font>
      <sz val="10"/>
      <name val="MS Reference Sans Serif"/>
      <family val="2"/>
    </font>
    <font>
      <b/>
      <sz val="10"/>
      <color rgb="FFFF0000"/>
      <name val="Arial"/>
      <family val="2"/>
    </font>
    <font>
      <sz val="11"/>
      <name val="MS Reference Sans Serif"/>
    </font>
    <font>
      <sz val="11"/>
      <color rgb="FFFF0000"/>
      <name val="Calibri"/>
      <family val="2"/>
    </font>
    <font>
      <sz val="10"/>
      <color indexed="12"/>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29">
    <xf numFmtId="0" fontId="0" fillId="0" borderId="0" xfId="0"/>
    <xf numFmtId="0" fontId="7"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7" fillId="2" borderId="5" xfId="0" applyFont="1" applyFill="1" applyBorder="1" applyAlignment="1" applyProtection="1">
      <alignment horizontal="center" vertical="center" wrapText="1" shrinkToFit="1"/>
    </xf>
    <xf numFmtId="0" fontId="8" fillId="2" borderId="5" xfId="0" applyFont="1" applyFill="1" applyBorder="1" applyAlignment="1" applyProtection="1">
      <alignment horizontal="center" vertical="center" wrapText="1" shrinkToFit="1"/>
    </xf>
    <xf numFmtId="0" fontId="8" fillId="4"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9" fillId="0" borderId="0" xfId="0" applyFont="1" applyAlignment="1" applyProtection="1">
      <alignment horizontal="justify"/>
    </xf>
    <xf numFmtId="0" fontId="10" fillId="0" borderId="0" xfId="0" applyFont="1" applyAlignment="1" applyProtection="1">
      <alignment horizontal="justify"/>
    </xf>
    <xf numFmtId="22" fontId="5" fillId="0" borderId="0" xfId="0" applyNumberFormat="1" applyFont="1" applyAlignment="1" applyProtection="1">
      <alignment horizontal="left"/>
    </xf>
    <xf numFmtId="0" fontId="5" fillId="0" borderId="0" xfId="0" applyFont="1" applyAlignment="1" applyProtection="1">
      <alignment horizontal="left"/>
    </xf>
    <xf numFmtId="0" fontId="5" fillId="0" borderId="0" xfId="0" applyFont="1" applyAlignment="1" applyProtection="1">
      <alignment horizontal="center"/>
    </xf>
    <xf numFmtId="49" fontId="5" fillId="3" borderId="2" xfId="0" applyNumberFormat="1" applyFont="1" applyFill="1" applyBorder="1" applyAlignment="1" applyProtection="1">
      <alignment horizontal="center" vertical="center"/>
      <protection locked="0"/>
    </xf>
    <xf numFmtId="0" fontId="5" fillId="0" borderId="0" xfId="0" applyFont="1" applyAlignment="1" applyProtection="1"/>
    <xf numFmtId="0" fontId="5" fillId="2" borderId="1" xfId="0" applyFont="1" applyFill="1" applyBorder="1" applyAlignment="1" applyProtection="1"/>
    <xf numFmtId="49" fontId="5" fillId="0" borderId="0" xfId="0" applyNumberFormat="1" applyFont="1" applyAlignment="1" applyProtection="1"/>
    <xf numFmtId="0" fontId="0" fillId="0" borderId="0" xfId="0" applyAlignment="1"/>
    <xf numFmtId="0" fontId="12" fillId="0" borderId="0" xfId="0" applyFont="1" applyFill="1" applyAlignment="1" applyProtection="1">
      <alignment wrapText="1"/>
    </xf>
    <xf numFmtId="14" fontId="5" fillId="2" borderId="1" xfId="0" applyNumberFormat="1" applyFont="1" applyFill="1" applyBorder="1" applyAlignment="1" applyProtection="1"/>
    <xf numFmtId="0" fontId="5" fillId="3" borderId="3" xfId="0" applyNumberFormat="1" applyFont="1" applyFill="1" applyBorder="1" applyAlignment="1" applyProtection="1">
      <alignment horizontal="center" vertical="center"/>
      <protection locked="0"/>
    </xf>
    <xf numFmtId="0" fontId="12" fillId="0" borderId="0" xfId="0" applyFont="1" applyFill="1" applyAlignment="1" applyProtection="1"/>
    <xf numFmtId="0" fontId="5" fillId="0" borderId="0" xfId="0" applyNumberFormat="1" applyFont="1" applyAlignment="1" applyProtection="1">
      <alignment wrapText="1"/>
    </xf>
    <xf numFmtId="0" fontId="13" fillId="0" borderId="3" xfId="0" applyFont="1" applyBorder="1" applyAlignment="1">
      <alignment vertical="center" wrapText="1"/>
    </xf>
    <xf numFmtId="14" fontId="5" fillId="3" borderId="2" xfId="0" applyNumberFormat="1" applyFont="1" applyFill="1" applyBorder="1" applyAlignment="1" applyProtection="1">
      <alignment horizontal="center" vertical="center"/>
    </xf>
    <xf numFmtId="0" fontId="8" fillId="2" borderId="4" xfId="0" applyFont="1" applyFill="1" applyBorder="1" applyAlignment="1" applyProtection="1">
      <alignment horizontal="center" vertical="center" shrinkToFit="1"/>
    </xf>
    <xf numFmtId="0" fontId="8"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3" fillId="0" borderId="13" xfId="0" applyFont="1" applyBorder="1" applyAlignment="1">
      <alignment vertical="center"/>
    </xf>
    <xf numFmtId="0" fontId="5" fillId="4" borderId="0" xfId="0" applyFont="1" applyFill="1" applyAlignment="1" applyProtection="1"/>
    <xf numFmtId="0" fontId="13"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4"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1"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9" fillId="0" borderId="0" xfId="0" applyFont="1" applyAlignment="1" applyProtection="1">
      <alignment horizontal="justify" wrapText="1"/>
    </xf>
    <xf numFmtId="0" fontId="10" fillId="0" borderId="0" xfId="0" applyFont="1" applyAlignment="1" applyProtection="1">
      <alignment horizontal="justify" wrapText="1"/>
    </xf>
    <xf numFmtId="0" fontId="2" fillId="0" borderId="0" xfId="2" applyAlignment="1">
      <alignment horizontal="left"/>
    </xf>
    <xf numFmtId="0" fontId="2" fillId="0" borderId="0" xfId="2"/>
    <xf numFmtId="0" fontId="19" fillId="0" borderId="0" xfId="0" applyFont="1" applyAlignment="1">
      <alignment vertical="center"/>
    </xf>
    <xf numFmtId="0" fontId="5" fillId="0" borderId="0" xfId="0" applyFont="1" applyAlignment="1">
      <alignment horizontal="center" vertical="center"/>
    </xf>
    <xf numFmtId="0" fontId="12"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9" fillId="0" borderId="5" xfId="0" applyFont="1" applyBorder="1" applyAlignment="1">
      <alignment horizontal="center" vertical="center" wrapText="1"/>
    </xf>
    <xf numFmtId="0" fontId="9" fillId="0" borderId="5" xfId="0" applyFont="1" applyBorder="1" applyAlignment="1">
      <alignment vertical="center" wrapText="1"/>
    </xf>
    <xf numFmtId="0" fontId="9" fillId="0" borderId="9"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1" xfId="0" applyFont="1" applyBorder="1" applyAlignment="1">
      <alignment vertical="center" wrapText="1"/>
    </xf>
    <xf numFmtId="0" fontId="9" fillId="0" borderId="6" xfId="0" applyFont="1" applyBorder="1" applyAlignment="1">
      <alignment horizontal="center" vertical="center" wrapText="1"/>
    </xf>
    <xf numFmtId="0" fontId="17" fillId="0" borderId="4" xfId="0" applyFont="1" applyBorder="1" applyAlignment="1">
      <alignment horizontal="center" vertical="center" wrapText="1"/>
    </xf>
    <xf numFmtId="0" fontId="9" fillId="0" borderId="12" xfId="0" applyFont="1" applyBorder="1" applyAlignment="1">
      <alignment vertical="center" wrapText="1"/>
    </xf>
    <xf numFmtId="0" fontId="9" fillId="0" borderId="4" xfId="0" applyFont="1" applyBorder="1" applyAlignment="1">
      <alignment horizontal="center" vertical="center" wrapText="1"/>
    </xf>
    <xf numFmtId="0" fontId="9" fillId="0" borderId="0" xfId="0" applyFont="1" applyAlignment="1">
      <alignment vertical="center" wrapText="1"/>
    </xf>
    <xf numFmtId="0" fontId="9" fillId="0" borderId="0" xfId="0" applyFont="1" applyAlignment="1">
      <alignment vertical="center"/>
    </xf>
    <xf numFmtId="0" fontId="20" fillId="0" borderId="0" xfId="0" applyFont="1" applyAlignment="1">
      <alignment horizontal="left" vertical="center"/>
    </xf>
    <xf numFmtId="0" fontId="5" fillId="12" borderId="0" xfId="0" applyFont="1" applyFill="1" applyAlignment="1">
      <alignment vertical="center"/>
    </xf>
    <xf numFmtId="0" fontId="9" fillId="12" borderId="0" xfId="0" applyFont="1" applyFill="1" applyAlignment="1">
      <alignment vertical="center" wrapText="1"/>
    </xf>
    <xf numFmtId="0" fontId="19" fillId="12" borderId="0" xfId="0" applyFont="1" applyFill="1" applyAlignment="1">
      <alignment vertical="center"/>
    </xf>
    <xf numFmtId="0" fontId="5" fillId="0" borderId="0" xfId="0" applyFont="1" applyFill="1" applyBorder="1" applyAlignment="1" applyProtection="1"/>
    <xf numFmtId="0" fontId="5" fillId="2" borderId="12" xfId="0" applyFont="1" applyFill="1" applyBorder="1" applyAlignment="1" applyProtection="1"/>
    <xf numFmtId="0" fontId="9" fillId="0" borderId="4" xfId="0" applyFont="1" applyBorder="1" applyAlignment="1">
      <alignment vertical="center" wrapText="1"/>
    </xf>
    <xf numFmtId="1" fontId="5" fillId="3" borderId="15" xfId="0" applyNumberFormat="1" applyFont="1" applyFill="1" applyBorder="1" applyAlignment="1" applyProtection="1">
      <alignment horizontal="center" vertical="center"/>
    </xf>
    <xf numFmtId="0" fontId="21" fillId="0" borderId="0" xfId="0" applyFont="1"/>
    <xf numFmtId="0" fontId="5" fillId="0" borderId="0" xfId="0" applyFont="1"/>
    <xf numFmtId="0" fontId="5" fillId="3" borderId="2" xfId="0" applyNumberFormat="1" applyFont="1" applyFill="1" applyBorder="1" applyAlignment="1" applyProtection="1">
      <alignment horizontal="center" vertical="center"/>
    </xf>
    <xf numFmtId="0" fontId="15" fillId="2" borderId="12" xfId="0" applyFont="1" applyFill="1" applyBorder="1" applyAlignment="1">
      <alignment horizontal="center" vertical="center" wrapText="1" shrinkToFit="1"/>
    </xf>
    <xf numFmtId="0" fontId="15" fillId="2" borderId="12" xfId="0" applyFont="1" applyFill="1" applyBorder="1" applyAlignment="1">
      <alignment horizontal="center" vertical="center" wrapText="1"/>
    </xf>
    <xf numFmtId="0" fontId="15" fillId="4" borderId="12" xfId="0" applyFont="1" applyFill="1" applyBorder="1" applyAlignment="1">
      <alignment horizontal="center" vertical="center" wrapText="1" shrinkToFit="1"/>
    </xf>
    <xf numFmtId="0" fontId="16" fillId="13" borderId="12" xfId="0" applyFont="1" applyFill="1" applyBorder="1" applyAlignment="1">
      <alignment horizontal="center" vertical="center" wrapText="1"/>
    </xf>
    <xf numFmtId="0" fontId="16" fillId="11" borderId="12" xfId="0" applyFont="1" applyFill="1" applyBorder="1" applyAlignment="1">
      <alignment horizontal="center" vertical="center" wrapText="1"/>
    </xf>
    <xf numFmtId="0" fontId="16" fillId="11" borderId="12" xfId="0" applyNumberFormat="1" applyFont="1" applyFill="1" applyBorder="1" applyAlignment="1">
      <alignment horizontal="center" vertical="center" wrapText="1"/>
    </xf>
    <xf numFmtId="0" fontId="16" fillId="11" borderId="4" xfId="0" applyFont="1" applyFill="1" applyBorder="1" applyAlignment="1">
      <alignment horizontal="center" vertical="center" wrapText="1"/>
    </xf>
    <xf numFmtId="49" fontId="22" fillId="0" borderId="1" xfId="0" applyNumberFormat="1" applyFont="1" applyBorder="1" applyAlignment="1"/>
    <xf numFmtId="14" fontId="22" fillId="0" borderId="1" xfId="0" applyNumberFormat="1" applyFont="1" applyBorder="1" applyAlignment="1"/>
    <xf numFmtId="49" fontId="22" fillId="0" borderId="1" xfId="0" applyNumberFormat="1" applyFont="1" applyBorder="1" applyAlignment="1">
      <alignment horizontal="right"/>
    </xf>
    <xf numFmtId="49" fontId="22" fillId="0" borderId="1" xfId="0" applyNumberFormat="1" applyFont="1" applyBorder="1" applyAlignment="1">
      <alignment horizontal="center"/>
    </xf>
    <xf numFmtId="1" fontId="22" fillId="0" borderId="1" xfId="0" applyNumberFormat="1" applyFont="1" applyBorder="1" applyAlignment="1">
      <alignment horizontal="center"/>
    </xf>
    <xf numFmtId="164" fontId="22" fillId="0" borderId="1" xfId="0" applyNumberFormat="1" applyFont="1" applyBorder="1" applyAlignment="1"/>
    <xf numFmtId="0" fontId="23" fillId="0" borderId="1" xfId="0" applyFont="1" applyBorder="1" applyAlignment="1"/>
    <xf numFmtId="14" fontId="22" fillId="0" borderId="5" xfId="0" applyNumberFormat="1" applyFont="1" applyBorder="1" applyAlignment="1"/>
    <xf numFmtId="0" fontId="4" fillId="0" borderId="0" xfId="1" applyFill="1" applyAlignment="1" applyProtection="1"/>
    <xf numFmtId="0" fontId="0" fillId="0" borderId="0" xfId="0" applyAlignment="1">
      <alignment wrapText="1"/>
    </xf>
    <xf numFmtId="0" fontId="21" fillId="0" borderId="0" xfId="0" applyFont="1" applyAlignment="1" applyProtection="1"/>
    <xf numFmtId="0" fontId="5" fillId="2" borderId="6" xfId="0" applyFont="1" applyFill="1" applyBorder="1"/>
    <xf numFmtId="0" fontId="24" fillId="0" borderId="0" xfId="0" applyFont="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25" fillId="14" borderId="5" xfId="2" applyFont="1" applyFill="1" applyBorder="1" applyAlignment="1">
      <alignment horizontal="center" vertical="center" wrapText="1"/>
    </xf>
    <xf numFmtId="0" fontId="22" fillId="0" borderId="1" xfId="0" applyFont="1" applyBorder="1" applyAlignment="1">
      <alignment horizontal="center"/>
    </xf>
    <xf numFmtId="0" fontId="22" fillId="0" borderId="1" xfId="0" applyFont="1" applyBorder="1" applyAlignment="1"/>
    <xf numFmtId="49" fontId="26" fillId="15" borderId="16" xfId="0" applyNumberFormat="1" applyFont="1" applyFill="1" applyBorder="1" applyAlignment="1"/>
    <xf numFmtId="0" fontId="5" fillId="0" borderId="0" xfId="0" applyFont="1" applyAlignment="1" applyProtection="1">
      <alignment horizontal="right"/>
    </xf>
    <xf numFmtId="0" fontId="5" fillId="0" borderId="0" xfId="0" applyFont="1" applyAlignment="1" applyProtection="1">
      <alignment horizontal="right" wrapText="1"/>
    </xf>
    <xf numFmtId="0" fontId="27" fillId="0" borderId="0" xfId="0" applyFont="1"/>
    <xf numFmtId="0" fontId="28" fillId="0" borderId="4" xfId="0" applyFont="1" applyBorder="1" applyAlignment="1">
      <alignment vertical="center" wrapText="1"/>
    </xf>
    <xf numFmtId="0" fontId="29" fillId="0" borderId="0" xfId="0" applyFont="1" applyAlignment="1" applyProtection="1"/>
    <xf numFmtId="1" fontId="21" fillId="0" borderId="0" xfId="0" applyNumberFormat="1" applyFont="1"/>
    <xf numFmtId="0" fontId="30" fillId="0" borderId="0" xfId="0" applyFont="1"/>
    <xf numFmtId="49" fontId="31" fillId="15" borderId="1" xfId="0" applyNumberFormat="1" applyFont="1" applyFill="1" applyBorder="1" applyAlignment="1"/>
    <xf numFmtId="14" fontId="31" fillId="15" borderId="1" xfId="0" applyNumberFormat="1" applyFont="1" applyFill="1" applyBorder="1" applyAlignment="1"/>
    <xf numFmtId="0" fontId="31" fillId="15" borderId="1" xfId="0" applyFont="1" applyFill="1" applyBorder="1" applyAlignment="1"/>
    <xf numFmtId="49" fontId="31" fillId="15" borderId="1" xfId="0" applyNumberFormat="1" applyFont="1" applyFill="1" applyBorder="1" applyAlignment="1">
      <alignment horizontal="right"/>
    </xf>
    <xf numFmtId="49" fontId="31" fillId="15" borderId="1" xfId="0" applyNumberFormat="1" applyFont="1" applyFill="1" applyBorder="1" applyAlignment="1">
      <alignment horizontal="center"/>
    </xf>
    <xf numFmtId="22" fontId="0" fillId="0" borderId="0" xfId="0" applyNumberFormat="1"/>
    <xf numFmtId="165" fontId="0" fillId="0" borderId="0" xfId="0" applyNumberFormat="1"/>
    <xf numFmtId="0" fontId="18" fillId="11" borderId="5" xfId="0" applyFont="1" applyFill="1" applyBorder="1" applyAlignment="1">
      <alignment horizontal="center" vertical="center"/>
    </xf>
    <xf numFmtId="0" fontId="18" fillId="10" borderId="5" xfId="0" applyFont="1" applyFill="1" applyBorder="1" applyAlignment="1">
      <alignment horizontal="center" vertical="center"/>
    </xf>
    <xf numFmtId="0" fontId="6" fillId="4" borderId="12" xfId="0" applyFont="1" applyFill="1" applyBorder="1" applyAlignment="1" applyProtection="1">
      <alignment horizontal="center" shrinkToFit="1"/>
    </xf>
    <xf numFmtId="0" fontId="6" fillId="4" borderId="14" xfId="0" applyFont="1" applyFill="1" applyBorder="1" applyAlignment="1" applyProtection="1">
      <alignment horizontal="center" shrinkToFit="1"/>
    </xf>
    <xf numFmtId="0" fontId="6" fillId="4" borderId="6" xfId="0" applyFont="1" applyFill="1" applyBorder="1" applyAlignment="1" applyProtection="1">
      <alignment horizontal="center" shrinkToFit="1"/>
    </xf>
  </cellXfs>
  <cellStyles count="3">
    <cellStyle name="Hyperlink" xfId="1" builtinId="8"/>
    <cellStyle name="Normal" xfId="0" builtinId="0"/>
    <cellStyle name="Normal 2" xfId="2" xr:uid="{00000000-0005-0000-0000-000002000000}"/>
  </cellStyles>
  <dxfs count="19">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MS Reference Sans Serif"/>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1600200</xdr:colOff>
          <xdr:row>2</xdr:row>
          <xdr:rowOff>215900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393700</xdr:colOff>
          <xdr:row>4</xdr:row>
          <xdr:rowOff>190500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1651000</xdr:colOff>
          <xdr:row>4</xdr:row>
          <xdr:rowOff>215900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1390650</xdr:colOff>
          <xdr:row>0</xdr:row>
          <xdr:rowOff>69850</xdr:rowOff>
        </xdr:from>
        <xdr:to>
          <xdr:col>3</xdr:col>
          <xdr:colOff>336550</xdr:colOff>
          <xdr:row>0</xdr:row>
          <xdr:rowOff>152400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1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57150</xdr:colOff>
          <xdr:row>1</xdr:row>
          <xdr:rowOff>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1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18" dataDxfId="16" headerRowBorderDxfId="17" tableBorderDxfId="15" totalsRowBorderDxfId="14">
  <tableColumns count="3">
    <tableColumn id="1" xr3:uid="{00000000-0010-0000-0000-000001000000}" name="#" dataDxfId="13"/>
    <tableColumn id="2" xr3:uid="{00000000-0010-0000-0000-000002000000}" name="Name" dataDxfId="12"/>
    <tableColumn id="3" xr3:uid="{00000000-0010-0000-0000-000003000000}" name="Description" data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0" dataDxfId="9">
  <tableColumns count="2">
    <tableColumn id="1" xr3:uid="{00000000-0010-0000-0100-000001000000}" name="#" dataDxfId="8"/>
    <tableColumn id="2" xr3:uid="{00000000-0010-0000-0100-000002000000}" name="General Guidelines"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7" totalsRowShown="0">
  <autoFilter ref="N4:Q97" xr:uid="{00000000-0009-0000-0100-000003000000}"/>
  <sortState xmlns:xlrd2="http://schemas.microsoft.com/office/spreadsheetml/2017/richdata2" ref="N5:Q96">
    <sortCondition ref="N4:N96"/>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activeCell="B11" sqref="B11"/>
    </sheetView>
  </sheetViews>
  <sheetFormatPr defaultColWidth="0" defaultRowHeight="14"/>
  <cols>
    <col min="1" max="1" width="4.26953125" style="55" bestFit="1" customWidth="1"/>
    <col min="2" max="2" width="91" style="57" bestFit="1" customWidth="1"/>
    <col min="3" max="3" width="3.453125" style="57" customWidth="1"/>
    <col min="4" max="4" width="4.6328125" style="57" customWidth="1"/>
    <col min="5" max="5" width="11.90625" style="57" customWidth="1"/>
    <col min="6" max="6" width="62.90625" style="57" customWidth="1"/>
    <col min="7" max="7" width="0" style="57" hidden="1" customWidth="1"/>
    <col min="8" max="16384" width="9" style="57" hidden="1"/>
  </cols>
  <sheetData>
    <row r="1" spans="1:6" s="54" customFormat="1" ht="28">
      <c r="A1" s="125" t="s">
        <v>894</v>
      </c>
      <c r="B1" s="125"/>
      <c r="C1" s="75"/>
      <c r="D1" s="124" t="s">
        <v>603</v>
      </c>
      <c r="E1" s="124"/>
      <c r="F1" s="124"/>
    </row>
    <row r="2" spans="1:6" ht="7.5" customHeight="1">
      <c r="B2" s="56"/>
      <c r="C2" s="73"/>
      <c r="E2" s="56"/>
    </row>
    <row r="3" spans="1:6" ht="15.5">
      <c r="A3" s="55" t="s">
        <v>587</v>
      </c>
      <c r="B3" s="72" t="s">
        <v>894</v>
      </c>
      <c r="C3" s="73"/>
      <c r="D3" s="58" t="s">
        <v>587</v>
      </c>
      <c r="E3" s="59" t="s">
        <v>588</v>
      </c>
      <c r="F3" s="60" t="s">
        <v>589</v>
      </c>
    </row>
    <row r="4" spans="1:6" ht="25">
      <c r="A4" s="61">
        <v>1</v>
      </c>
      <c r="B4" s="62" t="s">
        <v>623</v>
      </c>
      <c r="C4" s="73"/>
      <c r="D4" s="63">
        <v>1</v>
      </c>
      <c r="E4" s="64" t="s">
        <v>602</v>
      </c>
      <c r="F4" s="65" t="s">
        <v>622</v>
      </c>
    </row>
    <row r="5" spans="1:6" ht="26">
      <c r="A5" s="61">
        <v>2</v>
      </c>
      <c r="B5" s="62" t="s">
        <v>624</v>
      </c>
      <c r="C5" s="73"/>
      <c r="D5" s="63">
        <v>2</v>
      </c>
      <c r="E5" s="64" t="s">
        <v>600</v>
      </c>
      <c r="F5" s="65" t="s">
        <v>601</v>
      </c>
    </row>
    <row r="6" spans="1:6" ht="26">
      <c r="A6" s="61">
        <v>3</v>
      </c>
      <c r="B6" s="62" t="s">
        <v>898</v>
      </c>
      <c r="C6" s="73"/>
      <c r="D6" s="63">
        <v>3</v>
      </c>
      <c r="E6" s="64" t="s">
        <v>304</v>
      </c>
      <c r="F6" s="65" t="s">
        <v>599</v>
      </c>
    </row>
    <row r="7" spans="1:6" ht="26">
      <c r="A7" s="61">
        <v>4</v>
      </c>
      <c r="B7" s="62" t="s">
        <v>604</v>
      </c>
      <c r="C7" s="73"/>
      <c r="D7" s="63">
        <v>4</v>
      </c>
      <c r="E7" s="64" t="s">
        <v>598</v>
      </c>
      <c r="F7" s="65" t="s">
        <v>621</v>
      </c>
    </row>
    <row r="8" spans="1:6" ht="25">
      <c r="A8" s="61">
        <v>5</v>
      </c>
      <c r="B8" s="62" t="s">
        <v>625</v>
      </c>
      <c r="C8" s="73"/>
      <c r="D8" s="63">
        <v>5</v>
      </c>
      <c r="E8" s="64" t="s">
        <v>596</v>
      </c>
      <c r="F8" s="65" t="s">
        <v>597</v>
      </c>
    </row>
    <row r="9" spans="1:6" ht="37.5">
      <c r="A9" s="61">
        <v>6</v>
      </c>
      <c r="B9" s="78" t="s">
        <v>1043</v>
      </c>
      <c r="C9" s="73"/>
      <c r="D9" s="63">
        <v>6</v>
      </c>
      <c r="E9" s="64" t="s">
        <v>896</v>
      </c>
      <c r="F9" s="65" t="s">
        <v>1044</v>
      </c>
    </row>
    <row r="10" spans="1:6">
      <c r="A10" s="61">
        <v>7</v>
      </c>
      <c r="B10" s="78" t="s">
        <v>605</v>
      </c>
      <c r="C10" s="73"/>
      <c r="D10" s="63">
        <v>7</v>
      </c>
      <c r="E10" s="64" t="s">
        <v>897</v>
      </c>
      <c r="F10" s="65" t="s">
        <v>595</v>
      </c>
    </row>
    <row r="11" spans="1:6" ht="39">
      <c r="A11" s="61">
        <v>8</v>
      </c>
      <c r="B11" s="113" t="s">
        <v>1097</v>
      </c>
      <c r="C11" s="73"/>
      <c r="D11" s="63">
        <v>8</v>
      </c>
      <c r="E11" s="64" t="s">
        <v>593</v>
      </c>
      <c r="F11" s="65" t="s">
        <v>594</v>
      </c>
    </row>
    <row r="12" spans="1:6" ht="26">
      <c r="C12" s="73"/>
      <c r="D12" s="63">
        <v>9</v>
      </c>
      <c r="E12" s="64" t="s">
        <v>592</v>
      </c>
      <c r="F12" s="65" t="s">
        <v>620</v>
      </c>
    </row>
    <row r="13" spans="1:6" ht="25">
      <c r="C13" s="73"/>
      <c r="D13" s="63">
        <v>10</v>
      </c>
      <c r="E13" s="64" t="s">
        <v>890</v>
      </c>
      <c r="F13" s="65" t="s">
        <v>975</v>
      </c>
    </row>
    <row r="14" spans="1:6" ht="25">
      <c r="C14" s="73"/>
      <c r="D14" s="63">
        <v>11</v>
      </c>
      <c r="E14" s="64" t="s">
        <v>591</v>
      </c>
      <c r="F14" s="65" t="s">
        <v>976</v>
      </c>
    </row>
    <row r="15" spans="1:6">
      <c r="C15" s="73"/>
      <c r="D15" s="63">
        <v>12</v>
      </c>
      <c r="E15" s="64" t="s">
        <v>590</v>
      </c>
      <c r="F15" s="65" t="s">
        <v>586</v>
      </c>
    </row>
    <row r="16" spans="1:6" ht="25">
      <c r="C16" s="73"/>
      <c r="D16" s="63">
        <v>13</v>
      </c>
      <c r="E16" s="64" t="s">
        <v>606</v>
      </c>
      <c r="F16" s="65" t="s">
        <v>613</v>
      </c>
    </row>
    <row r="17" spans="3:6" ht="37.5">
      <c r="C17" s="73"/>
      <c r="D17" s="63">
        <v>14</v>
      </c>
      <c r="E17" s="64" t="s">
        <v>607</v>
      </c>
      <c r="F17" s="65" t="s">
        <v>614</v>
      </c>
    </row>
    <row r="18" spans="3:6" ht="39">
      <c r="C18" s="73"/>
      <c r="D18" s="63">
        <v>15</v>
      </c>
      <c r="E18" s="64" t="s">
        <v>608</v>
      </c>
      <c r="F18" s="65" t="s">
        <v>615</v>
      </c>
    </row>
    <row r="19" spans="3:6" ht="39">
      <c r="C19" s="73"/>
      <c r="D19" s="63">
        <v>16</v>
      </c>
      <c r="E19" s="64" t="s">
        <v>609</v>
      </c>
      <c r="F19" s="65" t="s">
        <v>616</v>
      </c>
    </row>
    <row r="20" spans="3:6" ht="26">
      <c r="C20" s="73"/>
      <c r="D20" s="66">
        <v>17</v>
      </c>
      <c r="E20" s="67" t="s">
        <v>610</v>
      </c>
      <c r="F20" s="68" t="s">
        <v>617</v>
      </c>
    </row>
    <row r="21" spans="3:6">
      <c r="C21" s="73"/>
      <c r="D21" s="63">
        <v>18</v>
      </c>
      <c r="E21" s="67" t="s">
        <v>611</v>
      </c>
      <c r="F21" s="68"/>
    </row>
    <row r="22" spans="3:6" ht="26">
      <c r="C22" s="73"/>
      <c r="D22" s="66">
        <v>19</v>
      </c>
      <c r="E22" s="67" t="s">
        <v>487</v>
      </c>
      <c r="F22" s="68" t="s">
        <v>618</v>
      </c>
    </row>
    <row r="23" spans="3:6" ht="25">
      <c r="C23" s="73"/>
      <c r="D23" s="63">
        <v>20</v>
      </c>
      <c r="E23" s="69" t="s">
        <v>488</v>
      </c>
      <c r="F23" s="68" t="s">
        <v>619</v>
      </c>
    </row>
    <row r="24" spans="3:6" ht="25">
      <c r="C24" s="73"/>
      <c r="D24" s="66">
        <v>21</v>
      </c>
      <c r="E24" s="69" t="s">
        <v>612</v>
      </c>
      <c r="F24" s="68" t="s">
        <v>1045</v>
      </c>
    </row>
    <row r="25" spans="3:6" ht="25">
      <c r="C25" s="73"/>
      <c r="D25" s="63">
        <v>22</v>
      </c>
      <c r="E25" s="69" t="s">
        <v>1046</v>
      </c>
      <c r="F25" s="68" t="s">
        <v>1047</v>
      </c>
    </row>
    <row r="26" spans="3:6">
      <c r="C26" s="73"/>
      <c r="D26" s="74"/>
      <c r="E26" s="74"/>
      <c r="F26" s="74"/>
    </row>
    <row r="27" spans="3:6">
      <c r="C27" s="73"/>
      <c r="D27" s="74"/>
      <c r="E27" s="74"/>
      <c r="F27" s="74"/>
    </row>
    <row r="28" spans="3:6">
      <c r="D28" s="70"/>
      <c r="E28" s="70"/>
      <c r="F28" s="70"/>
    </row>
    <row r="29" spans="3:6">
      <c r="D29" s="71"/>
      <c r="E29" s="71"/>
    </row>
    <row r="30" spans="3:6">
      <c r="D30" s="71"/>
      <c r="E30" s="71"/>
      <c r="F30" s="71"/>
    </row>
    <row r="31" spans="3:6">
      <c r="D31" s="71"/>
      <c r="E31" s="71"/>
      <c r="F31" s="71"/>
    </row>
    <row r="32" spans="3:6">
      <c r="D32" s="71"/>
      <c r="E32" s="71"/>
      <c r="F32" s="71"/>
    </row>
    <row r="33" spans="4:6">
      <c r="D33" s="71"/>
      <c r="E33" s="71"/>
      <c r="F33" s="71"/>
    </row>
    <row r="34" spans="4:6">
      <c r="D34" s="71"/>
      <c r="E34" s="71"/>
      <c r="F34" s="71"/>
    </row>
    <row r="4333" spans="1:1">
      <c r="A4333" s="5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57"/>
  <sheetViews>
    <sheetView tabSelected="1" topLeftCell="B1" zoomScaleNormal="100" workbookViewId="0">
      <pane ySplit="6" topLeftCell="A41" activePane="bottomLeft" state="frozen"/>
      <selection pane="bottomLeft" activeCell="C56" sqref="C56"/>
    </sheetView>
  </sheetViews>
  <sheetFormatPr defaultColWidth="9" defaultRowHeight="15" customHeight="1"/>
  <cols>
    <col min="1" max="1" width="9.7265625" style="17" hidden="1" customWidth="1"/>
    <col min="2" max="2" width="11.90625" style="17" customWidth="1"/>
    <col min="3" max="3" width="20.26953125" style="17" customWidth="1"/>
    <col min="4" max="4" width="14.90625" style="17" customWidth="1"/>
    <col min="5" max="5" width="6.7265625" style="17" hidden="1" customWidth="1"/>
    <col min="6" max="6" width="9.36328125" style="17" hidden="1" customWidth="1"/>
    <col min="7" max="7" width="11.453125" style="17" customWidth="1"/>
    <col min="8" max="8" width="16" style="17" customWidth="1"/>
    <col min="9" max="9" width="19.6328125" style="17" customWidth="1"/>
    <col min="10" max="10" width="8.6328125" style="17" customWidth="1"/>
    <col min="11" max="11" width="31.453125" style="17" customWidth="1"/>
    <col min="12" max="12" width="15.26953125" style="17" hidden="1" customWidth="1"/>
    <col min="13" max="13" width="9" style="17" customWidth="1"/>
    <col min="14" max="14" width="43" style="17" customWidth="1"/>
    <col min="15" max="15" width="33.453125" style="17" customWidth="1"/>
    <col min="16" max="16" width="11.453125" style="17" customWidth="1"/>
    <col min="17" max="17" width="13.26953125" style="17" customWidth="1"/>
    <col min="18" max="18" width="9.6328125" style="17" bestFit="1" customWidth="1"/>
    <col min="19" max="19" width="21.453125" style="17" customWidth="1"/>
    <col min="20" max="20" width="12.90625" style="17" customWidth="1"/>
    <col min="21" max="23" width="9" style="17" customWidth="1"/>
    <col min="24" max="24" width="21.453125" style="17" customWidth="1"/>
    <col min="25" max="25" width="11.08984375" style="17" customWidth="1"/>
    <col min="26" max="26" width="10.453125" style="17" customWidth="1"/>
    <col min="27" max="27" width="16.90625" style="17" customWidth="1"/>
    <col min="28" max="28" width="23.453125" style="17" customWidth="1"/>
    <col min="29" max="29" width="13.453125" style="17" customWidth="1"/>
    <col min="30" max="30" width="9" style="17" customWidth="1"/>
    <col min="31" max="31" width="11.453125" style="17" customWidth="1"/>
    <col min="32" max="33" width="11" style="17" hidden="1" customWidth="1"/>
    <col min="34" max="34" width="11" style="17" customWidth="1"/>
    <col min="35" max="35" width="11.26953125" style="17" customWidth="1"/>
    <col min="36" max="36" width="11.6328125" style="17" customWidth="1"/>
    <col min="37" max="37" width="15.08984375" style="17" customWidth="1"/>
    <col min="38" max="38" width="15.453125" style="17" customWidth="1"/>
    <col min="39" max="39" width="20.453125" style="17" customWidth="1"/>
    <col min="40" max="40" width="11.26953125" style="17" customWidth="1"/>
    <col min="41" max="42" width="11" style="17" customWidth="1"/>
    <col min="43" max="43" width="14.453125" style="17" customWidth="1"/>
    <col min="44" max="47" width="11" style="17" customWidth="1"/>
    <col min="48" max="48" width="12.6328125" style="17" customWidth="1"/>
    <col min="49" max="49" width="12.453125" style="17" hidden="1" customWidth="1"/>
    <col min="50" max="50" width="14" style="17" hidden="1" customWidth="1"/>
    <col min="51" max="51" width="11" style="17" hidden="1" customWidth="1"/>
    <col min="52" max="52" width="11.453125" style="17" hidden="1" customWidth="1"/>
    <col min="53" max="53" width="11.26953125" style="17" hidden="1" customWidth="1"/>
    <col min="54" max="54" width="11" style="17" hidden="1" customWidth="1"/>
    <col min="55" max="55" width="12.453125" style="17" hidden="1" customWidth="1"/>
    <col min="56" max="56" width="15.26953125" style="17" hidden="1" customWidth="1"/>
    <col min="57" max="57" width="12.90625" style="17" hidden="1" customWidth="1"/>
    <col min="58" max="59" width="11" style="17" hidden="1" customWidth="1"/>
    <col min="60" max="60" width="12.453125" style="17" hidden="1" customWidth="1"/>
    <col min="61" max="63" width="11" style="17" hidden="1" customWidth="1"/>
    <col min="64" max="64" width="25.26953125" style="17" hidden="1" customWidth="1"/>
    <col min="65" max="65" width="13.6328125" style="17" hidden="1" customWidth="1"/>
    <col min="66" max="66" width="13.453125" style="17" hidden="1" customWidth="1"/>
    <col min="67" max="68" width="11.6328125" style="17" hidden="1" customWidth="1"/>
    <col min="69" max="69" width="11.26953125" style="17" hidden="1" customWidth="1"/>
    <col min="70" max="70" width="10" style="17" hidden="1" customWidth="1"/>
    <col min="71" max="74" width="9" style="17" hidden="1" customWidth="1"/>
    <col min="75" max="75" width="11.453125" style="17" hidden="1" customWidth="1"/>
    <col min="76" max="76" width="9" style="17" hidden="1" customWidth="1"/>
    <col min="77" max="77" width="10.90625" style="17" hidden="1" customWidth="1"/>
    <col min="78" max="78" width="8.453125" style="17" hidden="1" customWidth="1"/>
    <col min="79" max="81" width="10.453125" style="17" hidden="1" customWidth="1"/>
    <col min="82" max="99" width="9.90625" style="17" hidden="1" customWidth="1"/>
    <col min="100" max="100" width="13.6328125" style="17" hidden="1" customWidth="1"/>
    <col min="101" max="132" width="9" style="17" customWidth="1"/>
    <col min="133" max="133" width="38.6328125" style="17" customWidth="1"/>
    <col min="134" max="16384" width="9" style="17"/>
  </cols>
  <sheetData>
    <row r="1" spans="1:100" ht="18" customHeight="1" thickBot="1">
      <c r="A1" s="14"/>
      <c r="B1" s="19" t="s">
        <v>799</v>
      </c>
      <c r="C1" s="13" t="s">
        <v>983</v>
      </c>
      <c r="D1" s="24" t="str">
        <f>VLOOKUP(C1,vesseldata,3,FALSE)</f>
        <v>EED</v>
      </c>
      <c r="E1" s="14"/>
      <c r="F1" s="14"/>
      <c r="G1" s="14"/>
      <c r="H1" s="16" t="s">
        <v>296</v>
      </c>
      <c r="I1" s="10">
        <v>44567.488425925927</v>
      </c>
      <c r="J1" s="14"/>
      <c r="K1" s="10" t="s">
        <v>1095</v>
      </c>
      <c r="L1" s="14"/>
      <c r="M1" s="14" t="s">
        <v>1094</v>
      </c>
      <c r="N1" s="14"/>
      <c r="O1" s="14"/>
      <c r="P1" s="14"/>
      <c r="Q1" s="14"/>
      <c r="R1" s="14"/>
      <c r="S1" s="14"/>
      <c r="T1" s="14"/>
      <c r="U1" s="14"/>
      <c r="V1" s="14"/>
      <c r="W1" s="14"/>
      <c r="X1" s="14"/>
      <c r="Y1" s="14"/>
      <c r="Z1" s="14"/>
      <c r="AA1" s="14"/>
      <c r="AB1" s="14"/>
      <c r="AC1" s="14"/>
      <c r="AD1" s="14"/>
      <c r="AE1" s="14"/>
      <c r="AF1" s="14"/>
      <c r="AG1" s="14"/>
      <c r="AH1" s="12"/>
      <c r="AI1" s="12"/>
      <c r="AJ1" s="12"/>
      <c r="AK1" s="12"/>
      <c r="AL1" s="12"/>
      <c r="AM1" s="12"/>
      <c r="AN1" s="12"/>
      <c r="AO1" s="12"/>
      <c r="AP1" s="12"/>
      <c r="AQ1" s="12"/>
      <c r="AR1" s="12"/>
      <c r="AS1" s="12"/>
      <c r="AT1" s="12"/>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row>
    <row r="2" spans="1:100" ht="18" customHeight="1" thickBot="1">
      <c r="A2" s="14"/>
      <c r="B2" s="15" t="s">
        <v>297</v>
      </c>
      <c r="C2" s="82" t="str">
        <f>VLOOKUP($C$1,vesseldata,4,FALSE)</f>
        <v>TP2020011</v>
      </c>
      <c r="D2" s="14"/>
      <c r="E2" s="14"/>
      <c r="F2" s="14"/>
      <c r="G2" s="14"/>
      <c r="H2" s="16"/>
      <c r="I2" s="11"/>
      <c r="J2" s="14"/>
      <c r="K2" s="76"/>
      <c r="L2" s="76"/>
      <c r="M2" s="76"/>
      <c r="N2" s="76"/>
      <c r="O2" s="14"/>
      <c r="P2" s="14"/>
      <c r="Q2" s="14"/>
      <c r="R2" s="14"/>
      <c r="S2" s="14"/>
      <c r="T2" s="14"/>
      <c r="U2" s="14"/>
      <c r="V2" s="14"/>
      <c r="W2" s="14"/>
      <c r="X2" s="14"/>
      <c r="Y2" s="14"/>
      <c r="Z2" s="14"/>
      <c r="AA2" s="14"/>
      <c r="AB2" s="14"/>
      <c r="AC2" s="14"/>
      <c r="AD2" s="14"/>
      <c r="AE2" s="14"/>
      <c r="AF2" s="14"/>
      <c r="AG2" s="14"/>
      <c r="AH2" s="12"/>
      <c r="AI2" s="12"/>
      <c r="AJ2" s="12"/>
      <c r="AK2" s="12"/>
      <c r="AL2" s="12"/>
      <c r="AM2" s="12"/>
      <c r="AN2" s="12"/>
      <c r="AO2" s="12"/>
      <c r="AP2" s="12"/>
      <c r="AQ2" s="12"/>
      <c r="AR2" s="12"/>
      <c r="AS2" s="12"/>
      <c r="AT2" s="12"/>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row>
    <row r="3" spans="1:100" ht="18" customHeight="1" thickBot="1">
      <c r="A3" s="14"/>
      <c r="B3" s="15" t="s">
        <v>298</v>
      </c>
      <c r="C3" s="24">
        <f ca="1">TODAY()</f>
        <v>44646</v>
      </c>
      <c r="D3" s="14"/>
      <c r="E3" s="14"/>
      <c r="F3" s="14"/>
      <c r="G3" s="14"/>
      <c r="H3" s="16" t="s">
        <v>299</v>
      </c>
      <c r="I3" s="10">
        <v>44567.634942129633</v>
      </c>
      <c r="J3" s="14"/>
      <c r="K3" s="76"/>
      <c r="L3" s="76"/>
      <c r="M3" s="76"/>
      <c r="N3" s="76"/>
      <c r="O3" s="14"/>
      <c r="P3" s="14"/>
      <c r="Q3" s="14"/>
      <c r="R3" s="14"/>
      <c r="S3" s="14"/>
      <c r="T3" s="14"/>
      <c r="U3" s="14"/>
      <c r="V3" s="14"/>
      <c r="W3" s="14"/>
      <c r="X3" s="14"/>
      <c r="Y3" s="14"/>
      <c r="Z3" s="14"/>
      <c r="AA3" s="14"/>
      <c r="AB3" s="14"/>
      <c r="AC3" s="14"/>
      <c r="AD3" s="14"/>
      <c r="AE3" s="14"/>
      <c r="AF3" s="14"/>
      <c r="AG3" s="14"/>
      <c r="AH3" s="12"/>
      <c r="AI3" s="12"/>
      <c r="AJ3" s="12"/>
      <c r="AK3" s="12"/>
      <c r="AL3" s="12"/>
      <c r="AM3" s="12"/>
      <c r="AN3" s="12"/>
      <c r="AO3" s="12"/>
      <c r="AP3" s="12"/>
      <c r="AQ3" s="12"/>
      <c r="AR3" s="12"/>
      <c r="AS3" s="12"/>
      <c r="AT3" s="12"/>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row>
    <row r="4" spans="1:100" ht="18" customHeight="1" thickBot="1">
      <c r="A4" s="14"/>
      <c r="B4" s="15" t="s">
        <v>300</v>
      </c>
      <c r="C4" s="20" t="s">
        <v>1133</v>
      </c>
      <c r="D4" s="14"/>
      <c r="E4" s="14"/>
      <c r="F4" s="14"/>
      <c r="G4" s="14"/>
      <c r="H4" s="14"/>
      <c r="I4" s="14"/>
      <c r="J4" s="14"/>
      <c r="K4" s="76"/>
      <c r="L4" s="76"/>
      <c r="M4" s="76"/>
      <c r="N4" s="76"/>
      <c r="O4" s="14"/>
      <c r="P4" s="14"/>
      <c r="Q4" s="14"/>
      <c r="R4" s="14"/>
      <c r="S4" s="14"/>
      <c r="T4" s="14"/>
      <c r="U4" s="14"/>
      <c r="V4" s="14"/>
      <c r="W4" s="14"/>
      <c r="X4" s="14"/>
      <c r="Y4" s="14"/>
      <c r="Z4" s="14"/>
      <c r="AA4" s="14"/>
      <c r="AB4" s="14"/>
      <c r="AC4" s="14"/>
      <c r="AD4" s="14"/>
      <c r="AE4" s="14"/>
      <c r="AF4" s="14"/>
      <c r="AG4" s="14"/>
      <c r="AH4" s="12"/>
      <c r="AI4" s="12"/>
      <c r="AJ4" s="12"/>
      <c r="AK4" s="12"/>
      <c r="AL4" s="12"/>
      <c r="AM4" s="12"/>
      <c r="AN4" s="12"/>
      <c r="AO4" s="12"/>
      <c r="AP4" s="12"/>
      <c r="AQ4" s="12"/>
      <c r="AR4" s="12"/>
      <c r="AS4" s="12"/>
      <c r="AT4" s="12"/>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21"/>
      <c r="CG4" s="21"/>
      <c r="CH4" s="14"/>
      <c r="CI4" s="14"/>
      <c r="CJ4" s="14"/>
      <c r="CK4" s="14"/>
      <c r="CL4" s="14"/>
      <c r="CM4" s="14"/>
      <c r="CN4" s="14"/>
      <c r="CO4" s="14"/>
      <c r="CP4" s="14"/>
      <c r="CQ4" s="14"/>
      <c r="CR4" s="14"/>
      <c r="CS4" s="14"/>
      <c r="CT4" s="14"/>
      <c r="CU4" s="14"/>
      <c r="CV4" s="14"/>
    </row>
    <row r="5" spans="1:100" ht="18" customHeight="1">
      <c r="A5" s="14"/>
      <c r="B5" s="77" t="s">
        <v>481</v>
      </c>
      <c r="C5" s="79">
        <f>VLOOKUP($C$1,vesseldata,2,FALSE)</f>
        <v>9882360</v>
      </c>
      <c r="D5" s="14"/>
      <c r="E5" s="14"/>
      <c r="F5" s="14"/>
      <c r="G5" s="14"/>
      <c r="H5" s="14"/>
      <c r="I5" s="14"/>
      <c r="J5" s="14"/>
      <c r="K5" s="76"/>
      <c r="L5" s="76"/>
      <c r="M5" s="76"/>
      <c r="N5" s="76"/>
      <c r="O5" s="14"/>
      <c r="P5" s="14"/>
      <c r="Q5" s="14"/>
      <c r="R5" s="14"/>
      <c r="S5" s="14"/>
      <c r="T5" s="14"/>
      <c r="U5" s="14"/>
      <c r="V5" s="14"/>
      <c r="W5" s="14"/>
      <c r="X5" s="126" t="s">
        <v>301</v>
      </c>
      <c r="Y5" s="127"/>
      <c r="Z5" s="127"/>
      <c r="AA5" s="127"/>
      <c r="AB5" s="127"/>
      <c r="AC5" s="127"/>
      <c r="AD5" s="127"/>
      <c r="AE5" s="128"/>
      <c r="AF5" s="14"/>
      <c r="AG5" s="14"/>
      <c r="AH5" s="12"/>
      <c r="AI5" s="12"/>
      <c r="AJ5" s="12"/>
      <c r="AK5" s="12"/>
      <c r="AL5" s="12"/>
      <c r="AM5" s="12"/>
      <c r="AN5" s="12"/>
      <c r="AO5" s="12"/>
      <c r="AP5" s="12"/>
      <c r="AQ5" s="12"/>
      <c r="AR5" s="12"/>
      <c r="AS5" s="12"/>
      <c r="AT5" s="12"/>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row>
    <row r="6" spans="1:100" s="99" customFormat="1" ht="24.75" customHeight="1">
      <c r="A6" s="83" t="s">
        <v>302</v>
      </c>
      <c r="B6" s="83" t="s">
        <v>303</v>
      </c>
      <c r="C6" s="83" t="s">
        <v>304</v>
      </c>
      <c r="D6" s="83" t="s">
        <v>305</v>
      </c>
      <c r="E6" s="83" t="s">
        <v>497</v>
      </c>
      <c r="F6" s="83" t="s">
        <v>498</v>
      </c>
      <c r="G6" s="83" t="s">
        <v>306</v>
      </c>
      <c r="H6" s="83" t="s">
        <v>307</v>
      </c>
      <c r="I6" s="83" t="s">
        <v>308</v>
      </c>
      <c r="J6" s="83" t="s">
        <v>500</v>
      </c>
      <c r="K6" s="83" t="s">
        <v>309</v>
      </c>
      <c r="L6" s="83" t="s">
        <v>891</v>
      </c>
      <c r="M6" s="84" t="s">
        <v>954</v>
      </c>
      <c r="N6" s="83" t="s">
        <v>311</v>
      </c>
      <c r="O6" s="83" t="s">
        <v>312</v>
      </c>
      <c r="P6" s="83" t="s">
        <v>313</v>
      </c>
      <c r="Q6" s="83" t="s">
        <v>314</v>
      </c>
      <c r="R6" s="83" t="s">
        <v>315</v>
      </c>
      <c r="S6" s="83" t="s">
        <v>316</v>
      </c>
      <c r="T6" s="83" t="s">
        <v>317</v>
      </c>
      <c r="U6" s="83" t="s">
        <v>318</v>
      </c>
      <c r="V6" s="83" t="s">
        <v>319</v>
      </c>
      <c r="W6" s="83" t="s">
        <v>320</v>
      </c>
      <c r="X6" s="85" t="s">
        <v>321</v>
      </c>
      <c r="Y6" s="85" t="s">
        <v>322</v>
      </c>
      <c r="Z6" s="85" t="s">
        <v>893</v>
      </c>
      <c r="AA6" s="85" t="s">
        <v>323</v>
      </c>
      <c r="AB6" s="85" t="s">
        <v>324</v>
      </c>
      <c r="AC6" s="85" t="s">
        <v>325</v>
      </c>
      <c r="AD6" s="85" t="s">
        <v>326</v>
      </c>
      <c r="AE6" s="85" t="s">
        <v>955</v>
      </c>
      <c r="AF6" s="86" t="s">
        <v>499</v>
      </c>
      <c r="AG6" s="86" t="s">
        <v>892</v>
      </c>
      <c r="AH6" s="87" t="s">
        <v>890</v>
      </c>
      <c r="AI6" s="87" t="s">
        <v>482</v>
      </c>
      <c r="AJ6" s="87" t="s">
        <v>508</v>
      </c>
      <c r="AK6" s="87" t="s">
        <v>483</v>
      </c>
      <c r="AL6" s="87" t="s">
        <v>490</v>
      </c>
      <c r="AM6" s="87" t="s">
        <v>489</v>
      </c>
      <c r="AN6" s="87" t="s">
        <v>484</v>
      </c>
      <c r="AO6" s="87" t="s">
        <v>485</v>
      </c>
      <c r="AP6" s="87" t="s">
        <v>486</v>
      </c>
      <c r="AQ6" s="87" t="s">
        <v>487</v>
      </c>
      <c r="AR6" s="87" t="s">
        <v>488</v>
      </c>
      <c r="AS6" s="87" t="s">
        <v>342</v>
      </c>
      <c r="AT6" s="87" t="s">
        <v>492</v>
      </c>
      <c r="AU6" s="87" t="s">
        <v>491</v>
      </c>
      <c r="AV6" s="87" t="s">
        <v>493</v>
      </c>
      <c r="AW6" s="87" t="s">
        <v>494</v>
      </c>
      <c r="AX6" s="87" t="s">
        <v>495</v>
      </c>
      <c r="AY6" s="87" t="s">
        <v>496</v>
      </c>
      <c r="AZ6" s="87" t="s">
        <v>501</v>
      </c>
      <c r="BA6" s="87" t="s">
        <v>895</v>
      </c>
      <c r="BB6" s="87" t="s">
        <v>754</v>
      </c>
      <c r="BC6" s="87" t="s">
        <v>502</v>
      </c>
      <c r="BD6" s="87" t="s">
        <v>504</v>
      </c>
      <c r="BE6" s="87" t="s">
        <v>503</v>
      </c>
      <c r="BF6" s="87" t="s">
        <v>506</v>
      </c>
      <c r="BG6" s="87" t="s">
        <v>507</v>
      </c>
      <c r="BH6" s="87" t="s">
        <v>509</v>
      </c>
      <c r="BI6" s="87" t="s">
        <v>570</v>
      </c>
      <c r="BJ6" s="87" t="s">
        <v>585</v>
      </c>
      <c r="BK6" s="87" t="s">
        <v>626</v>
      </c>
      <c r="BL6" s="87" t="s">
        <v>855</v>
      </c>
      <c r="BM6" s="87" t="s">
        <v>856</v>
      </c>
      <c r="BN6" s="87" t="s">
        <v>880</v>
      </c>
      <c r="BO6" s="87" t="s">
        <v>881</v>
      </c>
      <c r="BP6" s="87" t="s">
        <v>961</v>
      </c>
      <c r="BQ6" s="87" t="s">
        <v>882</v>
      </c>
      <c r="BR6" s="87" t="s">
        <v>883</v>
      </c>
      <c r="BS6" s="87" t="s">
        <v>884</v>
      </c>
      <c r="BT6" s="87" t="s">
        <v>885</v>
      </c>
      <c r="BU6" s="87" t="s">
        <v>960</v>
      </c>
      <c r="BV6" s="87" t="s">
        <v>886</v>
      </c>
      <c r="BW6" s="87" t="s">
        <v>887</v>
      </c>
      <c r="BX6" s="87" t="s">
        <v>889</v>
      </c>
      <c r="BY6" s="87" t="s">
        <v>888</v>
      </c>
      <c r="BZ6" s="87" t="s">
        <v>860</v>
      </c>
      <c r="CA6" s="87" t="s">
        <v>861</v>
      </c>
      <c r="CB6" s="87" t="s">
        <v>857</v>
      </c>
      <c r="CC6" s="88" t="s">
        <v>859</v>
      </c>
      <c r="CD6" s="87" t="s">
        <v>862</v>
      </c>
      <c r="CE6" s="87" t="s">
        <v>863</v>
      </c>
      <c r="CF6" s="87" t="s">
        <v>864</v>
      </c>
      <c r="CG6" s="87" t="s">
        <v>865</v>
      </c>
      <c r="CH6" s="87" t="s">
        <v>866</v>
      </c>
      <c r="CI6" s="87" t="s">
        <v>867</v>
      </c>
      <c r="CJ6" s="87" t="s">
        <v>868</v>
      </c>
      <c r="CK6" s="87" t="s">
        <v>869</v>
      </c>
      <c r="CL6" s="87" t="s">
        <v>870</v>
      </c>
      <c r="CM6" s="87" t="s">
        <v>871</v>
      </c>
      <c r="CN6" s="87" t="s">
        <v>858</v>
      </c>
      <c r="CO6" s="87" t="s">
        <v>872</v>
      </c>
      <c r="CP6" s="87" t="s">
        <v>873</v>
      </c>
      <c r="CQ6" s="87" t="s">
        <v>874</v>
      </c>
      <c r="CR6" s="87" t="s">
        <v>875</v>
      </c>
      <c r="CS6" s="87" t="s">
        <v>876</v>
      </c>
      <c r="CT6" s="87" t="s">
        <v>877</v>
      </c>
      <c r="CU6" s="87" t="s">
        <v>878</v>
      </c>
      <c r="CV6" s="89" t="s">
        <v>879</v>
      </c>
    </row>
    <row r="7" spans="1:100" ht="15" hidden="1" customHeight="1">
      <c r="A7" s="90" t="s">
        <v>568</v>
      </c>
      <c r="B7" s="91"/>
      <c r="C7" s="90"/>
      <c r="D7" s="90"/>
      <c r="E7" s="108" t="str">
        <f>LEFT(D7,1)&amp;"moge"</f>
        <v>moge</v>
      </c>
      <c r="F7" s="90" t="str">
        <f>LEFT(D7,1)&amp;"hoge"</f>
        <v>hoge</v>
      </c>
      <c r="G7" s="90"/>
      <c r="H7" s="90"/>
      <c r="I7" s="90"/>
      <c r="J7" s="90" t="str">
        <f>LEFT(I7,3)</f>
        <v/>
      </c>
      <c r="K7" s="90"/>
      <c r="L7" s="90" t="str">
        <f>LEFT(K7,5)</f>
        <v/>
      </c>
      <c r="M7" s="108" t="s">
        <v>346</v>
      </c>
      <c r="N7" s="90"/>
      <c r="O7" s="90"/>
      <c r="P7" s="90"/>
      <c r="Q7" s="91"/>
      <c r="R7" s="91"/>
      <c r="S7" s="90"/>
      <c r="T7" s="91"/>
      <c r="U7" s="92" t="s">
        <v>295</v>
      </c>
      <c r="V7" s="92" t="s">
        <v>295</v>
      </c>
      <c r="W7" s="93" t="s">
        <v>262</v>
      </c>
      <c r="X7" s="90"/>
      <c r="Y7" s="90"/>
      <c r="Z7" s="90"/>
      <c r="AA7" s="90"/>
      <c r="AB7" s="90"/>
      <c r="AC7" s="91"/>
      <c r="AD7" s="90" t="s">
        <v>261</v>
      </c>
      <c r="AE7" s="90"/>
      <c r="AF7" s="90"/>
      <c r="AG7" s="90" t="s">
        <v>0</v>
      </c>
      <c r="AH7" s="93" t="s">
        <v>972</v>
      </c>
      <c r="AI7" s="93" t="b">
        <v>0</v>
      </c>
      <c r="AJ7" s="93"/>
      <c r="AK7" s="93" t="b">
        <v>0</v>
      </c>
      <c r="AL7" s="93"/>
      <c r="AM7" s="93" t="b">
        <v>0</v>
      </c>
      <c r="AN7" s="93" t="b">
        <v>0</v>
      </c>
      <c r="AO7" s="93" t="b">
        <v>0</v>
      </c>
      <c r="AP7" s="93" t="b">
        <v>0</v>
      </c>
      <c r="AQ7" s="93" t="b">
        <v>0</v>
      </c>
      <c r="AR7" s="93" t="b">
        <v>0</v>
      </c>
      <c r="AS7" s="93" t="b">
        <v>0</v>
      </c>
      <c r="AT7" s="107"/>
      <c r="AU7" s="94">
        <f>$C$5</f>
        <v>9882360</v>
      </c>
      <c r="AV7" s="90" t="str">
        <f>$C$1</f>
        <v>Esteem Endeavour</v>
      </c>
      <c r="AW7" s="108" t="str">
        <f>$C$2</f>
        <v>TP2020011</v>
      </c>
      <c r="AX7" s="91">
        <f ca="1">$C$3</f>
        <v>44646</v>
      </c>
      <c r="AY7" s="108" t="str">
        <f>$C$4</f>
        <v>Capt. S KUMAR</v>
      </c>
      <c r="AZ7" s="90"/>
      <c r="BA7" s="90"/>
      <c r="BB7" s="90"/>
      <c r="BC7" s="90"/>
      <c r="BD7" s="90"/>
      <c r="BE7" s="90"/>
      <c r="BF7" s="90"/>
      <c r="BG7" s="91"/>
      <c r="BH7" s="93" t="b">
        <v>0</v>
      </c>
      <c r="BI7" s="90"/>
      <c r="BJ7" s="90"/>
      <c r="BK7" s="90"/>
      <c r="BL7" s="90"/>
      <c r="BM7" s="90"/>
      <c r="BN7" s="90"/>
      <c r="BO7" s="90"/>
      <c r="BP7" s="90"/>
      <c r="BQ7" s="90"/>
      <c r="BR7" s="95"/>
      <c r="BS7" s="90"/>
      <c r="BT7" s="90"/>
      <c r="BU7" s="90"/>
      <c r="BV7" s="90"/>
      <c r="BW7" s="90"/>
      <c r="BX7" s="90"/>
      <c r="BY7" s="90"/>
      <c r="BZ7" s="90"/>
      <c r="CA7" s="90"/>
      <c r="CB7" s="90"/>
      <c r="CC7" s="91"/>
      <c r="CD7" s="90"/>
      <c r="CE7" s="91"/>
      <c r="CF7" s="90"/>
      <c r="CG7" s="91"/>
      <c r="CH7" s="90"/>
      <c r="CI7" s="91"/>
      <c r="CJ7" s="90"/>
      <c r="CK7" s="91"/>
      <c r="CL7" s="90"/>
      <c r="CM7" s="91"/>
      <c r="CN7" s="96"/>
      <c r="CO7" s="91"/>
      <c r="CP7" s="90"/>
      <c r="CQ7" s="90"/>
      <c r="CR7" s="90"/>
      <c r="CS7" s="90"/>
      <c r="CT7" s="91"/>
      <c r="CU7" s="90"/>
      <c r="CV7" s="97"/>
    </row>
    <row r="8" spans="1:100" ht="15" customHeight="1">
      <c r="A8" s="117" t="s">
        <v>1135</v>
      </c>
      <c r="B8" s="118">
        <v>44214</v>
      </c>
      <c r="C8" s="117" t="s">
        <v>1134</v>
      </c>
      <c r="D8" s="117" t="s">
        <v>337</v>
      </c>
      <c r="E8" s="119" t="s">
        <v>1101</v>
      </c>
      <c r="F8" s="117" t="s">
        <v>1102</v>
      </c>
      <c r="G8" s="117" t="s">
        <v>338</v>
      </c>
      <c r="H8" s="117" t="s">
        <v>1136</v>
      </c>
      <c r="I8" s="117" t="s">
        <v>339</v>
      </c>
      <c r="J8" s="117" t="s">
        <v>1103</v>
      </c>
      <c r="K8" s="117" t="s">
        <v>801</v>
      </c>
      <c r="L8" s="117" t="s">
        <v>1137</v>
      </c>
      <c r="M8" s="119" t="s">
        <v>346</v>
      </c>
      <c r="N8" s="117" t="s">
        <v>1138</v>
      </c>
      <c r="O8" s="117" t="s">
        <v>262</v>
      </c>
      <c r="P8" s="117" t="s">
        <v>262</v>
      </c>
      <c r="Q8" s="118"/>
      <c r="R8" s="118">
        <v>44214</v>
      </c>
      <c r="S8" s="117" t="s">
        <v>262</v>
      </c>
      <c r="T8" s="118"/>
      <c r="U8" s="120" t="s">
        <v>295</v>
      </c>
      <c r="V8" s="120" t="s">
        <v>295</v>
      </c>
      <c r="W8" s="121" t="s">
        <v>262</v>
      </c>
      <c r="X8" s="117" t="s">
        <v>1109</v>
      </c>
      <c r="Y8" s="117"/>
      <c r="Z8" s="117"/>
      <c r="AA8" s="117" t="s">
        <v>5</v>
      </c>
      <c r="AB8" s="117" t="s">
        <v>262</v>
      </c>
      <c r="AC8" s="118">
        <v>44214</v>
      </c>
      <c r="AD8" s="117" t="s">
        <v>349</v>
      </c>
      <c r="AE8" s="117" t="s">
        <v>1139</v>
      </c>
      <c r="AF8" s="90" t="s">
        <v>1104</v>
      </c>
      <c r="AG8" s="90" t="s">
        <v>0</v>
      </c>
      <c r="AH8" s="93" t="s">
        <v>972</v>
      </c>
      <c r="AI8" s="93" t="b">
        <v>0</v>
      </c>
      <c r="AJ8" s="93"/>
      <c r="AK8" s="93" t="b">
        <v>0</v>
      </c>
      <c r="AL8" s="93"/>
      <c r="AM8" s="93" t="b">
        <v>0</v>
      </c>
      <c r="AN8" s="93" t="b">
        <v>0</v>
      </c>
      <c r="AO8" s="93" t="b">
        <v>0</v>
      </c>
      <c r="AP8" s="93" t="b">
        <v>0</v>
      </c>
      <c r="AQ8" s="93" t="b">
        <v>0</v>
      </c>
      <c r="AR8" s="93" t="b">
        <v>0</v>
      </c>
      <c r="AS8" s="93" t="b">
        <v>0</v>
      </c>
      <c r="AT8" s="107" t="s">
        <v>1141</v>
      </c>
      <c r="AU8" s="94">
        <v>9882360</v>
      </c>
      <c r="AV8" s="90" t="s">
        <v>983</v>
      </c>
      <c r="AW8" s="108" t="s">
        <v>1058</v>
      </c>
      <c r="AX8" s="91">
        <v>44509</v>
      </c>
      <c r="AY8" s="108" t="s">
        <v>1133</v>
      </c>
      <c r="AZ8" s="90"/>
      <c r="BA8" s="90"/>
      <c r="BB8" s="90" t="s">
        <v>402</v>
      </c>
      <c r="BC8" s="90"/>
      <c r="BD8" s="90" t="s">
        <v>801</v>
      </c>
      <c r="BE8" s="90"/>
      <c r="BF8" s="90"/>
      <c r="BG8" s="91"/>
      <c r="BH8" s="93" t="b">
        <v>0</v>
      </c>
      <c r="BI8" s="90"/>
      <c r="BJ8" s="90"/>
      <c r="BK8" s="90" t="s">
        <v>1105</v>
      </c>
      <c r="BL8" s="90" t="s">
        <v>1140</v>
      </c>
      <c r="BM8" s="90"/>
      <c r="BN8" s="90"/>
      <c r="BO8" s="90"/>
      <c r="BP8" s="90"/>
      <c r="BQ8" s="90"/>
      <c r="BR8" s="95"/>
      <c r="BS8" s="90"/>
      <c r="BT8" s="90"/>
      <c r="BU8" s="90"/>
      <c r="BV8" s="90"/>
      <c r="BW8" s="90"/>
      <c r="BX8" s="90"/>
      <c r="BY8" s="90"/>
      <c r="BZ8" s="90"/>
      <c r="CA8" s="90"/>
      <c r="CB8" s="90"/>
      <c r="CC8" s="91"/>
      <c r="CD8" s="90"/>
      <c r="CE8" s="91"/>
      <c r="CF8" s="90"/>
      <c r="CG8" s="91"/>
      <c r="CH8" s="90"/>
      <c r="CI8" s="91"/>
      <c r="CJ8" s="90"/>
      <c r="CK8" s="91"/>
      <c r="CL8" s="90"/>
      <c r="CM8" s="91"/>
      <c r="CN8" s="96"/>
      <c r="CO8" s="91"/>
      <c r="CP8" s="90" t="s">
        <v>775</v>
      </c>
      <c r="CQ8" s="90"/>
      <c r="CR8" s="90" t="s">
        <v>1108</v>
      </c>
      <c r="CS8" s="90"/>
      <c r="CT8" s="91"/>
      <c r="CU8" s="90" t="s">
        <v>1139</v>
      </c>
      <c r="CV8" s="97"/>
    </row>
    <row r="9" spans="1:100" ht="15" customHeight="1">
      <c r="A9" s="117" t="s">
        <v>1143</v>
      </c>
      <c r="B9" s="118">
        <v>44295</v>
      </c>
      <c r="C9" s="117" t="s">
        <v>1142</v>
      </c>
      <c r="D9" s="117" t="s">
        <v>358</v>
      </c>
      <c r="E9" s="119" t="s">
        <v>1110</v>
      </c>
      <c r="F9" s="117" t="s">
        <v>1111</v>
      </c>
      <c r="G9" s="117" t="s">
        <v>377</v>
      </c>
      <c r="H9" s="117"/>
      <c r="I9" s="117" t="s">
        <v>360</v>
      </c>
      <c r="J9" s="117" t="s">
        <v>1112</v>
      </c>
      <c r="K9" s="117" t="s">
        <v>402</v>
      </c>
      <c r="L9" s="117" t="s">
        <v>1113</v>
      </c>
      <c r="M9" s="119" t="s">
        <v>346</v>
      </c>
      <c r="N9" s="117" t="s">
        <v>1114</v>
      </c>
      <c r="O9" s="117" t="s">
        <v>262</v>
      </c>
      <c r="P9" s="117" t="s">
        <v>262</v>
      </c>
      <c r="Q9" s="118"/>
      <c r="R9" s="118">
        <v>44295</v>
      </c>
      <c r="S9" s="117"/>
      <c r="T9" s="118"/>
      <c r="U9" s="120" t="s">
        <v>295</v>
      </c>
      <c r="V9" s="120" t="s">
        <v>295</v>
      </c>
      <c r="W9" s="121" t="s">
        <v>262</v>
      </c>
      <c r="X9" s="117" t="s">
        <v>1109</v>
      </c>
      <c r="Y9" s="117"/>
      <c r="Z9" s="117"/>
      <c r="AA9" s="117" t="s">
        <v>568</v>
      </c>
      <c r="AB9" s="117" t="s">
        <v>262</v>
      </c>
      <c r="AC9" s="118">
        <v>44295</v>
      </c>
      <c r="AD9" s="117" t="s">
        <v>349</v>
      </c>
      <c r="AE9" s="117" t="s">
        <v>1144</v>
      </c>
      <c r="AF9" s="90" t="s">
        <v>1104</v>
      </c>
      <c r="AG9" s="90" t="s">
        <v>0</v>
      </c>
      <c r="AH9" s="93" t="s">
        <v>972</v>
      </c>
      <c r="AI9" s="93" t="b">
        <v>0</v>
      </c>
      <c r="AJ9" s="93"/>
      <c r="AK9" s="93" t="b">
        <v>0</v>
      </c>
      <c r="AL9" s="93"/>
      <c r="AM9" s="93" t="b">
        <v>0</v>
      </c>
      <c r="AN9" s="93" t="b">
        <v>0</v>
      </c>
      <c r="AO9" s="93" t="b">
        <v>0</v>
      </c>
      <c r="AP9" s="93" t="b">
        <v>0</v>
      </c>
      <c r="AQ9" s="93" t="b">
        <v>0</v>
      </c>
      <c r="AR9" s="93" t="b">
        <v>0</v>
      </c>
      <c r="AS9" s="93" t="b">
        <v>0</v>
      </c>
      <c r="AT9" s="107" t="s">
        <v>1150</v>
      </c>
      <c r="AU9" s="94">
        <v>9882360</v>
      </c>
      <c r="AV9" s="90" t="s">
        <v>983</v>
      </c>
      <c r="AW9" s="108" t="s">
        <v>1058</v>
      </c>
      <c r="AX9" s="91">
        <v>44509</v>
      </c>
      <c r="AY9" s="108" t="s">
        <v>1133</v>
      </c>
      <c r="AZ9" s="90" t="s">
        <v>568</v>
      </c>
      <c r="BA9" s="90" t="s">
        <v>568</v>
      </c>
      <c r="BB9" s="90" t="s">
        <v>402</v>
      </c>
      <c r="BC9" s="90" t="s">
        <v>262</v>
      </c>
      <c r="BD9" s="90" t="s">
        <v>801</v>
      </c>
      <c r="BE9" s="90"/>
      <c r="BF9" s="90"/>
      <c r="BG9" s="91"/>
      <c r="BH9" s="93" t="b">
        <v>0</v>
      </c>
      <c r="BI9" s="90"/>
      <c r="BJ9" s="90"/>
      <c r="BK9" s="90" t="s">
        <v>1105</v>
      </c>
      <c r="BL9" s="90" t="s">
        <v>1145</v>
      </c>
      <c r="BM9" s="90" t="s">
        <v>842</v>
      </c>
      <c r="BN9" s="90" t="s">
        <v>1115</v>
      </c>
      <c r="BO9" s="90" t="s">
        <v>1146</v>
      </c>
      <c r="BP9" s="90" t="s">
        <v>1116</v>
      </c>
      <c r="BQ9" s="90" t="s">
        <v>1117</v>
      </c>
      <c r="BR9" s="95">
        <v>145.51297453703702</v>
      </c>
      <c r="BS9" s="90" t="s">
        <v>1147</v>
      </c>
      <c r="BT9" s="90" t="s">
        <v>1148</v>
      </c>
      <c r="BU9" s="90" t="s">
        <v>1149</v>
      </c>
      <c r="BV9" s="90" t="s">
        <v>1118</v>
      </c>
      <c r="BW9" s="90" t="s">
        <v>1119</v>
      </c>
      <c r="BX9" s="90" t="s">
        <v>1120</v>
      </c>
      <c r="BY9" s="90" t="s">
        <v>1121</v>
      </c>
      <c r="BZ9" s="90" t="s">
        <v>346</v>
      </c>
      <c r="CA9" s="90" t="s">
        <v>341</v>
      </c>
      <c r="CB9" s="90" t="s">
        <v>1144</v>
      </c>
      <c r="CC9" s="91"/>
      <c r="CD9" s="90" t="s">
        <v>341</v>
      </c>
      <c r="CE9" s="91">
        <v>44295</v>
      </c>
      <c r="CF9" s="90" t="s">
        <v>341</v>
      </c>
      <c r="CG9" s="91">
        <v>44295</v>
      </c>
      <c r="CH9" s="90" t="s">
        <v>262</v>
      </c>
      <c r="CI9" s="91"/>
      <c r="CJ9" s="90" t="s">
        <v>262</v>
      </c>
      <c r="CK9" s="91"/>
      <c r="CL9" s="90" t="s">
        <v>262</v>
      </c>
      <c r="CM9" s="91"/>
      <c r="CN9" s="96" t="s">
        <v>341</v>
      </c>
      <c r="CO9" s="91">
        <v>44295</v>
      </c>
      <c r="CP9" s="90"/>
      <c r="CQ9" s="90"/>
      <c r="CR9" s="90"/>
      <c r="CS9" s="90"/>
      <c r="CT9" s="91"/>
      <c r="CU9" s="90"/>
      <c r="CV9" s="97"/>
    </row>
    <row r="10" spans="1:100" ht="15" customHeight="1">
      <c r="A10" s="117" t="s">
        <v>1152</v>
      </c>
      <c r="B10" s="118">
        <v>44300</v>
      </c>
      <c r="C10" s="117" t="s">
        <v>1151</v>
      </c>
      <c r="D10" s="117" t="s">
        <v>361</v>
      </c>
      <c r="E10" s="119" t="s">
        <v>1153</v>
      </c>
      <c r="F10" s="117" t="s">
        <v>1154</v>
      </c>
      <c r="G10" s="117" t="s">
        <v>385</v>
      </c>
      <c r="H10" s="117" t="s">
        <v>1155</v>
      </c>
      <c r="I10" s="117" t="s">
        <v>363</v>
      </c>
      <c r="J10" s="117" t="s">
        <v>1156</v>
      </c>
      <c r="K10" s="117" t="s">
        <v>427</v>
      </c>
      <c r="L10" s="117" t="s">
        <v>1157</v>
      </c>
      <c r="M10" s="119" t="s">
        <v>346</v>
      </c>
      <c r="N10" s="117" t="s">
        <v>1158</v>
      </c>
      <c r="O10" s="117" t="s">
        <v>1159</v>
      </c>
      <c r="P10" s="117" t="s">
        <v>1160</v>
      </c>
      <c r="Q10" s="118">
        <v>44297</v>
      </c>
      <c r="R10" s="118">
        <v>44391</v>
      </c>
      <c r="S10" s="117" t="s">
        <v>1161</v>
      </c>
      <c r="T10" s="118">
        <v>44300</v>
      </c>
      <c r="U10" s="120" t="s">
        <v>295</v>
      </c>
      <c r="V10" s="120" t="s">
        <v>295</v>
      </c>
      <c r="W10" s="121" t="s">
        <v>262</v>
      </c>
      <c r="X10" s="117" t="s">
        <v>1162</v>
      </c>
      <c r="Y10" s="117"/>
      <c r="Z10" s="117"/>
      <c r="AA10" s="117" t="s">
        <v>3</v>
      </c>
      <c r="AB10" s="117" t="s">
        <v>1163</v>
      </c>
      <c r="AC10" s="118">
        <v>44300</v>
      </c>
      <c r="AD10" s="117" t="s">
        <v>349</v>
      </c>
      <c r="AE10" s="117" t="s">
        <v>1127</v>
      </c>
      <c r="AF10" s="90" t="s">
        <v>1104</v>
      </c>
      <c r="AG10" s="90" t="s">
        <v>0</v>
      </c>
      <c r="AH10" s="93" t="s">
        <v>972</v>
      </c>
      <c r="AI10" s="93" t="b">
        <v>0</v>
      </c>
      <c r="AJ10" s="93"/>
      <c r="AK10" s="93" t="b">
        <v>0</v>
      </c>
      <c r="AL10" s="93"/>
      <c r="AM10" s="93" t="b">
        <v>0</v>
      </c>
      <c r="AN10" s="93" t="b">
        <v>0</v>
      </c>
      <c r="AO10" s="93" t="b">
        <v>0</v>
      </c>
      <c r="AP10" s="93" t="b">
        <v>0</v>
      </c>
      <c r="AQ10" s="93" t="b">
        <v>0</v>
      </c>
      <c r="AR10" s="93" t="b">
        <v>0</v>
      </c>
      <c r="AS10" s="93" t="b">
        <v>0</v>
      </c>
      <c r="AT10" s="107" t="s">
        <v>1164</v>
      </c>
      <c r="AU10" s="94">
        <v>9882360</v>
      </c>
      <c r="AV10" s="90" t="s">
        <v>983</v>
      </c>
      <c r="AW10" s="108" t="s">
        <v>1058</v>
      </c>
      <c r="AX10" s="91">
        <v>44509</v>
      </c>
      <c r="AY10" s="108" t="s">
        <v>1133</v>
      </c>
      <c r="AZ10" s="90" t="s">
        <v>13</v>
      </c>
      <c r="BA10" s="90" t="s">
        <v>83</v>
      </c>
      <c r="BB10" s="90" t="s">
        <v>32</v>
      </c>
      <c r="BC10" s="90"/>
      <c r="BD10" s="90" t="s">
        <v>27</v>
      </c>
      <c r="BE10" s="90"/>
      <c r="BF10" s="90"/>
      <c r="BG10" s="91"/>
      <c r="BH10" s="93" t="b">
        <v>0</v>
      </c>
      <c r="BI10" s="90"/>
      <c r="BJ10" s="90"/>
      <c r="BK10" s="90" t="s">
        <v>1105</v>
      </c>
      <c r="BL10" s="90"/>
      <c r="BM10" s="90"/>
      <c r="BN10" s="90"/>
      <c r="BO10" s="90"/>
      <c r="BP10" s="90"/>
      <c r="BQ10" s="90"/>
      <c r="BR10" s="95"/>
      <c r="BS10" s="90"/>
      <c r="BT10" s="90"/>
      <c r="BU10" s="90"/>
      <c r="BV10" s="90"/>
      <c r="BW10" s="90"/>
      <c r="BX10" s="90"/>
      <c r="BY10" s="90"/>
      <c r="BZ10" s="90"/>
      <c r="CA10" s="90"/>
      <c r="CB10" s="90"/>
      <c r="CC10" s="91"/>
      <c r="CD10" s="90"/>
      <c r="CE10" s="91"/>
      <c r="CF10" s="90"/>
      <c r="CG10" s="91"/>
      <c r="CH10" s="90"/>
      <c r="CI10" s="91"/>
      <c r="CJ10" s="90"/>
      <c r="CK10" s="91"/>
      <c r="CL10" s="90"/>
      <c r="CM10" s="91"/>
      <c r="CN10" s="96"/>
      <c r="CO10" s="91"/>
      <c r="CP10" s="90"/>
      <c r="CQ10" s="90"/>
      <c r="CR10" s="90"/>
      <c r="CS10" s="90"/>
      <c r="CT10" s="91"/>
      <c r="CU10" s="90"/>
      <c r="CV10" s="97"/>
    </row>
    <row r="11" spans="1:100" ht="15" customHeight="1">
      <c r="A11" s="117" t="s">
        <v>1166</v>
      </c>
      <c r="B11" s="118">
        <v>44307</v>
      </c>
      <c r="C11" s="117" t="s">
        <v>1165</v>
      </c>
      <c r="D11" s="117" t="s">
        <v>337</v>
      </c>
      <c r="E11" s="119" t="s">
        <v>1101</v>
      </c>
      <c r="F11" s="117" t="s">
        <v>1102</v>
      </c>
      <c r="G11" s="117" t="s">
        <v>370</v>
      </c>
      <c r="H11" s="117" t="s">
        <v>1167</v>
      </c>
      <c r="I11" s="117" t="s">
        <v>339</v>
      </c>
      <c r="J11" s="117" t="s">
        <v>1103</v>
      </c>
      <c r="K11" s="117" t="s">
        <v>28</v>
      </c>
      <c r="L11" s="117" t="s">
        <v>1168</v>
      </c>
      <c r="M11" s="119" t="s">
        <v>346</v>
      </c>
      <c r="N11" s="117" t="s">
        <v>1169</v>
      </c>
      <c r="O11" s="117" t="s">
        <v>1170</v>
      </c>
      <c r="P11" s="117"/>
      <c r="Q11" s="118"/>
      <c r="R11" s="118"/>
      <c r="S11" s="117"/>
      <c r="T11" s="118"/>
      <c r="U11" s="120" t="s">
        <v>295</v>
      </c>
      <c r="V11" s="120" t="s">
        <v>295</v>
      </c>
      <c r="W11" s="121" t="s">
        <v>262</v>
      </c>
      <c r="X11" s="117" t="s">
        <v>1171</v>
      </c>
      <c r="Y11" s="117"/>
      <c r="Z11" s="117"/>
      <c r="AA11" s="117" t="s">
        <v>2</v>
      </c>
      <c r="AB11" s="117" t="s">
        <v>1172</v>
      </c>
      <c r="AC11" s="118">
        <v>44340</v>
      </c>
      <c r="AD11" s="117" t="s">
        <v>349</v>
      </c>
      <c r="AE11" s="117" t="s">
        <v>1139</v>
      </c>
      <c r="AF11" s="90" t="s">
        <v>1104</v>
      </c>
      <c r="AG11" s="90" t="s">
        <v>0</v>
      </c>
      <c r="AH11" s="93" t="s">
        <v>972</v>
      </c>
      <c r="AI11" s="93" t="b">
        <v>0</v>
      </c>
      <c r="AJ11" s="93"/>
      <c r="AK11" s="93" t="b">
        <v>0</v>
      </c>
      <c r="AL11" s="93"/>
      <c r="AM11" s="93" t="b">
        <v>0</v>
      </c>
      <c r="AN11" s="93" t="b">
        <v>0</v>
      </c>
      <c r="AO11" s="93" t="b">
        <v>0</v>
      </c>
      <c r="AP11" s="93" t="b">
        <v>0</v>
      </c>
      <c r="AQ11" s="93" t="b">
        <v>0</v>
      </c>
      <c r="AR11" s="93" t="b">
        <v>0</v>
      </c>
      <c r="AS11" s="93" t="b">
        <v>0</v>
      </c>
      <c r="AT11" s="107" t="s">
        <v>1178</v>
      </c>
      <c r="AU11" s="94">
        <v>9882360</v>
      </c>
      <c r="AV11" s="90" t="s">
        <v>983</v>
      </c>
      <c r="AW11" s="108" t="s">
        <v>1058</v>
      </c>
      <c r="AX11" s="91">
        <v>44509</v>
      </c>
      <c r="AY11" s="108" t="s">
        <v>1133</v>
      </c>
      <c r="AZ11" s="90" t="s">
        <v>12</v>
      </c>
      <c r="BA11" s="90" t="s">
        <v>177</v>
      </c>
      <c r="BB11" s="90" t="s">
        <v>36</v>
      </c>
      <c r="BC11" s="90"/>
      <c r="BD11" s="90" t="s">
        <v>28</v>
      </c>
      <c r="BE11" s="90" t="s">
        <v>1173</v>
      </c>
      <c r="BF11" s="90"/>
      <c r="BG11" s="91"/>
      <c r="BH11" s="93" t="b">
        <v>0</v>
      </c>
      <c r="BI11" s="90"/>
      <c r="BJ11" s="90"/>
      <c r="BK11" s="90" t="s">
        <v>1105</v>
      </c>
      <c r="BL11" s="90" t="s">
        <v>1174</v>
      </c>
      <c r="BM11" s="90"/>
      <c r="BN11" s="90" t="s">
        <v>1115</v>
      </c>
      <c r="BO11" s="90" t="s">
        <v>1175</v>
      </c>
      <c r="BP11" s="90" t="s">
        <v>1106</v>
      </c>
      <c r="BQ11" s="90" t="s">
        <v>1176</v>
      </c>
      <c r="BR11" s="95"/>
      <c r="BS11" s="90" t="s">
        <v>1177</v>
      </c>
      <c r="BT11" s="90" t="s">
        <v>1107</v>
      </c>
      <c r="BU11" s="90" t="s">
        <v>1149</v>
      </c>
      <c r="BV11" s="90"/>
      <c r="BW11" s="90"/>
      <c r="BX11" s="90"/>
      <c r="BY11" s="90"/>
      <c r="BZ11" s="90"/>
      <c r="CA11" s="90"/>
      <c r="CB11" s="90"/>
      <c r="CC11" s="91"/>
      <c r="CD11" s="90"/>
      <c r="CE11" s="91"/>
      <c r="CF11" s="90"/>
      <c r="CG11" s="91"/>
      <c r="CH11" s="90"/>
      <c r="CI11" s="91"/>
      <c r="CJ11" s="90"/>
      <c r="CK11" s="91"/>
      <c r="CL11" s="90"/>
      <c r="CM11" s="91"/>
      <c r="CN11" s="96"/>
      <c r="CO11" s="91"/>
      <c r="CP11" s="90" t="s">
        <v>765</v>
      </c>
      <c r="CQ11" s="90" t="s">
        <v>568</v>
      </c>
      <c r="CR11" s="90" t="s">
        <v>568</v>
      </c>
      <c r="CS11" s="90">
        <v>8</v>
      </c>
      <c r="CT11" s="91">
        <v>44328</v>
      </c>
      <c r="CU11" s="90" t="s">
        <v>1139</v>
      </c>
      <c r="CV11" s="97">
        <v>44328</v>
      </c>
    </row>
    <row r="12" spans="1:100" ht="15" customHeight="1">
      <c r="A12" s="117" t="s">
        <v>1180</v>
      </c>
      <c r="B12" s="118">
        <v>44336</v>
      </c>
      <c r="C12" s="117" t="s">
        <v>1179</v>
      </c>
      <c r="D12" s="117" t="s">
        <v>364</v>
      </c>
      <c r="E12" s="119" t="s">
        <v>1131</v>
      </c>
      <c r="F12" s="117" t="s">
        <v>1132</v>
      </c>
      <c r="G12" s="117" t="s">
        <v>390</v>
      </c>
      <c r="H12" s="117" t="s">
        <v>1181</v>
      </c>
      <c r="I12" s="117" t="s">
        <v>17</v>
      </c>
      <c r="J12" s="117" t="s">
        <v>1182</v>
      </c>
      <c r="K12" s="117" t="s">
        <v>126</v>
      </c>
      <c r="L12" s="117" t="s">
        <v>1183</v>
      </c>
      <c r="M12" s="119" t="s">
        <v>346</v>
      </c>
      <c r="N12" s="117" t="s">
        <v>1184</v>
      </c>
      <c r="O12" s="117" t="s">
        <v>1185</v>
      </c>
      <c r="P12" s="117" t="s">
        <v>1186</v>
      </c>
      <c r="Q12" s="118">
        <v>44338</v>
      </c>
      <c r="R12" s="118">
        <v>44396</v>
      </c>
      <c r="S12" s="117" t="s">
        <v>1187</v>
      </c>
      <c r="T12" s="118">
        <v>44352</v>
      </c>
      <c r="U12" s="120" t="s">
        <v>295</v>
      </c>
      <c r="V12" s="120" t="s">
        <v>295</v>
      </c>
      <c r="W12" s="121" t="s">
        <v>262</v>
      </c>
      <c r="X12" s="117" t="s">
        <v>1188</v>
      </c>
      <c r="Y12" s="117"/>
      <c r="Z12" s="117"/>
      <c r="AA12" s="117" t="s">
        <v>4</v>
      </c>
      <c r="AB12" s="117" t="s">
        <v>1189</v>
      </c>
      <c r="AC12" s="118">
        <v>44352</v>
      </c>
      <c r="AD12" s="117" t="s">
        <v>349</v>
      </c>
      <c r="AE12" s="117" t="s">
        <v>1127</v>
      </c>
      <c r="AF12" s="90" t="s">
        <v>1104</v>
      </c>
      <c r="AG12" s="90" t="s">
        <v>0</v>
      </c>
      <c r="AH12" s="93" t="s">
        <v>1190</v>
      </c>
      <c r="AI12" s="93" t="b">
        <v>0</v>
      </c>
      <c r="AJ12" s="93"/>
      <c r="AK12" s="93" t="b">
        <v>0</v>
      </c>
      <c r="AL12" s="93"/>
      <c r="AM12" s="93" t="b">
        <v>1</v>
      </c>
      <c r="AN12" s="93" t="b">
        <v>0</v>
      </c>
      <c r="AO12" s="93" t="b">
        <v>0</v>
      </c>
      <c r="AP12" s="93" t="b">
        <v>0</v>
      </c>
      <c r="AQ12" s="93" t="b">
        <v>1</v>
      </c>
      <c r="AR12" s="93" t="b">
        <v>1</v>
      </c>
      <c r="AS12" s="93" t="b">
        <v>0</v>
      </c>
      <c r="AT12" s="107" t="s">
        <v>1192</v>
      </c>
      <c r="AU12" s="94">
        <v>9882360</v>
      </c>
      <c r="AV12" s="90" t="s">
        <v>983</v>
      </c>
      <c r="AW12" s="108" t="s">
        <v>1058</v>
      </c>
      <c r="AX12" s="91">
        <v>44509</v>
      </c>
      <c r="AY12" s="108" t="s">
        <v>1133</v>
      </c>
      <c r="AZ12" s="90" t="s">
        <v>17</v>
      </c>
      <c r="BA12" s="90" t="s">
        <v>126</v>
      </c>
      <c r="BB12" s="90" t="s">
        <v>43</v>
      </c>
      <c r="BC12" s="90"/>
      <c r="BD12" s="90" t="s">
        <v>756</v>
      </c>
      <c r="BE12" s="90"/>
      <c r="BF12" s="90"/>
      <c r="BG12" s="91"/>
      <c r="BH12" s="93" t="b">
        <v>0</v>
      </c>
      <c r="BI12" s="90" t="s">
        <v>1191</v>
      </c>
      <c r="BJ12" s="90"/>
      <c r="BK12" s="90" t="s">
        <v>1105</v>
      </c>
      <c r="BL12" s="90"/>
      <c r="BM12" s="90"/>
      <c r="BN12" s="90"/>
      <c r="BO12" s="90"/>
      <c r="BP12" s="90"/>
      <c r="BQ12" s="90"/>
      <c r="BR12" s="95"/>
      <c r="BS12" s="90"/>
      <c r="BT12" s="90"/>
      <c r="BU12" s="90"/>
      <c r="BV12" s="90"/>
      <c r="BW12" s="90"/>
      <c r="BX12" s="90"/>
      <c r="BY12" s="90"/>
      <c r="BZ12" s="90"/>
      <c r="CA12" s="90"/>
      <c r="CB12" s="90"/>
      <c r="CC12" s="91"/>
      <c r="CD12" s="90"/>
      <c r="CE12" s="91"/>
      <c r="CF12" s="90"/>
      <c r="CG12" s="91"/>
      <c r="CH12" s="90"/>
      <c r="CI12" s="91"/>
      <c r="CJ12" s="90"/>
      <c r="CK12" s="91"/>
      <c r="CL12" s="90"/>
      <c r="CM12" s="91"/>
      <c r="CN12" s="96"/>
      <c r="CO12" s="91"/>
      <c r="CP12" s="90"/>
      <c r="CQ12" s="90"/>
      <c r="CR12" s="90"/>
      <c r="CS12" s="90"/>
      <c r="CT12" s="91"/>
      <c r="CU12" s="90"/>
      <c r="CV12" s="97"/>
    </row>
    <row r="13" spans="1:100" ht="15" customHeight="1">
      <c r="A13" s="117" t="s">
        <v>1194</v>
      </c>
      <c r="B13" s="118">
        <v>44336</v>
      </c>
      <c r="C13" s="117" t="s">
        <v>1193</v>
      </c>
      <c r="D13" s="117" t="s">
        <v>364</v>
      </c>
      <c r="E13" s="119" t="s">
        <v>1131</v>
      </c>
      <c r="F13" s="117" t="s">
        <v>1132</v>
      </c>
      <c r="G13" s="117" t="s">
        <v>390</v>
      </c>
      <c r="H13" s="117" t="s">
        <v>1181</v>
      </c>
      <c r="I13" s="117" t="s">
        <v>14</v>
      </c>
      <c r="J13" s="117" t="s">
        <v>1195</v>
      </c>
      <c r="K13" s="117" t="s">
        <v>86</v>
      </c>
      <c r="L13" s="117" t="s">
        <v>1196</v>
      </c>
      <c r="M13" s="119" t="s">
        <v>341</v>
      </c>
      <c r="N13" s="117" t="s">
        <v>1197</v>
      </c>
      <c r="O13" s="117" t="s">
        <v>1198</v>
      </c>
      <c r="P13" s="117" t="s">
        <v>1199</v>
      </c>
      <c r="Q13" s="118">
        <v>44336</v>
      </c>
      <c r="R13" s="118">
        <v>44426</v>
      </c>
      <c r="S13" s="117" t="s">
        <v>1200</v>
      </c>
      <c r="T13" s="118">
        <v>44391</v>
      </c>
      <c r="U13" s="120" t="s">
        <v>295</v>
      </c>
      <c r="V13" s="120" t="s">
        <v>1201</v>
      </c>
      <c r="W13" s="121" t="s">
        <v>262</v>
      </c>
      <c r="X13" s="117" t="s">
        <v>1202</v>
      </c>
      <c r="Y13" s="117"/>
      <c r="Z13" s="117"/>
      <c r="AA13" s="117" t="s">
        <v>4</v>
      </c>
      <c r="AB13" s="117" t="s">
        <v>1203</v>
      </c>
      <c r="AC13" s="118">
        <v>44391</v>
      </c>
      <c r="AD13" s="117" t="s">
        <v>349</v>
      </c>
      <c r="AE13" s="117" t="s">
        <v>1127</v>
      </c>
      <c r="AF13" s="90" t="s">
        <v>1104</v>
      </c>
      <c r="AG13" s="90" t="s">
        <v>0</v>
      </c>
      <c r="AH13" s="93" t="s">
        <v>972</v>
      </c>
      <c r="AI13" s="93" t="b">
        <v>1</v>
      </c>
      <c r="AJ13" s="93" t="s">
        <v>1201</v>
      </c>
      <c r="AK13" s="93" t="b">
        <v>1</v>
      </c>
      <c r="AL13" s="93" t="s">
        <v>1201</v>
      </c>
      <c r="AM13" s="93" t="b">
        <v>1</v>
      </c>
      <c r="AN13" s="93" t="b">
        <v>0</v>
      </c>
      <c r="AO13" s="93" t="b">
        <v>0</v>
      </c>
      <c r="AP13" s="93" t="b">
        <v>0</v>
      </c>
      <c r="AQ13" s="93" t="b">
        <v>0</v>
      </c>
      <c r="AR13" s="93" t="b">
        <v>0</v>
      </c>
      <c r="AS13" s="93" t="b">
        <v>0</v>
      </c>
      <c r="AT13" s="107" t="s">
        <v>1204</v>
      </c>
      <c r="AU13" s="94">
        <v>9882360</v>
      </c>
      <c r="AV13" s="90" t="s">
        <v>983</v>
      </c>
      <c r="AW13" s="108" t="s">
        <v>1058</v>
      </c>
      <c r="AX13" s="91">
        <v>44509</v>
      </c>
      <c r="AY13" s="108" t="s">
        <v>1133</v>
      </c>
      <c r="AZ13" s="90" t="s">
        <v>14</v>
      </c>
      <c r="BA13" s="90" t="s">
        <v>86</v>
      </c>
      <c r="BB13" s="90" t="s">
        <v>43</v>
      </c>
      <c r="BC13" s="90"/>
      <c r="BD13" s="90" t="s">
        <v>756</v>
      </c>
      <c r="BE13" s="90"/>
      <c r="BF13" s="90"/>
      <c r="BG13" s="91"/>
      <c r="BH13" s="93" t="b">
        <v>0</v>
      </c>
      <c r="BI13" s="90"/>
      <c r="BJ13" s="90"/>
      <c r="BK13" s="90" t="s">
        <v>1105</v>
      </c>
      <c r="BL13" s="90"/>
      <c r="BM13" s="90"/>
      <c r="BN13" s="90"/>
      <c r="BO13" s="90"/>
      <c r="BP13" s="90"/>
      <c r="BQ13" s="90"/>
      <c r="BR13" s="95"/>
      <c r="BS13" s="90"/>
      <c r="BT13" s="90"/>
      <c r="BU13" s="90"/>
      <c r="BV13" s="90"/>
      <c r="BW13" s="90"/>
      <c r="BX13" s="90"/>
      <c r="BY13" s="90"/>
      <c r="BZ13" s="90"/>
      <c r="CA13" s="90"/>
      <c r="CB13" s="90"/>
      <c r="CC13" s="91"/>
      <c r="CD13" s="90"/>
      <c r="CE13" s="91"/>
      <c r="CF13" s="90"/>
      <c r="CG13" s="91"/>
      <c r="CH13" s="90"/>
      <c r="CI13" s="91"/>
      <c r="CJ13" s="90"/>
      <c r="CK13" s="91"/>
      <c r="CL13" s="90"/>
      <c r="CM13" s="91"/>
      <c r="CN13" s="96"/>
      <c r="CO13" s="91"/>
      <c r="CP13" s="90"/>
      <c r="CQ13" s="90"/>
      <c r="CR13" s="90"/>
      <c r="CS13" s="90"/>
      <c r="CT13" s="91"/>
      <c r="CU13" s="90"/>
      <c r="CV13" s="97"/>
    </row>
    <row r="14" spans="1:100" ht="15" customHeight="1">
      <c r="A14" s="117" t="s">
        <v>1206</v>
      </c>
      <c r="B14" s="118">
        <v>44337</v>
      </c>
      <c r="C14" s="117" t="s">
        <v>1205</v>
      </c>
      <c r="D14" s="117" t="s">
        <v>352</v>
      </c>
      <c r="E14" s="119" t="s">
        <v>1122</v>
      </c>
      <c r="F14" s="117" t="s">
        <v>1123</v>
      </c>
      <c r="G14" s="117" t="s">
        <v>374</v>
      </c>
      <c r="H14" s="117" t="s">
        <v>1207</v>
      </c>
      <c r="I14" s="117" t="s">
        <v>354</v>
      </c>
      <c r="J14" s="117" t="s">
        <v>1124</v>
      </c>
      <c r="K14" s="117" t="s">
        <v>421</v>
      </c>
      <c r="L14" s="117" t="s">
        <v>1208</v>
      </c>
      <c r="M14" s="119" t="s">
        <v>346</v>
      </c>
      <c r="N14" s="117" t="s">
        <v>1209</v>
      </c>
      <c r="O14" s="117" t="s">
        <v>1210</v>
      </c>
      <c r="P14" s="117" t="s">
        <v>1211</v>
      </c>
      <c r="Q14" s="118">
        <v>44337</v>
      </c>
      <c r="R14" s="118">
        <v>44348</v>
      </c>
      <c r="S14" s="117" t="s">
        <v>1212</v>
      </c>
      <c r="T14" s="118">
        <v>44345</v>
      </c>
      <c r="U14" s="120" t="s">
        <v>295</v>
      </c>
      <c r="V14" s="120" t="s">
        <v>295</v>
      </c>
      <c r="W14" s="121" t="s">
        <v>262</v>
      </c>
      <c r="X14" s="117" t="s">
        <v>1213</v>
      </c>
      <c r="Y14" s="117"/>
      <c r="Z14" s="117"/>
      <c r="AA14" s="117" t="s">
        <v>3</v>
      </c>
      <c r="AB14" s="117" t="s">
        <v>1214</v>
      </c>
      <c r="AC14" s="118">
        <v>44345</v>
      </c>
      <c r="AD14" s="117" t="s">
        <v>349</v>
      </c>
      <c r="AE14" s="117" t="s">
        <v>1127</v>
      </c>
      <c r="AF14" s="90" t="s">
        <v>1104</v>
      </c>
      <c r="AG14" s="90" t="s">
        <v>0</v>
      </c>
      <c r="AH14" s="93" t="s">
        <v>972</v>
      </c>
      <c r="AI14" s="93" t="b">
        <v>0</v>
      </c>
      <c r="AJ14" s="93"/>
      <c r="AK14" s="93" t="b">
        <v>0</v>
      </c>
      <c r="AL14" s="93"/>
      <c r="AM14" s="93" t="b">
        <v>0</v>
      </c>
      <c r="AN14" s="93" t="b">
        <v>0</v>
      </c>
      <c r="AO14" s="93" t="b">
        <v>0</v>
      </c>
      <c r="AP14" s="93" t="b">
        <v>0</v>
      </c>
      <c r="AQ14" s="93" t="b">
        <v>0</v>
      </c>
      <c r="AR14" s="93" t="b">
        <v>0</v>
      </c>
      <c r="AS14" s="93" t="b">
        <v>0</v>
      </c>
      <c r="AT14" s="107" t="s">
        <v>1216</v>
      </c>
      <c r="AU14" s="94">
        <v>9882360</v>
      </c>
      <c r="AV14" s="90" t="s">
        <v>983</v>
      </c>
      <c r="AW14" s="108" t="s">
        <v>1058</v>
      </c>
      <c r="AX14" s="91">
        <v>44509</v>
      </c>
      <c r="AY14" s="108" t="s">
        <v>1133</v>
      </c>
      <c r="AZ14" s="90" t="s">
        <v>582</v>
      </c>
      <c r="BA14" s="90" t="s">
        <v>69</v>
      </c>
      <c r="BB14" s="90" t="s">
        <v>47</v>
      </c>
      <c r="BC14" s="90"/>
      <c r="BD14" s="90" t="s">
        <v>29</v>
      </c>
      <c r="BE14" s="90"/>
      <c r="BF14" s="90"/>
      <c r="BG14" s="91"/>
      <c r="BH14" s="93" t="b">
        <v>0</v>
      </c>
      <c r="BI14" s="90"/>
      <c r="BJ14" s="90"/>
      <c r="BK14" s="90" t="s">
        <v>1105</v>
      </c>
      <c r="BL14" s="90" t="s">
        <v>1215</v>
      </c>
      <c r="BM14" s="90"/>
      <c r="BN14" s="90"/>
      <c r="BO14" s="90"/>
      <c r="BP14" s="90"/>
      <c r="BQ14" s="90"/>
      <c r="BR14" s="95"/>
      <c r="BS14" s="90"/>
      <c r="BT14" s="90"/>
      <c r="BU14" s="90"/>
      <c r="BV14" s="90"/>
      <c r="BW14" s="90"/>
      <c r="BX14" s="90"/>
      <c r="BY14" s="90"/>
      <c r="BZ14" s="90"/>
      <c r="CA14" s="90"/>
      <c r="CB14" s="90"/>
      <c r="CC14" s="91"/>
      <c r="CD14" s="90"/>
      <c r="CE14" s="91"/>
      <c r="CF14" s="90"/>
      <c r="CG14" s="91"/>
      <c r="CH14" s="90"/>
      <c r="CI14" s="91"/>
      <c r="CJ14" s="90"/>
      <c r="CK14" s="91"/>
      <c r="CL14" s="90"/>
      <c r="CM14" s="91"/>
      <c r="CN14" s="96"/>
      <c r="CO14" s="91"/>
      <c r="CP14" s="90"/>
      <c r="CQ14" s="90"/>
      <c r="CR14" s="90"/>
      <c r="CS14" s="90"/>
      <c r="CT14" s="91"/>
      <c r="CU14" s="90"/>
      <c r="CV14" s="97"/>
    </row>
    <row r="15" spans="1:100" ht="15" customHeight="1">
      <c r="A15" s="117" t="s">
        <v>1218</v>
      </c>
      <c r="B15" s="118">
        <v>44337</v>
      </c>
      <c r="C15" s="117" t="s">
        <v>1217</v>
      </c>
      <c r="D15" s="117" t="s">
        <v>352</v>
      </c>
      <c r="E15" s="119" t="s">
        <v>1122</v>
      </c>
      <c r="F15" s="117" t="s">
        <v>1123</v>
      </c>
      <c r="G15" s="117" t="s">
        <v>374</v>
      </c>
      <c r="H15" s="117" t="s">
        <v>1207</v>
      </c>
      <c r="I15" s="117" t="s">
        <v>354</v>
      </c>
      <c r="J15" s="117" t="s">
        <v>1124</v>
      </c>
      <c r="K15" s="117" t="s">
        <v>421</v>
      </c>
      <c r="L15" s="117" t="s">
        <v>1208</v>
      </c>
      <c r="M15" s="119" t="s">
        <v>346</v>
      </c>
      <c r="N15" s="117" t="s">
        <v>1219</v>
      </c>
      <c r="O15" s="117" t="s">
        <v>1220</v>
      </c>
      <c r="P15" s="117" t="s">
        <v>1221</v>
      </c>
      <c r="Q15" s="118">
        <v>44337</v>
      </c>
      <c r="R15" s="118">
        <v>44348</v>
      </c>
      <c r="S15" s="117" t="s">
        <v>1222</v>
      </c>
      <c r="T15" s="118">
        <v>44341</v>
      </c>
      <c r="U15" s="120" t="s">
        <v>295</v>
      </c>
      <c r="V15" s="120" t="s">
        <v>295</v>
      </c>
      <c r="W15" s="121" t="s">
        <v>262</v>
      </c>
      <c r="X15" s="117" t="s">
        <v>1223</v>
      </c>
      <c r="Y15" s="117"/>
      <c r="Z15" s="117"/>
      <c r="AA15" s="117" t="s">
        <v>804</v>
      </c>
      <c r="AB15" s="117" t="s">
        <v>1223</v>
      </c>
      <c r="AC15" s="118">
        <v>44341</v>
      </c>
      <c r="AD15" s="117" t="s">
        <v>349</v>
      </c>
      <c r="AE15" s="117" t="s">
        <v>1127</v>
      </c>
      <c r="AF15" s="90" t="s">
        <v>1104</v>
      </c>
      <c r="AG15" s="90" t="s">
        <v>0</v>
      </c>
      <c r="AH15" s="93" t="s">
        <v>972</v>
      </c>
      <c r="AI15" s="93" t="b">
        <v>0</v>
      </c>
      <c r="AJ15" s="93"/>
      <c r="AK15" s="93" t="b">
        <v>0</v>
      </c>
      <c r="AL15" s="93"/>
      <c r="AM15" s="93" t="b">
        <v>0</v>
      </c>
      <c r="AN15" s="93" t="b">
        <v>0</v>
      </c>
      <c r="AO15" s="93" t="b">
        <v>0</v>
      </c>
      <c r="AP15" s="93" t="b">
        <v>0</v>
      </c>
      <c r="AQ15" s="93" t="b">
        <v>0</v>
      </c>
      <c r="AR15" s="93" t="b">
        <v>0</v>
      </c>
      <c r="AS15" s="93" t="b">
        <v>0</v>
      </c>
      <c r="AT15" s="107" t="s">
        <v>1224</v>
      </c>
      <c r="AU15" s="94">
        <v>9882360</v>
      </c>
      <c r="AV15" s="90" t="s">
        <v>983</v>
      </c>
      <c r="AW15" s="108" t="s">
        <v>1058</v>
      </c>
      <c r="AX15" s="91">
        <v>44509</v>
      </c>
      <c r="AY15" s="108" t="s">
        <v>1133</v>
      </c>
      <c r="AZ15" s="90" t="s">
        <v>582</v>
      </c>
      <c r="BA15" s="90" t="s">
        <v>175</v>
      </c>
      <c r="BB15" s="90" t="s">
        <v>47</v>
      </c>
      <c r="BC15" s="90"/>
      <c r="BD15" s="90" t="s">
        <v>31</v>
      </c>
      <c r="BE15" s="90"/>
      <c r="BF15" s="90"/>
      <c r="BG15" s="91"/>
      <c r="BH15" s="93" t="b">
        <v>0</v>
      </c>
      <c r="BI15" s="90"/>
      <c r="BJ15" s="90"/>
      <c r="BK15" s="90" t="s">
        <v>1105</v>
      </c>
      <c r="BL15" s="90" t="s">
        <v>1215</v>
      </c>
      <c r="BM15" s="90"/>
      <c r="BN15" s="90"/>
      <c r="BO15" s="90"/>
      <c r="BP15" s="90"/>
      <c r="BQ15" s="90"/>
      <c r="BR15" s="95"/>
      <c r="BS15" s="90"/>
      <c r="BT15" s="90"/>
      <c r="BU15" s="90"/>
      <c r="BV15" s="90"/>
      <c r="BW15" s="90"/>
      <c r="BX15" s="90"/>
      <c r="BY15" s="90"/>
      <c r="BZ15" s="90"/>
      <c r="CA15" s="90"/>
      <c r="CB15" s="90"/>
      <c r="CC15" s="91"/>
      <c r="CD15" s="90"/>
      <c r="CE15" s="91"/>
      <c r="CF15" s="90"/>
      <c r="CG15" s="91"/>
      <c r="CH15" s="90"/>
      <c r="CI15" s="91"/>
      <c r="CJ15" s="90"/>
      <c r="CK15" s="91"/>
      <c r="CL15" s="90"/>
      <c r="CM15" s="91"/>
      <c r="CN15" s="96"/>
      <c r="CO15" s="91"/>
      <c r="CP15" s="90"/>
      <c r="CQ15" s="90"/>
      <c r="CR15" s="90"/>
      <c r="CS15" s="90"/>
      <c r="CT15" s="91"/>
      <c r="CU15" s="90"/>
      <c r="CV15" s="97"/>
    </row>
    <row r="16" spans="1:100" ht="15" customHeight="1">
      <c r="A16" s="117" t="s">
        <v>1226</v>
      </c>
      <c r="B16" s="118">
        <v>44337</v>
      </c>
      <c r="C16" s="117" t="s">
        <v>1225</v>
      </c>
      <c r="D16" s="117" t="s">
        <v>352</v>
      </c>
      <c r="E16" s="119" t="s">
        <v>1122</v>
      </c>
      <c r="F16" s="117" t="s">
        <v>1123</v>
      </c>
      <c r="G16" s="117" t="s">
        <v>374</v>
      </c>
      <c r="H16" s="117" t="s">
        <v>1207</v>
      </c>
      <c r="I16" s="117" t="s">
        <v>354</v>
      </c>
      <c r="J16" s="117" t="s">
        <v>1124</v>
      </c>
      <c r="K16" s="117" t="s">
        <v>421</v>
      </c>
      <c r="L16" s="117" t="s">
        <v>1208</v>
      </c>
      <c r="M16" s="119" t="s">
        <v>346</v>
      </c>
      <c r="N16" s="117" t="s">
        <v>1227</v>
      </c>
      <c r="O16" s="117" t="s">
        <v>1220</v>
      </c>
      <c r="P16" s="117" t="s">
        <v>1228</v>
      </c>
      <c r="Q16" s="118">
        <v>44341</v>
      </c>
      <c r="R16" s="118">
        <v>44348</v>
      </c>
      <c r="S16" s="117" t="s">
        <v>1229</v>
      </c>
      <c r="T16" s="118">
        <v>44340</v>
      </c>
      <c r="U16" s="120" t="s">
        <v>295</v>
      </c>
      <c r="V16" s="120" t="s">
        <v>295</v>
      </c>
      <c r="W16" s="121" t="s">
        <v>262</v>
      </c>
      <c r="X16" s="117" t="s">
        <v>1230</v>
      </c>
      <c r="Y16" s="117"/>
      <c r="Z16" s="117"/>
      <c r="AA16" s="117" t="s">
        <v>804</v>
      </c>
      <c r="AB16" s="117" t="s">
        <v>1231</v>
      </c>
      <c r="AC16" s="118">
        <v>44340</v>
      </c>
      <c r="AD16" s="117" t="s">
        <v>349</v>
      </c>
      <c r="AE16" s="117" t="s">
        <v>1127</v>
      </c>
      <c r="AF16" s="90" t="s">
        <v>1104</v>
      </c>
      <c r="AG16" s="90" t="s">
        <v>0</v>
      </c>
      <c r="AH16" s="93" t="s">
        <v>972</v>
      </c>
      <c r="AI16" s="93" t="b">
        <v>0</v>
      </c>
      <c r="AJ16" s="93"/>
      <c r="AK16" s="93" t="b">
        <v>0</v>
      </c>
      <c r="AL16" s="93"/>
      <c r="AM16" s="93" t="b">
        <v>0</v>
      </c>
      <c r="AN16" s="93" t="b">
        <v>0</v>
      </c>
      <c r="AO16" s="93" t="b">
        <v>0</v>
      </c>
      <c r="AP16" s="93" t="b">
        <v>0</v>
      </c>
      <c r="AQ16" s="93" t="b">
        <v>0</v>
      </c>
      <c r="AR16" s="93" t="b">
        <v>0</v>
      </c>
      <c r="AS16" s="93" t="b">
        <v>0</v>
      </c>
      <c r="AT16" s="107" t="s">
        <v>1232</v>
      </c>
      <c r="AU16" s="94">
        <v>9882360</v>
      </c>
      <c r="AV16" s="90" t="s">
        <v>983</v>
      </c>
      <c r="AW16" s="108" t="s">
        <v>1058</v>
      </c>
      <c r="AX16" s="91">
        <v>44509</v>
      </c>
      <c r="AY16" s="108" t="s">
        <v>1133</v>
      </c>
      <c r="AZ16" s="90" t="s">
        <v>581</v>
      </c>
      <c r="BA16" s="90" t="s">
        <v>173</v>
      </c>
      <c r="BB16" s="90" t="s">
        <v>47</v>
      </c>
      <c r="BC16" s="90"/>
      <c r="BD16" s="90" t="s">
        <v>31</v>
      </c>
      <c r="BE16" s="90"/>
      <c r="BF16" s="90"/>
      <c r="BG16" s="91"/>
      <c r="BH16" s="93" t="b">
        <v>0</v>
      </c>
      <c r="BI16" s="90"/>
      <c r="BJ16" s="90"/>
      <c r="BK16" s="90" t="s">
        <v>1105</v>
      </c>
      <c r="BL16" s="90" t="s">
        <v>1215</v>
      </c>
      <c r="BM16" s="90"/>
      <c r="BN16" s="90"/>
      <c r="BO16" s="90"/>
      <c r="BP16" s="90"/>
      <c r="BQ16" s="90"/>
      <c r="BR16" s="95"/>
      <c r="BS16" s="90"/>
      <c r="BT16" s="90"/>
      <c r="BU16" s="90"/>
      <c r="BV16" s="90"/>
      <c r="BW16" s="90"/>
      <c r="BX16" s="90"/>
      <c r="BY16" s="90"/>
      <c r="BZ16" s="90"/>
      <c r="CA16" s="90"/>
      <c r="CB16" s="90"/>
      <c r="CC16" s="91"/>
      <c r="CD16" s="90"/>
      <c r="CE16" s="91"/>
      <c r="CF16" s="90"/>
      <c r="CG16" s="91"/>
      <c r="CH16" s="90"/>
      <c r="CI16" s="91"/>
      <c r="CJ16" s="90"/>
      <c r="CK16" s="91"/>
      <c r="CL16" s="90"/>
      <c r="CM16" s="91"/>
      <c r="CN16" s="96"/>
      <c r="CO16" s="91"/>
      <c r="CP16" s="90"/>
      <c r="CQ16" s="90"/>
      <c r="CR16" s="90"/>
      <c r="CS16" s="90"/>
      <c r="CT16" s="91"/>
      <c r="CU16" s="90"/>
      <c r="CV16" s="97"/>
    </row>
    <row r="17" spans="1:100" ht="15" customHeight="1">
      <c r="A17" s="117" t="s">
        <v>1233</v>
      </c>
      <c r="B17" s="118">
        <v>44337</v>
      </c>
      <c r="C17" s="117" t="s">
        <v>1234</v>
      </c>
      <c r="D17" s="117" t="s">
        <v>352</v>
      </c>
      <c r="E17" s="119" t="s">
        <v>1122</v>
      </c>
      <c r="F17" s="117" t="s">
        <v>1123</v>
      </c>
      <c r="G17" s="117" t="s">
        <v>374</v>
      </c>
      <c r="H17" s="117" t="s">
        <v>1207</v>
      </c>
      <c r="I17" s="117" t="s">
        <v>354</v>
      </c>
      <c r="J17" s="117" t="s">
        <v>1124</v>
      </c>
      <c r="K17" s="117" t="s">
        <v>412</v>
      </c>
      <c r="L17" s="117" t="s">
        <v>1128</v>
      </c>
      <c r="M17" s="119" t="s">
        <v>346</v>
      </c>
      <c r="N17" s="117" t="s">
        <v>1235</v>
      </c>
      <c r="O17" s="117" t="s">
        <v>1236</v>
      </c>
      <c r="P17" s="117" t="s">
        <v>1237</v>
      </c>
      <c r="Q17" s="118">
        <v>44337</v>
      </c>
      <c r="R17" s="118">
        <v>44429</v>
      </c>
      <c r="S17" s="117" t="s">
        <v>1238</v>
      </c>
      <c r="T17" s="118">
        <v>44404</v>
      </c>
      <c r="U17" s="120" t="s">
        <v>295</v>
      </c>
      <c r="V17" s="120" t="s">
        <v>295</v>
      </c>
      <c r="W17" s="121" t="s">
        <v>262</v>
      </c>
      <c r="X17" s="117" t="s">
        <v>1239</v>
      </c>
      <c r="Y17" s="117"/>
      <c r="Z17" s="117"/>
      <c r="AA17" s="117" t="s">
        <v>804</v>
      </c>
      <c r="AB17" s="117" t="s">
        <v>1240</v>
      </c>
      <c r="AC17" s="118">
        <v>44404</v>
      </c>
      <c r="AD17" s="117" t="s">
        <v>349</v>
      </c>
      <c r="AE17" s="117" t="s">
        <v>1127</v>
      </c>
      <c r="AF17" s="90" t="s">
        <v>1104</v>
      </c>
      <c r="AG17" s="90" t="s">
        <v>0</v>
      </c>
      <c r="AH17" s="93" t="s">
        <v>972</v>
      </c>
      <c r="AI17" s="93" t="b">
        <v>0</v>
      </c>
      <c r="AJ17" s="93"/>
      <c r="AK17" s="93" t="b">
        <v>0</v>
      </c>
      <c r="AL17" s="93"/>
      <c r="AM17" s="93" t="b">
        <v>0</v>
      </c>
      <c r="AN17" s="93" t="b">
        <v>0</v>
      </c>
      <c r="AO17" s="93" t="b">
        <v>0</v>
      </c>
      <c r="AP17" s="93" t="b">
        <v>0</v>
      </c>
      <c r="AQ17" s="93" t="b">
        <v>0</v>
      </c>
      <c r="AR17" s="93" t="b">
        <v>0</v>
      </c>
      <c r="AS17" s="93" t="b">
        <v>0</v>
      </c>
      <c r="AT17" s="107" t="s">
        <v>1241</v>
      </c>
      <c r="AU17" s="94">
        <v>9882360</v>
      </c>
      <c r="AV17" s="90" t="s">
        <v>983</v>
      </c>
      <c r="AW17" s="108" t="s">
        <v>1058</v>
      </c>
      <c r="AX17" s="91">
        <v>44509</v>
      </c>
      <c r="AY17" s="108" t="s">
        <v>1133</v>
      </c>
      <c r="AZ17" s="90" t="s">
        <v>581</v>
      </c>
      <c r="BA17" s="90" t="s">
        <v>173</v>
      </c>
      <c r="BB17" s="90" t="s">
        <v>38</v>
      </c>
      <c r="BC17" s="90"/>
      <c r="BD17" s="90" t="s">
        <v>31</v>
      </c>
      <c r="BE17" s="90"/>
      <c r="BF17" s="90"/>
      <c r="BG17" s="91"/>
      <c r="BH17" s="93" t="b">
        <v>0</v>
      </c>
      <c r="BI17" s="90"/>
      <c r="BJ17" s="90"/>
      <c r="BK17" s="90" t="s">
        <v>1105</v>
      </c>
      <c r="BL17" s="90" t="s">
        <v>1215</v>
      </c>
      <c r="BM17" s="90"/>
      <c r="BN17" s="90"/>
      <c r="BO17" s="90"/>
      <c r="BP17" s="90"/>
      <c r="BQ17" s="90"/>
      <c r="BR17" s="95"/>
      <c r="BS17" s="90"/>
      <c r="BT17" s="90"/>
      <c r="BU17" s="90"/>
      <c r="BV17" s="90"/>
      <c r="BW17" s="90"/>
      <c r="BX17" s="90"/>
      <c r="BY17" s="90"/>
      <c r="BZ17" s="90"/>
      <c r="CA17" s="90"/>
      <c r="CB17" s="90"/>
      <c r="CC17" s="91"/>
      <c r="CD17" s="90"/>
      <c r="CE17" s="91"/>
      <c r="CF17" s="90"/>
      <c r="CG17" s="91"/>
      <c r="CH17" s="90"/>
      <c r="CI17" s="91"/>
      <c r="CJ17" s="90"/>
      <c r="CK17" s="91"/>
      <c r="CL17" s="90"/>
      <c r="CM17" s="91"/>
      <c r="CN17" s="96"/>
      <c r="CO17" s="91"/>
      <c r="CP17" s="90"/>
      <c r="CQ17" s="90"/>
      <c r="CR17" s="90"/>
      <c r="CS17" s="90"/>
      <c r="CT17" s="91"/>
      <c r="CU17" s="90"/>
      <c r="CV17" s="97"/>
    </row>
    <row r="18" spans="1:100" ht="15" customHeight="1">
      <c r="A18" s="117" t="s">
        <v>1242</v>
      </c>
      <c r="B18" s="118">
        <v>44337</v>
      </c>
      <c r="C18" s="117" t="s">
        <v>1243</v>
      </c>
      <c r="D18" s="117" t="s">
        <v>352</v>
      </c>
      <c r="E18" s="119" t="s">
        <v>1122</v>
      </c>
      <c r="F18" s="117" t="s">
        <v>1123</v>
      </c>
      <c r="G18" s="117" t="s">
        <v>374</v>
      </c>
      <c r="H18" s="117" t="s">
        <v>1207</v>
      </c>
      <c r="I18" s="117" t="s">
        <v>354</v>
      </c>
      <c r="J18" s="117" t="s">
        <v>1124</v>
      </c>
      <c r="K18" s="117" t="s">
        <v>426</v>
      </c>
      <c r="L18" s="117" t="s">
        <v>1125</v>
      </c>
      <c r="M18" s="119" t="s">
        <v>346</v>
      </c>
      <c r="N18" s="117" t="s">
        <v>1244</v>
      </c>
      <c r="O18" s="117" t="s">
        <v>1236</v>
      </c>
      <c r="P18" s="117" t="s">
        <v>1245</v>
      </c>
      <c r="Q18" s="118">
        <v>44338</v>
      </c>
      <c r="R18" s="118">
        <v>44348</v>
      </c>
      <c r="S18" s="117" t="s">
        <v>1246</v>
      </c>
      <c r="T18" s="118">
        <v>44347</v>
      </c>
      <c r="U18" s="120" t="s">
        <v>295</v>
      </c>
      <c r="V18" s="120" t="s">
        <v>295</v>
      </c>
      <c r="W18" s="121" t="s">
        <v>262</v>
      </c>
      <c r="X18" s="117" t="s">
        <v>1247</v>
      </c>
      <c r="Y18" s="117"/>
      <c r="Z18" s="117"/>
      <c r="AA18" s="117" t="s">
        <v>1</v>
      </c>
      <c r="AB18" s="117" t="s">
        <v>1248</v>
      </c>
      <c r="AC18" s="118">
        <v>44347</v>
      </c>
      <c r="AD18" s="117" t="s">
        <v>349</v>
      </c>
      <c r="AE18" s="117" t="s">
        <v>1127</v>
      </c>
      <c r="AF18" s="90" t="s">
        <v>1104</v>
      </c>
      <c r="AG18" s="90" t="s">
        <v>0</v>
      </c>
      <c r="AH18" s="93" t="s">
        <v>972</v>
      </c>
      <c r="AI18" s="93" t="b">
        <v>0</v>
      </c>
      <c r="AJ18" s="93"/>
      <c r="AK18" s="93" t="b">
        <v>0</v>
      </c>
      <c r="AL18" s="93"/>
      <c r="AM18" s="93" t="b">
        <v>0</v>
      </c>
      <c r="AN18" s="93" t="b">
        <v>0</v>
      </c>
      <c r="AO18" s="93" t="b">
        <v>0</v>
      </c>
      <c r="AP18" s="93" t="b">
        <v>0</v>
      </c>
      <c r="AQ18" s="93" t="b">
        <v>0</v>
      </c>
      <c r="AR18" s="93" t="b">
        <v>0</v>
      </c>
      <c r="AS18" s="93" t="b">
        <v>0</v>
      </c>
      <c r="AT18" s="107" t="s">
        <v>1249</v>
      </c>
      <c r="AU18" s="94">
        <v>9882360</v>
      </c>
      <c r="AV18" s="90" t="s">
        <v>983</v>
      </c>
      <c r="AW18" s="108" t="s">
        <v>1058</v>
      </c>
      <c r="AX18" s="91">
        <v>44509</v>
      </c>
      <c r="AY18" s="108" t="s">
        <v>1133</v>
      </c>
      <c r="AZ18" s="90" t="s">
        <v>581</v>
      </c>
      <c r="BA18" s="90" t="s">
        <v>173</v>
      </c>
      <c r="BB18" s="90" t="s">
        <v>52</v>
      </c>
      <c r="BC18" s="90"/>
      <c r="BD18" s="90" t="s">
        <v>31</v>
      </c>
      <c r="BE18" s="90"/>
      <c r="BF18" s="90"/>
      <c r="BG18" s="91"/>
      <c r="BH18" s="93" t="b">
        <v>0</v>
      </c>
      <c r="BI18" s="90"/>
      <c r="BJ18" s="90"/>
      <c r="BK18" s="90" t="s">
        <v>1105</v>
      </c>
      <c r="BL18" s="90" t="s">
        <v>1215</v>
      </c>
      <c r="BM18" s="90"/>
      <c r="BN18" s="90"/>
      <c r="BO18" s="90"/>
      <c r="BP18" s="90"/>
      <c r="BQ18" s="90"/>
      <c r="BR18" s="95"/>
      <c r="BS18" s="90"/>
      <c r="BT18" s="90"/>
      <c r="BU18" s="90"/>
      <c r="BV18" s="90"/>
      <c r="BW18" s="90"/>
      <c r="BX18" s="90"/>
      <c r="BY18" s="90"/>
      <c r="BZ18" s="90"/>
      <c r="CA18" s="90"/>
      <c r="CB18" s="90"/>
      <c r="CC18" s="91"/>
      <c r="CD18" s="90"/>
      <c r="CE18" s="91"/>
      <c r="CF18" s="90"/>
      <c r="CG18" s="91"/>
      <c r="CH18" s="90"/>
      <c r="CI18" s="91"/>
      <c r="CJ18" s="90"/>
      <c r="CK18" s="91"/>
      <c r="CL18" s="90"/>
      <c r="CM18" s="91"/>
      <c r="CN18" s="96"/>
      <c r="CO18" s="91"/>
      <c r="CP18" s="90"/>
      <c r="CQ18" s="90"/>
      <c r="CR18" s="90"/>
      <c r="CS18" s="90"/>
      <c r="CT18" s="91"/>
      <c r="CU18" s="90"/>
      <c r="CV18" s="97"/>
    </row>
    <row r="19" spans="1:100" ht="15" customHeight="1">
      <c r="A19" s="117" t="s">
        <v>1250</v>
      </c>
      <c r="B19" s="118">
        <v>44337</v>
      </c>
      <c r="C19" s="117" t="s">
        <v>1251</v>
      </c>
      <c r="D19" s="117" t="s">
        <v>352</v>
      </c>
      <c r="E19" s="119" t="s">
        <v>1122</v>
      </c>
      <c r="F19" s="117" t="s">
        <v>1123</v>
      </c>
      <c r="G19" s="117" t="s">
        <v>374</v>
      </c>
      <c r="H19" s="117" t="s">
        <v>1207</v>
      </c>
      <c r="I19" s="117" t="s">
        <v>354</v>
      </c>
      <c r="J19" s="117" t="s">
        <v>1124</v>
      </c>
      <c r="K19" s="117" t="s">
        <v>408</v>
      </c>
      <c r="L19" s="117" t="s">
        <v>1129</v>
      </c>
      <c r="M19" s="119" t="s">
        <v>346</v>
      </c>
      <c r="N19" s="117" t="s">
        <v>1252</v>
      </c>
      <c r="O19" s="117" t="s">
        <v>1253</v>
      </c>
      <c r="P19" s="117" t="s">
        <v>1254</v>
      </c>
      <c r="Q19" s="118">
        <v>44338</v>
      </c>
      <c r="R19" s="118">
        <v>44348</v>
      </c>
      <c r="S19" s="117" t="s">
        <v>1254</v>
      </c>
      <c r="T19" s="118">
        <v>44338</v>
      </c>
      <c r="U19" s="120" t="s">
        <v>295</v>
      </c>
      <c r="V19" s="120" t="s">
        <v>295</v>
      </c>
      <c r="W19" s="121" t="s">
        <v>262</v>
      </c>
      <c r="X19" s="117" t="s">
        <v>1254</v>
      </c>
      <c r="Y19" s="117"/>
      <c r="Z19" s="117"/>
      <c r="AA19" s="117" t="s">
        <v>804</v>
      </c>
      <c r="AB19" s="117" t="s">
        <v>1254</v>
      </c>
      <c r="AC19" s="118">
        <v>44338</v>
      </c>
      <c r="AD19" s="117" t="s">
        <v>349</v>
      </c>
      <c r="AE19" s="117" t="s">
        <v>1127</v>
      </c>
      <c r="AF19" s="90" t="s">
        <v>1104</v>
      </c>
      <c r="AG19" s="90" t="s">
        <v>0</v>
      </c>
      <c r="AH19" s="93" t="s">
        <v>972</v>
      </c>
      <c r="AI19" s="93" t="b">
        <v>0</v>
      </c>
      <c r="AJ19" s="93"/>
      <c r="AK19" s="93" t="b">
        <v>0</v>
      </c>
      <c r="AL19" s="93"/>
      <c r="AM19" s="93" t="b">
        <v>0</v>
      </c>
      <c r="AN19" s="93" t="b">
        <v>0</v>
      </c>
      <c r="AO19" s="93" t="b">
        <v>0</v>
      </c>
      <c r="AP19" s="93" t="b">
        <v>0</v>
      </c>
      <c r="AQ19" s="93" t="b">
        <v>0</v>
      </c>
      <c r="AR19" s="93" t="b">
        <v>0</v>
      </c>
      <c r="AS19" s="93" t="b">
        <v>0</v>
      </c>
      <c r="AT19" s="107" t="s">
        <v>1255</v>
      </c>
      <c r="AU19" s="94">
        <v>9882360</v>
      </c>
      <c r="AV19" s="90" t="s">
        <v>983</v>
      </c>
      <c r="AW19" s="108" t="s">
        <v>1058</v>
      </c>
      <c r="AX19" s="91">
        <v>44509</v>
      </c>
      <c r="AY19" s="108" t="s">
        <v>1133</v>
      </c>
      <c r="AZ19" s="90" t="s">
        <v>12</v>
      </c>
      <c r="BA19" s="90" t="s">
        <v>177</v>
      </c>
      <c r="BB19" s="90" t="s">
        <v>35</v>
      </c>
      <c r="BC19" s="90"/>
      <c r="BD19" s="90" t="s">
        <v>28</v>
      </c>
      <c r="BE19" s="90"/>
      <c r="BF19" s="90"/>
      <c r="BG19" s="91"/>
      <c r="BH19" s="93" t="b">
        <v>0</v>
      </c>
      <c r="BI19" s="90"/>
      <c r="BJ19" s="90"/>
      <c r="BK19" s="90" t="s">
        <v>1105</v>
      </c>
      <c r="BL19" s="90" t="s">
        <v>1215</v>
      </c>
      <c r="BM19" s="90"/>
      <c r="BN19" s="90"/>
      <c r="BO19" s="90"/>
      <c r="BP19" s="90"/>
      <c r="BQ19" s="90"/>
      <c r="BR19" s="95"/>
      <c r="BS19" s="90"/>
      <c r="BT19" s="90"/>
      <c r="BU19" s="90"/>
      <c r="BV19" s="90"/>
      <c r="BW19" s="90"/>
      <c r="BX19" s="90"/>
      <c r="BY19" s="90"/>
      <c r="BZ19" s="90"/>
      <c r="CA19" s="90"/>
      <c r="CB19" s="90"/>
      <c r="CC19" s="91"/>
      <c r="CD19" s="90"/>
      <c r="CE19" s="91"/>
      <c r="CF19" s="90"/>
      <c r="CG19" s="91"/>
      <c r="CH19" s="90"/>
      <c r="CI19" s="91"/>
      <c r="CJ19" s="90"/>
      <c r="CK19" s="91"/>
      <c r="CL19" s="90"/>
      <c r="CM19" s="91"/>
      <c r="CN19" s="96"/>
      <c r="CO19" s="91"/>
      <c r="CP19" s="90"/>
      <c r="CQ19" s="90"/>
      <c r="CR19" s="90"/>
      <c r="CS19" s="90"/>
      <c r="CT19" s="91"/>
      <c r="CU19" s="90"/>
      <c r="CV19" s="97"/>
    </row>
    <row r="20" spans="1:100" ht="15" customHeight="1">
      <c r="A20" s="117" t="s">
        <v>1256</v>
      </c>
      <c r="B20" s="118">
        <v>44337</v>
      </c>
      <c r="C20" s="117" t="s">
        <v>1257</v>
      </c>
      <c r="D20" s="117" t="s">
        <v>352</v>
      </c>
      <c r="E20" s="119" t="s">
        <v>1122</v>
      </c>
      <c r="F20" s="117" t="s">
        <v>1123</v>
      </c>
      <c r="G20" s="117" t="s">
        <v>374</v>
      </c>
      <c r="H20" s="117" t="s">
        <v>1207</v>
      </c>
      <c r="I20" s="117" t="s">
        <v>354</v>
      </c>
      <c r="J20" s="117" t="s">
        <v>1124</v>
      </c>
      <c r="K20" s="117" t="s">
        <v>412</v>
      </c>
      <c r="L20" s="117" t="s">
        <v>1128</v>
      </c>
      <c r="M20" s="119" t="s">
        <v>346</v>
      </c>
      <c r="N20" s="117" t="s">
        <v>1258</v>
      </c>
      <c r="O20" s="117" t="s">
        <v>1253</v>
      </c>
      <c r="P20" s="117" t="s">
        <v>1259</v>
      </c>
      <c r="Q20" s="118">
        <v>44338</v>
      </c>
      <c r="R20" s="118">
        <v>44348</v>
      </c>
      <c r="S20" s="117" t="s">
        <v>1260</v>
      </c>
      <c r="T20" s="118">
        <v>44340</v>
      </c>
      <c r="U20" s="120" t="s">
        <v>295</v>
      </c>
      <c r="V20" s="120" t="s">
        <v>295</v>
      </c>
      <c r="W20" s="121" t="s">
        <v>262</v>
      </c>
      <c r="X20" s="117" t="s">
        <v>1260</v>
      </c>
      <c r="Y20" s="117"/>
      <c r="Z20" s="117"/>
      <c r="AA20" s="117" t="s">
        <v>3</v>
      </c>
      <c r="AB20" s="117" t="s">
        <v>1260</v>
      </c>
      <c r="AC20" s="118">
        <v>44340</v>
      </c>
      <c r="AD20" s="117" t="s">
        <v>349</v>
      </c>
      <c r="AE20" s="117" t="s">
        <v>1127</v>
      </c>
      <c r="AF20" s="90" t="s">
        <v>1104</v>
      </c>
      <c r="AG20" s="90" t="s">
        <v>0</v>
      </c>
      <c r="AH20" s="93" t="s">
        <v>972</v>
      </c>
      <c r="AI20" s="93" t="b">
        <v>0</v>
      </c>
      <c r="AJ20" s="93"/>
      <c r="AK20" s="93" t="b">
        <v>0</v>
      </c>
      <c r="AL20" s="93"/>
      <c r="AM20" s="93" t="b">
        <v>0</v>
      </c>
      <c r="AN20" s="93" t="b">
        <v>0</v>
      </c>
      <c r="AO20" s="93" t="b">
        <v>0</v>
      </c>
      <c r="AP20" s="93" t="b">
        <v>0</v>
      </c>
      <c r="AQ20" s="93" t="b">
        <v>0</v>
      </c>
      <c r="AR20" s="93" t="b">
        <v>0</v>
      </c>
      <c r="AS20" s="93" t="b">
        <v>0</v>
      </c>
      <c r="AT20" s="107" t="s">
        <v>1261</v>
      </c>
      <c r="AU20" s="94">
        <v>9882360</v>
      </c>
      <c r="AV20" s="90" t="s">
        <v>983</v>
      </c>
      <c r="AW20" s="108" t="s">
        <v>1058</v>
      </c>
      <c r="AX20" s="91">
        <v>44509</v>
      </c>
      <c r="AY20" s="108" t="s">
        <v>1133</v>
      </c>
      <c r="AZ20" s="90" t="s">
        <v>11</v>
      </c>
      <c r="BA20" s="90" t="s">
        <v>81</v>
      </c>
      <c r="BB20" s="90" t="s">
        <v>38</v>
      </c>
      <c r="BC20" s="90"/>
      <c r="BD20" s="90" t="s">
        <v>28</v>
      </c>
      <c r="BE20" s="90"/>
      <c r="BF20" s="90"/>
      <c r="BG20" s="91"/>
      <c r="BH20" s="93" t="b">
        <v>0</v>
      </c>
      <c r="BI20" s="90"/>
      <c r="BJ20" s="90"/>
      <c r="BK20" s="90" t="s">
        <v>1105</v>
      </c>
      <c r="BL20" s="90" t="s">
        <v>1215</v>
      </c>
      <c r="BM20" s="90"/>
      <c r="BN20" s="90"/>
      <c r="BO20" s="90"/>
      <c r="BP20" s="90"/>
      <c r="BQ20" s="90"/>
      <c r="BR20" s="95"/>
      <c r="BS20" s="90"/>
      <c r="BT20" s="90"/>
      <c r="BU20" s="90"/>
      <c r="BV20" s="90"/>
      <c r="BW20" s="90"/>
      <c r="BX20" s="90"/>
      <c r="BY20" s="90"/>
      <c r="BZ20" s="90"/>
      <c r="CA20" s="90"/>
      <c r="CB20" s="90"/>
      <c r="CC20" s="91"/>
      <c r="CD20" s="90"/>
      <c r="CE20" s="91"/>
      <c r="CF20" s="90"/>
      <c r="CG20" s="91"/>
      <c r="CH20" s="90"/>
      <c r="CI20" s="91"/>
      <c r="CJ20" s="90"/>
      <c r="CK20" s="91"/>
      <c r="CL20" s="90"/>
      <c r="CM20" s="91"/>
      <c r="CN20" s="96"/>
      <c r="CO20" s="91"/>
      <c r="CP20" s="90"/>
      <c r="CQ20" s="90"/>
      <c r="CR20" s="90"/>
      <c r="CS20" s="90"/>
      <c r="CT20" s="91"/>
      <c r="CU20" s="90"/>
      <c r="CV20" s="97"/>
    </row>
    <row r="21" spans="1:100" ht="15" customHeight="1">
      <c r="A21" s="117" t="s">
        <v>1262</v>
      </c>
      <c r="B21" s="118">
        <v>44337</v>
      </c>
      <c r="C21" s="117" t="s">
        <v>1263</v>
      </c>
      <c r="D21" s="117" t="s">
        <v>352</v>
      </c>
      <c r="E21" s="119" t="s">
        <v>1122</v>
      </c>
      <c r="F21" s="117" t="s">
        <v>1123</v>
      </c>
      <c r="G21" s="117" t="s">
        <v>374</v>
      </c>
      <c r="H21" s="117" t="s">
        <v>1207</v>
      </c>
      <c r="I21" s="117" t="s">
        <v>354</v>
      </c>
      <c r="J21" s="117" t="s">
        <v>1124</v>
      </c>
      <c r="K21" s="117" t="s">
        <v>409</v>
      </c>
      <c r="L21" s="117" t="s">
        <v>1264</v>
      </c>
      <c r="M21" s="119" t="s">
        <v>346</v>
      </c>
      <c r="N21" s="117" t="s">
        <v>1265</v>
      </c>
      <c r="O21" s="117" t="s">
        <v>1266</v>
      </c>
      <c r="P21" s="117" t="s">
        <v>1267</v>
      </c>
      <c r="Q21" s="118">
        <v>44337</v>
      </c>
      <c r="R21" s="118">
        <v>44348</v>
      </c>
      <c r="S21" s="117" t="s">
        <v>1268</v>
      </c>
      <c r="T21" s="118">
        <v>44339</v>
      </c>
      <c r="U21" s="120" t="s">
        <v>295</v>
      </c>
      <c r="V21" s="120" t="s">
        <v>295</v>
      </c>
      <c r="W21" s="121" t="s">
        <v>262</v>
      </c>
      <c r="X21" s="117" t="s">
        <v>1269</v>
      </c>
      <c r="Y21" s="117"/>
      <c r="Z21" s="117"/>
      <c r="AA21" s="117" t="s">
        <v>804</v>
      </c>
      <c r="AB21" s="117" t="s">
        <v>1270</v>
      </c>
      <c r="AC21" s="118">
        <v>44339</v>
      </c>
      <c r="AD21" s="117" t="s">
        <v>349</v>
      </c>
      <c r="AE21" s="117" t="s">
        <v>1127</v>
      </c>
      <c r="AF21" s="90" t="s">
        <v>1104</v>
      </c>
      <c r="AG21" s="90" t="s">
        <v>0</v>
      </c>
      <c r="AH21" s="93" t="s">
        <v>972</v>
      </c>
      <c r="AI21" s="93" t="b">
        <v>0</v>
      </c>
      <c r="AJ21" s="93"/>
      <c r="AK21" s="93" t="b">
        <v>0</v>
      </c>
      <c r="AL21" s="93"/>
      <c r="AM21" s="93" t="b">
        <v>0</v>
      </c>
      <c r="AN21" s="93" t="b">
        <v>0</v>
      </c>
      <c r="AO21" s="93" t="b">
        <v>0</v>
      </c>
      <c r="AP21" s="93" t="b">
        <v>0</v>
      </c>
      <c r="AQ21" s="93" t="b">
        <v>0</v>
      </c>
      <c r="AR21" s="93" t="b">
        <v>0</v>
      </c>
      <c r="AS21" s="93" t="b">
        <v>0</v>
      </c>
      <c r="AT21" s="107" t="s">
        <v>1271</v>
      </c>
      <c r="AU21" s="94">
        <v>9882360</v>
      </c>
      <c r="AV21" s="90" t="s">
        <v>983</v>
      </c>
      <c r="AW21" s="108" t="s">
        <v>1058</v>
      </c>
      <c r="AX21" s="91">
        <v>44509</v>
      </c>
      <c r="AY21" s="108" t="s">
        <v>1133</v>
      </c>
      <c r="AZ21" s="90" t="s">
        <v>12</v>
      </c>
      <c r="BA21" s="90" t="s">
        <v>177</v>
      </c>
      <c r="BB21" s="90" t="s">
        <v>36</v>
      </c>
      <c r="BC21" s="90"/>
      <c r="BD21" s="90" t="s">
        <v>28</v>
      </c>
      <c r="BE21" s="90"/>
      <c r="BF21" s="90"/>
      <c r="BG21" s="91"/>
      <c r="BH21" s="93" t="b">
        <v>0</v>
      </c>
      <c r="BI21" s="90"/>
      <c r="BJ21" s="90"/>
      <c r="BK21" s="90" t="s">
        <v>1105</v>
      </c>
      <c r="BL21" s="90" t="s">
        <v>1215</v>
      </c>
      <c r="BM21" s="90"/>
      <c r="BN21" s="90"/>
      <c r="BO21" s="90"/>
      <c r="BP21" s="90"/>
      <c r="BQ21" s="90"/>
      <c r="BR21" s="95"/>
      <c r="BS21" s="90"/>
      <c r="BT21" s="90"/>
      <c r="BU21" s="90"/>
      <c r="BV21" s="90"/>
      <c r="BW21" s="90"/>
      <c r="BX21" s="90"/>
      <c r="BY21" s="90"/>
      <c r="BZ21" s="90"/>
      <c r="CA21" s="90"/>
      <c r="CB21" s="90"/>
      <c r="CC21" s="91"/>
      <c r="CD21" s="90"/>
      <c r="CE21" s="91"/>
      <c r="CF21" s="90"/>
      <c r="CG21" s="91"/>
      <c r="CH21" s="90"/>
      <c r="CI21" s="91"/>
      <c r="CJ21" s="90"/>
      <c r="CK21" s="91"/>
      <c r="CL21" s="90"/>
      <c r="CM21" s="91"/>
      <c r="CN21" s="96"/>
      <c r="CO21" s="91"/>
      <c r="CP21" s="90"/>
      <c r="CQ21" s="90"/>
      <c r="CR21" s="90"/>
      <c r="CS21" s="90"/>
      <c r="CT21" s="91"/>
      <c r="CU21" s="90"/>
      <c r="CV21" s="97"/>
    </row>
    <row r="22" spans="1:100" ht="15" customHeight="1">
      <c r="A22" s="117" t="s">
        <v>1272</v>
      </c>
      <c r="B22" s="118">
        <v>44337</v>
      </c>
      <c r="C22" s="117" t="s">
        <v>1273</v>
      </c>
      <c r="D22" s="117" t="s">
        <v>352</v>
      </c>
      <c r="E22" s="119" t="s">
        <v>1122</v>
      </c>
      <c r="F22" s="117" t="s">
        <v>1123</v>
      </c>
      <c r="G22" s="117" t="s">
        <v>374</v>
      </c>
      <c r="H22" s="117" t="s">
        <v>1207</v>
      </c>
      <c r="I22" s="117" t="s">
        <v>354</v>
      </c>
      <c r="J22" s="117" t="s">
        <v>1124</v>
      </c>
      <c r="K22" s="117" t="s">
        <v>408</v>
      </c>
      <c r="L22" s="117" t="s">
        <v>1129</v>
      </c>
      <c r="M22" s="119" t="s">
        <v>346</v>
      </c>
      <c r="N22" s="117" t="s">
        <v>1274</v>
      </c>
      <c r="O22" s="117" t="s">
        <v>1220</v>
      </c>
      <c r="P22" s="117" t="s">
        <v>1275</v>
      </c>
      <c r="Q22" s="118">
        <v>44337</v>
      </c>
      <c r="R22" s="118">
        <v>44348</v>
      </c>
      <c r="S22" s="117" t="s">
        <v>1276</v>
      </c>
      <c r="T22" s="118">
        <v>44340</v>
      </c>
      <c r="U22" s="120" t="s">
        <v>295</v>
      </c>
      <c r="V22" s="120" t="s">
        <v>295</v>
      </c>
      <c r="W22" s="121" t="s">
        <v>262</v>
      </c>
      <c r="X22" s="117" t="s">
        <v>1277</v>
      </c>
      <c r="Y22" s="117"/>
      <c r="Z22" s="117"/>
      <c r="AA22" s="117" t="s">
        <v>804</v>
      </c>
      <c r="AB22" s="117" t="s">
        <v>1277</v>
      </c>
      <c r="AC22" s="118">
        <v>44340</v>
      </c>
      <c r="AD22" s="117" t="s">
        <v>349</v>
      </c>
      <c r="AE22" s="117" t="s">
        <v>1127</v>
      </c>
      <c r="AF22" s="90" t="s">
        <v>1104</v>
      </c>
      <c r="AG22" s="90" t="s">
        <v>0</v>
      </c>
      <c r="AH22" s="93" t="s">
        <v>972</v>
      </c>
      <c r="AI22" s="93" t="b">
        <v>0</v>
      </c>
      <c r="AJ22" s="93"/>
      <c r="AK22" s="93" t="b">
        <v>0</v>
      </c>
      <c r="AL22" s="93"/>
      <c r="AM22" s="93" t="b">
        <v>0</v>
      </c>
      <c r="AN22" s="93" t="b">
        <v>0</v>
      </c>
      <c r="AO22" s="93" t="b">
        <v>0</v>
      </c>
      <c r="AP22" s="93" t="b">
        <v>0</v>
      </c>
      <c r="AQ22" s="93" t="b">
        <v>0</v>
      </c>
      <c r="AR22" s="93" t="b">
        <v>0</v>
      </c>
      <c r="AS22" s="93" t="b">
        <v>0</v>
      </c>
      <c r="AT22" s="107" t="s">
        <v>1278</v>
      </c>
      <c r="AU22" s="94">
        <v>9882360</v>
      </c>
      <c r="AV22" s="90" t="s">
        <v>983</v>
      </c>
      <c r="AW22" s="108" t="s">
        <v>1058</v>
      </c>
      <c r="AX22" s="91">
        <v>44509</v>
      </c>
      <c r="AY22" s="108" t="s">
        <v>1133</v>
      </c>
      <c r="AZ22" s="90" t="s">
        <v>8</v>
      </c>
      <c r="BA22" s="90" t="s">
        <v>75</v>
      </c>
      <c r="BB22" s="90" t="s">
        <v>35</v>
      </c>
      <c r="BC22" s="90"/>
      <c r="BD22" s="90" t="s">
        <v>28</v>
      </c>
      <c r="BE22" s="90"/>
      <c r="BF22" s="90"/>
      <c r="BG22" s="91"/>
      <c r="BH22" s="93" t="b">
        <v>0</v>
      </c>
      <c r="BI22" s="90"/>
      <c r="BJ22" s="90"/>
      <c r="BK22" s="90" t="s">
        <v>1105</v>
      </c>
      <c r="BL22" s="90" t="s">
        <v>1215</v>
      </c>
      <c r="BM22" s="90"/>
      <c r="BN22" s="90"/>
      <c r="BO22" s="90"/>
      <c r="BP22" s="90"/>
      <c r="BQ22" s="90"/>
      <c r="BR22" s="95"/>
      <c r="BS22" s="90"/>
      <c r="BT22" s="90"/>
      <c r="BU22" s="90"/>
      <c r="BV22" s="90"/>
      <c r="BW22" s="90"/>
      <c r="BX22" s="90"/>
      <c r="BY22" s="90"/>
      <c r="BZ22" s="90"/>
      <c r="CA22" s="90"/>
      <c r="CB22" s="90"/>
      <c r="CC22" s="91"/>
      <c r="CD22" s="90"/>
      <c r="CE22" s="91"/>
      <c r="CF22" s="90"/>
      <c r="CG22" s="91"/>
      <c r="CH22" s="90"/>
      <c r="CI22" s="91"/>
      <c r="CJ22" s="90"/>
      <c r="CK22" s="91"/>
      <c r="CL22" s="90"/>
      <c r="CM22" s="91"/>
      <c r="CN22" s="96"/>
      <c r="CO22" s="91"/>
      <c r="CP22" s="90"/>
      <c r="CQ22" s="90"/>
      <c r="CR22" s="90"/>
      <c r="CS22" s="90"/>
      <c r="CT22" s="91"/>
      <c r="CU22" s="90"/>
      <c r="CV22" s="97"/>
    </row>
    <row r="23" spans="1:100" ht="15" customHeight="1">
      <c r="A23" s="117" t="s">
        <v>1279</v>
      </c>
      <c r="B23" s="118">
        <v>44337</v>
      </c>
      <c r="C23" s="117" t="s">
        <v>1280</v>
      </c>
      <c r="D23" s="117" t="s">
        <v>352</v>
      </c>
      <c r="E23" s="119" t="s">
        <v>1122</v>
      </c>
      <c r="F23" s="117" t="s">
        <v>1123</v>
      </c>
      <c r="G23" s="117" t="s">
        <v>374</v>
      </c>
      <c r="H23" s="117" t="s">
        <v>1207</v>
      </c>
      <c r="I23" s="117" t="s">
        <v>354</v>
      </c>
      <c r="J23" s="117" t="s">
        <v>1124</v>
      </c>
      <c r="K23" s="117" t="s">
        <v>418</v>
      </c>
      <c r="L23" s="117" t="s">
        <v>1281</v>
      </c>
      <c r="M23" s="119" t="s">
        <v>346</v>
      </c>
      <c r="N23" s="117" t="s">
        <v>1282</v>
      </c>
      <c r="O23" s="117" t="s">
        <v>1220</v>
      </c>
      <c r="P23" s="117" t="s">
        <v>1283</v>
      </c>
      <c r="Q23" s="118">
        <v>44337</v>
      </c>
      <c r="R23" s="118">
        <v>44348</v>
      </c>
      <c r="S23" s="117" t="s">
        <v>1284</v>
      </c>
      <c r="T23" s="118">
        <v>44337</v>
      </c>
      <c r="U23" s="120" t="s">
        <v>295</v>
      </c>
      <c r="V23" s="120" t="s">
        <v>295</v>
      </c>
      <c r="W23" s="121" t="s">
        <v>262</v>
      </c>
      <c r="X23" s="117" t="s">
        <v>1285</v>
      </c>
      <c r="Y23" s="117"/>
      <c r="Z23" s="117"/>
      <c r="AA23" s="117" t="s">
        <v>3</v>
      </c>
      <c r="AB23" s="117" t="s">
        <v>1285</v>
      </c>
      <c r="AC23" s="118">
        <v>44337</v>
      </c>
      <c r="AD23" s="117" t="s">
        <v>349</v>
      </c>
      <c r="AE23" s="117" t="s">
        <v>1127</v>
      </c>
      <c r="AF23" s="90" t="s">
        <v>1104</v>
      </c>
      <c r="AG23" s="90" t="s">
        <v>0</v>
      </c>
      <c r="AH23" s="93" t="s">
        <v>972</v>
      </c>
      <c r="AI23" s="93" t="b">
        <v>0</v>
      </c>
      <c r="AJ23" s="93"/>
      <c r="AK23" s="93" t="b">
        <v>0</v>
      </c>
      <c r="AL23" s="93"/>
      <c r="AM23" s="93" t="b">
        <v>0</v>
      </c>
      <c r="AN23" s="93" t="b">
        <v>0</v>
      </c>
      <c r="AO23" s="93" t="b">
        <v>0</v>
      </c>
      <c r="AP23" s="93" t="b">
        <v>0</v>
      </c>
      <c r="AQ23" s="93" t="b">
        <v>0</v>
      </c>
      <c r="AR23" s="93" t="b">
        <v>0</v>
      </c>
      <c r="AS23" s="93" t="b">
        <v>0</v>
      </c>
      <c r="AT23" s="107" t="s">
        <v>1286</v>
      </c>
      <c r="AU23" s="94">
        <v>9882360</v>
      </c>
      <c r="AV23" s="90" t="s">
        <v>983</v>
      </c>
      <c r="AW23" s="108" t="s">
        <v>1058</v>
      </c>
      <c r="AX23" s="91">
        <v>44509</v>
      </c>
      <c r="AY23" s="108" t="s">
        <v>1133</v>
      </c>
      <c r="AZ23" s="90" t="s">
        <v>8</v>
      </c>
      <c r="BA23" s="90" t="s">
        <v>75</v>
      </c>
      <c r="BB23" s="90" t="s">
        <v>44</v>
      </c>
      <c r="BC23" s="90"/>
      <c r="BD23" s="90" t="s">
        <v>755</v>
      </c>
      <c r="BE23" s="90"/>
      <c r="BF23" s="90"/>
      <c r="BG23" s="91"/>
      <c r="BH23" s="93" t="b">
        <v>0</v>
      </c>
      <c r="BI23" s="90"/>
      <c r="BJ23" s="90"/>
      <c r="BK23" s="90" t="s">
        <v>1105</v>
      </c>
      <c r="BL23" s="90" t="s">
        <v>1215</v>
      </c>
      <c r="BM23" s="90"/>
      <c r="BN23" s="90"/>
      <c r="BO23" s="90"/>
      <c r="BP23" s="90"/>
      <c r="BQ23" s="90"/>
      <c r="BR23" s="95"/>
      <c r="BS23" s="90"/>
      <c r="BT23" s="90"/>
      <c r="BU23" s="90"/>
      <c r="BV23" s="90"/>
      <c r="BW23" s="90"/>
      <c r="BX23" s="90"/>
      <c r="BY23" s="90"/>
      <c r="BZ23" s="90"/>
      <c r="CA23" s="90"/>
      <c r="CB23" s="90"/>
      <c r="CC23" s="91"/>
      <c r="CD23" s="90"/>
      <c r="CE23" s="91"/>
      <c r="CF23" s="90"/>
      <c r="CG23" s="91"/>
      <c r="CH23" s="90"/>
      <c r="CI23" s="91"/>
      <c r="CJ23" s="90"/>
      <c r="CK23" s="91"/>
      <c r="CL23" s="90"/>
      <c r="CM23" s="91"/>
      <c r="CN23" s="96"/>
      <c r="CO23" s="91"/>
      <c r="CP23" s="90"/>
      <c r="CQ23" s="90"/>
      <c r="CR23" s="90"/>
      <c r="CS23" s="90"/>
      <c r="CT23" s="91"/>
      <c r="CU23" s="90"/>
      <c r="CV23" s="97"/>
    </row>
    <row r="24" spans="1:100" ht="15" customHeight="1">
      <c r="A24" s="117" t="s">
        <v>1287</v>
      </c>
      <c r="B24" s="118">
        <v>44337</v>
      </c>
      <c r="C24" s="117" t="s">
        <v>1288</v>
      </c>
      <c r="D24" s="117" t="s">
        <v>352</v>
      </c>
      <c r="E24" s="119" t="s">
        <v>1122</v>
      </c>
      <c r="F24" s="117" t="s">
        <v>1123</v>
      </c>
      <c r="G24" s="117" t="s">
        <v>374</v>
      </c>
      <c r="H24" s="117" t="s">
        <v>1207</v>
      </c>
      <c r="I24" s="117" t="s">
        <v>354</v>
      </c>
      <c r="J24" s="117" t="s">
        <v>1124</v>
      </c>
      <c r="K24" s="117" t="s">
        <v>418</v>
      </c>
      <c r="L24" s="117" t="s">
        <v>1281</v>
      </c>
      <c r="M24" s="119" t="s">
        <v>346</v>
      </c>
      <c r="N24" s="117" t="s">
        <v>1289</v>
      </c>
      <c r="O24" s="117" t="s">
        <v>1220</v>
      </c>
      <c r="P24" s="117" t="s">
        <v>1290</v>
      </c>
      <c r="Q24" s="118">
        <v>44338</v>
      </c>
      <c r="R24" s="118">
        <v>44348</v>
      </c>
      <c r="S24" s="117" t="s">
        <v>1291</v>
      </c>
      <c r="T24" s="118">
        <v>44338</v>
      </c>
      <c r="U24" s="120" t="s">
        <v>295</v>
      </c>
      <c r="V24" s="120" t="s">
        <v>295</v>
      </c>
      <c r="W24" s="121" t="s">
        <v>262</v>
      </c>
      <c r="X24" s="117" t="s">
        <v>1292</v>
      </c>
      <c r="Y24" s="117"/>
      <c r="Z24" s="117"/>
      <c r="AA24" s="117" t="s">
        <v>3</v>
      </c>
      <c r="AB24" s="117" t="s">
        <v>1293</v>
      </c>
      <c r="AC24" s="118">
        <v>44338</v>
      </c>
      <c r="AD24" s="117" t="s">
        <v>349</v>
      </c>
      <c r="AE24" s="117" t="s">
        <v>1127</v>
      </c>
      <c r="AF24" s="90" t="s">
        <v>1104</v>
      </c>
      <c r="AG24" s="90" t="s">
        <v>0</v>
      </c>
      <c r="AH24" s="93" t="s">
        <v>972</v>
      </c>
      <c r="AI24" s="93" t="b">
        <v>0</v>
      </c>
      <c r="AJ24" s="93"/>
      <c r="AK24" s="93" t="b">
        <v>0</v>
      </c>
      <c r="AL24" s="93"/>
      <c r="AM24" s="93" t="b">
        <v>0</v>
      </c>
      <c r="AN24" s="93" t="b">
        <v>0</v>
      </c>
      <c r="AO24" s="93" t="b">
        <v>0</v>
      </c>
      <c r="AP24" s="93" t="b">
        <v>0</v>
      </c>
      <c r="AQ24" s="93" t="b">
        <v>0</v>
      </c>
      <c r="AR24" s="93" t="b">
        <v>0</v>
      </c>
      <c r="AS24" s="93" t="b">
        <v>0</v>
      </c>
      <c r="AT24" s="107" t="s">
        <v>1294</v>
      </c>
      <c r="AU24" s="94">
        <v>9882360</v>
      </c>
      <c r="AV24" s="90" t="s">
        <v>983</v>
      </c>
      <c r="AW24" s="108" t="s">
        <v>1058</v>
      </c>
      <c r="AX24" s="91">
        <v>44509</v>
      </c>
      <c r="AY24" s="108" t="s">
        <v>1133</v>
      </c>
      <c r="AZ24" s="90" t="s">
        <v>8</v>
      </c>
      <c r="BA24" s="90" t="s">
        <v>75</v>
      </c>
      <c r="BB24" s="90" t="s">
        <v>44</v>
      </c>
      <c r="BC24" s="90"/>
      <c r="BD24" s="90" t="s">
        <v>755</v>
      </c>
      <c r="BE24" s="90"/>
      <c r="BF24" s="90"/>
      <c r="BG24" s="91"/>
      <c r="BH24" s="93" t="b">
        <v>0</v>
      </c>
      <c r="BI24" s="90"/>
      <c r="BJ24" s="90"/>
      <c r="BK24" s="90" t="s">
        <v>1105</v>
      </c>
      <c r="BL24" s="90" t="s">
        <v>1215</v>
      </c>
      <c r="BM24" s="90"/>
      <c r="BN24" s="90"/>
      <c r="BO24" s="90"/>
      <c r="BP24" s="90"/>
      <c r="BQ24" s="90"/>
      <c r="BR24" s="95"/>
      <c r="BS24" s="90"/>
      <c r="BT24" s="90"/>
      <c r="BU24" s="90"/>
      <c r="BV24" s="90"/>
      <c r="BW24" s="90"/>
      <c r="BX24" s="90"/>
      <c r="BY24" s="90"/>
      <c r="BZ24" s="90"/>
      <c r="CA24" s="90"/>
      <c r="CB24" s="90"/>
      <c r="CC24" s="91"/>
      <c r="CD24" s="90"/>
      <c r="CE24" s="91"/>
      <c r="CF24" s="90"/>
      <c r="CG24" s="91"/>
      <c r="CH24" s="90"/>
      <c r="CI24" s="91"/>
      <c r="CJ24" s="90"/>
      <c r="CK24" s="91"/>
      <c r="CL24" s="90"/>
      <c r="CM24" s="91"/>
      <c r="CN24" s="96"/>
      <c r="CO24" s="91"/>
      <c r="CP24" s="90"/>
      <c r="CQ24" s="90"/>
      <c r="CR24" s="90"/>
      <c r="CS24" s="90"/>
      <c r="CT24" s="91"/>
      <c r="CU24" s="90"/>
      <c r="CV24" s="97"/>
    </row>
    <row r="25" spans="1:100" ht="15" customHeight="1">
      <c r="A25" s="117" t="s">
        <v>1295</v>
      </c>
      <c r="B25" s="118">
        <v>44337</v>
      </c>
      <c r="C25" s="117" t="s">
        <v>1296</v>
      </c>
      <c r="D25" s="117" t="s">
        <v>352</v>
      </c>
      <c r="E25" s="119" t="s">
        <v>1122</v>
      </c>
      <c r="F25" s="117" t="s">
        <v>1123</v>
      </c>
      <c r="G25" s="117" t="s">
        <v>374</v>
      </c>
      <c r="H25" s="117" t="s">
        <v>1207</v>
      </c>
      <c r="I25" s="117" t="s">
        <v>354</v>
      </c>
      <c r="J25" s="117" t="s">
        <v>1124</v>
      </c>
      <c r="K25" s="117" t="s">
        <v>418</v>
      </c>
      <c r="L25" s="117" t="s">
        <v>1281</v>
      </c>
      <c r="M25" s="119" t="s">
        <v>346</v>
      </c>
      <c r="N25" s="117" t="s">
        <v>1297</v>
      </c>
      <c r="O25" s="117" t="s">
        <v>1298</v>
      </c>
      <c r="P25" s="117" t="s">
        <v>1299</v>
      </c>
      <c r="Q25" s="118">
        <v>44338</v>
      </c>
      <c r="R25" s="118">
        <v>44348</v>
      </c>
      <c r="S25" s="117" t="s">
        <v>1300</v>
      </c>
      <c r="T25" s="118">
        <v>44338</v>
      </c>
      <c r="U25" s="120" t="s">
        <v>295</v>
      </c>
      <c r="V25" s="120" t="s">
        <v>295</v>
      </c>
      <c r="W25" s="121" t="s">
        <v>262</v>
      </c>
      <c r="X25" s="117" t="s">
        <v>1301</v>
      </c>
      <c r="Y25" s="117"/>
      <c r="Z25" s="117"/>
      <c r="AA25" s="117" t="s">
        <v>3</v>
      </c>
      <c r="AB25" s="117" t="s">
        <v>1302</v>
      </c>
      <c r="AC25" s="118">
        <v>44338</v>
      </c>
      <c r="AD25" s="117" t="s">
        <v>349</v>
      </c>
      <c r="AE25" s="117" t="s">
        <v>1127</v>
      </c>
      <c r="AF25" s="90" t="s">
        <v>1104</v>
      </c>
      <c r="AG25" s="90" t="s">
        <v>0</v>
      </c>
      <c r="AH25" s="93" t="s">
        <v>972</v>
      </c>
      <c r="AI25" s="93" t="b">
        <v>0</v>
      </c>
      <c r="AJ25" s="93"/>
      <c r="AK25" s="93" t="b">
        <v>0</v>
      </c>
      <c r="AL25" s="93"/>
      <c r="AM25" s="93" t="b">
        <v>0</v>
      </c>
      <c r="AN25" s="93" t="b">
        <v>0</v>
      </c>
      <c r="AO25" s="93" t="b">
        <v>0</v>
      </c>
      <c r="AP25" s="93" t="b">
        <v>0</v>
      </c>
      <c r="AQ25" s="93" t="b">
        <v>0</v>
      </c>
      <c r="AR25" s="93" t="b">
        <v>0</v>
      </c>
      <c r="AS25" s="93" t="b">
        <v>0</v>
      </c>
      <c r="AT25" s="107" t="s">
        <v>1303</v>
      </c>
      <c r="AU25" s="94">
        <v>9882360</v>
      </c>
      <c r="AV25" s="90" t="s">
        <v>983</v>
      </c>
      <c r="AW25" s="108" t="s">
        <v>1058</v>
      </c>
      <c r="AX25" s="91">
        <v>44509</v>
      </c>
      <c r="AY25" s="108" t="s">
        <v>1133</v>
      </c>
      <c r="AZ25" s="90" t="s">
        <v>8</v>
      </c>
      <c r="BA25" s="90" t="s">
        <v>75</v>
      </c>
      <c r="BB25" s="90" t="s">
        <v>44</v>
      </c>
      <c r="BC25" s="90"/>
      <c r="BD25" s="90" t="s">
        <v>755</v>
      </c>
      <c r="BE25" s="90"/>
      <c r="BF25" s="90"/>
      <c r="BG25" s="91"/>
      <c r="BH25" s="93" t="b">
        <v>0</v>
      </c>
      <c r="BI25" s="90"/>
      <c r="BJ25" s="90"/>
      <c r="BK25" s="90" t="s">
        <v>1105</v>
      </c>
      <c r="BL25" s="90" t="s">
        <v>1215</v>
      </c>
      <c r="BM25" s="90"/>
      <c r="BN25" s="90"/>
      <c r="BO25" s="90"/>
      <c r="BP25" s="90"/>
      <c r="BQ25" s="90"/>
      <c r="BR25" s="95"/>
      <c r="BS25" s="90"/>
      <c r="BT25" s="90"/>
      <c r="BU25" s="90"/>
      <c r="BV25" s="90"/>
      <c r="BW25" s="90"/>
      <c r="BX25" s="90"/>
      <c r="BY25" s="90"/>
      <c r="BZ25" s="90"/>
      <c r="CA25" s="90"/>
      <c r="CB25" s="90"/>
      <c r="CC25" s="91"/>
      <c r="CD25" s="90"/>
      <c r="CE25" s="91"/>
      <c r="CF25" s="90"/>
      <c r="CG25" s="91"/>
      <c r="CH25" s="90"/>
      <c r="CI25" s="91"/>
      <c r="CJ25" s="90"/>
      <c r="CK25" s="91"/>
      <c r="CL25" s="90"/>
      <c r="CM25" s="91"/>
      <c r="CN25" s="96"/>
      <c r="CO25" s="91"/>
      <c r="CP25" s="90"/>
      <c r="CQ25" s="90"/>
      <c r="CR25" s="90"/>
      <c r="CS25" s="90"/>
      <c r="CT25" s="91"/>
      <c r="CU25" s="90"/>
      <c r="CV25" s="97"/>
    </row>
    <row r="26" spans="1:100" ht="15" customHeight="1">
      <c r="A26" s="117" t="s">
        <v>1304</v>
      </c>
      <c r="B26" s="118">
        <v>44337</v>
      </c>
      <c r="C26" s="117" t="s">
        <v>1305</v>
      </c>
      <c r="D26" s="117" t="s">
        <v>352</v>
      </c>
      <c r="E26" s="119" t="s">
        <v>1122</v>
      </c>
      <c r="F26" s="117" t="s">
        <v>1123</v>
      </c>
      <c r="G26" s="117" t="s">
        <v>374</v>
      </c>
      <c r="H26" s="117" t="s">
        <v>1207</v>
      </c>
      <c r="I26" s="117" t="s">
        <v>354</v>
      </c>
      <c r="J26" s="117" t="s">
        <v>1124</v>
      </c>
      <c r="K26" s="117" t="s">
        <v>426</v>
      </c>
      <c r="L26" s="117" t="s">
        <v>1125</v>
      </c>
      <c r="M26" s="119" t="s">
        <v>346</v>
      </c>
      <c r="N26" s="117" t="s">
        <v>1306</v>
      </c>
      <c r="O26" s="117" t="s">
        <v>1266</v>
      </c>
      <c r="P26" s="117" t="s">
        <v>1307</v>
      </c>
      <c r="Q26" s="118">
        <v>44338</v>
      </c>
      <c r="R26" s="118">
        <v>44348</v>
      </c>
      <c r="S26" s="117" t="s">
        <v>1308</v>
      </c>
      <c r="T26" s="118">
        <v>44338</v>
      </c>
      <c r="U26" s="120" t="s">
        <v>295</v>
      </c>
      <c r="V26" s="120" t="s">
        <v>295</v>
      </c>
      <c r="W26" s="121" t="s">
        <v>262</v>
      </c>
      <c r="X26" s="117" t="s">
        <v>1307</v>
      </c>
      <c r="Y26" s="117"/>
      <c r="Z26" s="117"/>
      <c r="AA26" s="117" t="s">
        <v>804</v>
      </c>
      <c r="AB26" s="117" t="s">
        <v>1307</v>
      </c>
      <c r="AC26" s="118">
        <v>44338</v>
      </c>
      <c r="AD26" s="117" t="s">
        <v>349</v>
      </c>
      <c r="AE26" s="117" t="s">
        <v>1127</v>
      </c>
      <c r="AF26" s="90" t="s">
        <v>1104</v>
      </c>
      <c r="AG26" s="90" t="s">
        <v>0</v>
      </c>
      <c r="AH26" s="93" t="s">
        <v>972</v>
      </c>
      <c r="AI26" s="93" t="b">
        <v>0</v>
      </c>
      <c r="AJ26" s="93"/>
      <c r="AK26" s="93" t="b">
        <v>0</v>
      </c>
      <c r="AL26" s="93"/>
      <c r="AM26" s="93" t="b">
        <v>0</v>
      </c>
      <c r="AN26" s="93" t="b">
        <v>0</v>
      </c>
      <c r="AO26" s="93" t="b">
        <v>0</v>
      </c>
      <c r="AP26" s="93" t="b">
        <v>0</v>
      </c>
      <c r="AQ26" s="93" t="b">
        <v>0</v>
      </c>
      <c r="AR26" s="93" t="b">
        <v>0</v>
      </c>
      <c r="AS26" s="93" t="b">
        <v>0</v>
      </c>
      <c r="AT26" s="107" t="s">
        <v>1309</v>
      </c>
      <c r="AU26" s="94">
        <v>9882360</v>
      </c>
      <c r="AV26" s="90" t="s">
        <v>983</v>
      </c>
      <c r="AW26" s="108" t="s">
        <v>1058</v>
      </c>
      <c r="AX26" s="91">
        <v>44509</v>
      </c>
      <c r="AY26" s="108" t="s">
        <v>1133</v>
      </c>
      <c r="AZ26" s="90" t="s">
        <v>8</v>
      </c>
      <c r="BA26" s="90" t="s">
        <v>75</v>
      </c>
      <c r="BB26" s="90" t="s">
        <v>52</v>
      </c>
      <c r="BC26" s="90"/>
      <c r="BD26" s="90" t="s">
        <v>28</v>
      </c>
      <c r="BE26" s="90"/>
      <c r="BF26" s="90"/>
      <c r="BG26" s="91"/>
      <c r="BH26" s="93" t="b">
        <v>0</v>
      </c>
      <c r="BI26" s="90"/>
      <c r="BJ26" s="90"/>
      <c r="BK26" s="90" t="s">
        <v>1105</v>
      </c>
      <c r="BL26" s="90" t="s">
        <v>1215</v>
      </c>
      <c r="BM26" s="90"/>
      <c r="BN26" s="90"/>
      <c r="BO26" s="90"/>
      <c r="BP26" s="90"/>
      <c r="BQ26" s="90"/>
      <c r="BR26" s="95"/>
      <c r="BS26" s="90"/>
      <c r="BT26" s="90"/>
      <c r="BU26" s="90"/>
      <c r="BV26" s="90"/>
      <c r="BW26" s="90"/>
      <c r="BX26" s="90"/>
      <c r="BY26" s="90"/>
      <c r="BZ26" s="90"/>
      <c r="CA26" s="90"/>
      <c r="CB26" s="90"/>
      <c r="CC26" s="91"/>
      <c r="CD26" s="90"/>
      <c r="CE26" s="91"/>
      <c r="CF26" s="90"/>
      <c r="CG26" s="91"/>
      <c r="CH26" s="90"/>
      <c r="CI26" s="91"/>
      <c r="CJ26" s="90"/>
      <c r="CK26" s="91"/>
      <c r="CL26" s="90"/>
      <c r="CM26" s="91"/>
      <c r="CN26" s="96"/>
      <c r="CO26" s="91"/>
      <c r="CP26" s="90"/>
      <c r="CQ26" s="90"/>
      <c r="CR26" s="90"/>
      <c r="CS26" s="90"/>
      <c r="CT26" s="91"/>
      <c r="CU26" s="90"/>
      <c r="CV26" s="97"/>
    </row>
    <row r="27" spans="1:100" ht="15" customHeight="1">
      <c r="A27" s="117" t="s">
        <v>1310</v>
      </c>
      <c r="B27" s="118">
        <v>44337</v>
      </c>
      <c r="C27" s="117" t="s">
        <v>1311</v>
      </c>
      <c r="D27" s="117" t="s">
        <v>352</v>
      </c>
      <c r="E27" s="119" t="s">
        <v>1122</v>
      </c>
      <c r="F27" s="117" t="s">
        <v>1123</v>
      </c>
      <c r="G27" s="117" t="s">
        <v>374</v>
      </c>
      <c r="H27" s="117" t="s">
        <v>1207</v>
      </c>
      <c r="I27" s="117" t="s">
        <v>354</v>
      </c>
      <c r="J27" s="117" t="s">
        <v>1124</v>
      </c>
      <c r="K27" s="117" t="s">
        <v>426</v>
      </c>
      <c r="L27" s="117" t="s">
        <v>1125</v>
      </c>
      <c r="M27" s="119" t="s">
        <v>346</v>
      </c>
      <c r="N27" s="117" t="s">
        <v>1312</v>
      </c>
      <c r="O27" s="117" t="s">
        <v>1220</v>
      </c>
      <c r="P27" s="117" t="s">
        <v>1313</v>
      </c>
      <c r="Q27" s="118">
        <v>44338</v>
      </c>
      <c r="R27" s="118">
        <v>44348</v>
      </c>
      <c r="S27" s="117" t="s">
        <v>1314</v>
      </c>
      <c r="T27" s="118">
        <v>44338</v>
      </c>
      <c r="U27" s="120" t="s">
        <v>295</v>
      </c>
      <c r="V27" s="120" t="s">
        <v>295</v>
      </c>
      <c r="W27" s="121" t="s">
        <v>262</v>
      </c>
      <c r="X27" s="117" t="s">
        <v>1315</v>
      </c>
      <c r="Y27" s="117"/>
      <c r="Z27" s="117"/>
      <c r="AA27" s="117" t="s">
        <v>3</v>
      </c>
      <c r="AB27" s="117" t="s">
        <v>1315</v>
      </c>
      <c r="AC27" s="118">
        <v>44338</v>
      </c>
      <c r="AD27" s="117" t="s">
        <v>349</v>
      </c>
      <c r="AE27" s="117" t="s">
        <v>1127</v>
      </c>
      <c r="AF27" s="90" t="s">
        <v>1104</v>
      </c>
      <c r="AG27" s="90" t="s">
        <v>0</v>
      </c>
      <c r="AH27" s="93" t="s">
        <v>972</v>
      </c>
      <c r="AI27" s="93" t="b">
        <v>0</v>
      </c>
      <c r="AJ27" s="93"/>
      <c r="AK27" s="93" t="b">
        <v>0</v>
      </c>
      <c r="AL27" s="93"/>
      <c r="AM27" s="93" t="b">
        <v>0</v>
      </c>
      <c r="AN27" s="93" t="b">
        <v>0</v>
      </c>
      <c r="AO27" s="93" t="b">
        <v>0</v>
      </c>
      <c r="AP27" s="93" t="b">
        <v>0</v>
      </c>
      <c r="AQ27" s="93" t="b">
        <v>0</v>
      </c>
      <c r="AR27" s="93" t="b">
        <v>0</v>
      </c>
      <c r="AS27" s="93" t="b">
        <v>0</v>
      </c>
      <c r="AT27" s="107" t="s">
        <v>1316</v>
      </c>
      <c r="AU27" s="94">
        <v>9882360</v>
      </c>
      <c r="AV27" s="90" t="s">
        <v>983</v>
      </c>
      <c r="AW27" s="108" t="s">
        <v>1058</v>
      </c>
      <c r="AX27" s="91">
        <v>44509</v>
      </c>
      <c r="AY27" s="108" t="s">
        <v>1133</v>
      </c>
      <c r="AZ27" s="90" t="s">
        <v>13</v>
      </c>
      <c r="BA27" s="90" t="s">
        <v>83</v>
      </c>
      <c r="BB27" s="90" t="s">
        <v>52</v>
      </c>
      <c r="BC27" s="90"/>
      <c r="BD27" s="90" t="s">
        <v>28</v>
      </c>
      <c r="BE27" s="90"/>
      <c r="BF27" s="90"/>
      <c r="BG27" s="91"/>
      <c r="BH27" s="93" t="b">
        <v>0</v>
      </c>
      <c r="BI27" s="90"/>
      <c r="BJ27" s="90"/>
      <c r="BK27" s="90" t="s">
        <v>1105</v>
      </c>
      <c r="BL27" s="90" t="s">
        <v>1215</v>
      </c>
      <c r="BM27" s="90"/>
      <c r="BN27" s="90"/>
      <c r="BO27" s="90"/>
      <c r="BP27" s="90"/>
      <c r="BQ27" s="90"/>
      <c r="BR27" s="95"/>
      <c r="BS27" s="90"/>
      <c r="BT27" s="90"/>
      <c r="BU27" s="90"/>
      <c r="BV27" s="90"/>
      <c r="BW27" s="90"/>
      <c r="BX27" s="90"/>
      <c r="BY27" s="90"/>
      <c r="BZ27" s="90"/>
      <c r="CA27" s="90"/>
      <c r="CB27" s="90"/>
      <c r="CC27" s="91"/>
      <c r="CD27" s="90"/>
      <c r="CE27" s="91"/>
      <c r="CF27" s="90"/>
      <c r="CG27" s="91"/>
      <c r="CH27" s="90"/>
      <c r="CI27" s="91"/>
      <c r="CJ27" s="90"/>
      <c r="CK27" s="91"/>
      <c r="CL27" s="90"/>
      <c r="CM27" s="91"/>
      <c r="CN27" s="96"/>
      <c r="CO27" s="91"/>
      <c r="CP27" s="90"/>
      <c r="CQ27" s="90"/>
      <c r="CR27" s="90"/>
      <c r="CS27" s="90"/>
      <c r="CT27" s="91"/>
      <c r="CU27" s="90"/>
      <c r="CV27" s="97"/>
    </row>
    <row r="28" spans="1:100" ht="15" customHeight="1">
      <c r="A28" s="117" t="s">
        <v>1317</v>
      </c>
      <c r="B28" s="118">
        <v>44337</v>
      </c>
      <c r="C28" s="117" t="s">
        <v>1318</v>
      </c>
      <c r="D28" s="117" t="s">
        <v>352</v>
      </c>
      <c r="E28" s="119" t="s">
        <v>1122</v>
      </c>
      <c r="F28" s="117" t="s">
        <v>1123</v>
      </c>
      <c r="G28" s="117" t="s">
        <v>374</v>
      </c>
      <c r="H28" s="117" t="s">
        <v>1207</v>
      </c>
      <c r="I28" s="117" t="s">
        <v>354</v>
      </c>
      <c r="J28" s="117" t="s">
        <v>1124</v>
      </c>
      <c r="K28" s="117" t="s">
        <v>412</v>
      </c>
      <c r="L28" s="117" t="s">
        <v>1128</v>
      </c>
      <c r="M28" s="119" t="s">
        <v>346</v>
      </c>
      <c r="N28" s="117" t="s">
        <v>1319</v>
      </c>
      <c r="O28" s="117" t="s">
        <v>1320</v>
      </c>
      <c r="P28" s="117" t="s">
        <v>1321</v>
      </c>
      <c r="Q28" s="118">
        <v>44337</v>
      </c>
      <c r="R28" s="118">
        <v>44348</v>
      </c>
      <c r="S28" s="117" t="s">
        <v>1322</v>
      </c>
      <c r="T28" s="118">
        <v>44344</v>
      </c>
      <c r="U28" s="120" t="s">
        <v>295</v>
      </c>
      <c r="V28" s="120" t="s">
        <v>295</v>
      </c>
      <c r="W28" s="121" t="s">
        <v>262</v>
      </c>
      <c r="X28" s="117" t="s">
        <v>1323</v>
      </c>
      <c r="Y28" s="117"/>
      <c r="Z28" s="117"/>
      <c r="AA28" s="117" t="s">
        <v>804</v>
      </c>
      <c r="AB28" s="117" t="s">
        <v>1323</v>
      </c>
      <c r="AC28" s="118">
        <v>44344</v>
      </c>
      <c r="AD28" s="117" t="s">
        <v>349</v>
      </c>
      <c r="AE28" s="117" t="s">
        <v>1127</v>
      </c>
      <c r="AF28" s="90" t="s">
        <v>1104</v>
      </c>
      <c r="AG28" s="90" t="s">
        <v>0</v>
      </c>
      <c r="AH28" s="93" t="s">
        <v>972</v>
      </c>
      <c r="AI28" s="93" t="b">
        <v>0</v>
      </c>
      <c r="AJ28" s="93"/>
      <c r="AK28" s="93" t="b">
        <v>0</v>
      </c>
      <c r="AL28" s="93"/>
      <c r="AM28" s="93" t="b">
        <v>0</v>
      </c>
      <c r="AN28" s="93" t="b">
        <v>0</v>
      </c>
      <c r="AO28" s="93" t="b">
        <v>0</v>
      </c>
      <c r="AP28" s="93" t="b">
        <v>0</v>
      </c>
      <c r="AQ28" s="93" t="b">
        <v>0</v>
      </c>
      <c r="AR28" s="93" t="b">
        <v>0</v>
      </c>
      <c r="AS28" s="93" t="b">
        <v>0</v>
      </c>
      <c r="AT28" s="107" t="s">
        <v>1324</v>
      </c>
      <c r="AU28" s="94">
        <v>9882360</v>
      </c>
      <c r="AV28" s="90" t="s">
        <v>983</v>
      </c>
      <c r="AW28" s="108" t="s">
        <v>1058</v>
      </c>
      <c r="AX28" s="91">
        <v>44509</v>
      </c>
      <c r="AY28" s="108" t="s">
        <v>1133</v>
      </c>
      <c r="AZ28" s="90" t="s">
        <v>21</v>
      </c>
      <c r="BA28" s="90" t="s">
        <v>332</v>
      </c>
      <c r="BB28" s="90" t="s">
        <v>38</v>
      </c>
      <c r="BC28" s="90"/>
      <c r="BD28" s="90" t="s">
        <v>28</v>
      </c>
      <c r="BE28" s="90"/>
      <c r="BF28" s="90"/>
      <c r="BG28" s="91"/>
      <c r="BH28" s="93" t="b">
        <v>0</v>
      </c>
      <c r="BI28" s="90"/>
      <c r="BJ28" s="90"/>
      <c r="BK28" s="90" t="s">
        <v>1105</v>
      </c>
      <c r="BL28" s="90" t="s">
        <v>1215</v>
      </c>
      <c r="BM28" s="90"/>
      <c r="BN28" s="90"/>
      <c r="BO28" s="90"/>
      <c r="BP28" s="90"/>
      <c r="BQ28" s="90"/>
      <c r="BR28" s="95"/>
      <c r="BS28" s="90"/>
      <c r="BT28" s="90"/>
      <c r="BU28" s="90"/>
      <c r="BV28" s="90"/>
      <c r="BW28" s="90"/>
      <c r="BX28" s="90"/>
      <c r="BY28" s="90"/>
      <c r="BZ28" s="90"/>
      <c r="CA28" s="90"/>
      <c r="CB28" s="90"/>
      <c r="CC28" s="91"/>
      <c r="CD28" s="90"/>
      <c r="CE28" s="91"/>
      <c r="CF28" s="90"/>
      <c r="CG28" s="91"/>
      <c r="CH28" s="90"/>
      <c r="CI28" s="91"/>
      <c r="CJ28" s="90"/>
      <c r="CK28" s="91"/>
      <c r="CL28" s="90"/>
      <c r="CM28" s="91"/>
      <c r="CN28" s="96"/>
      <c r="CO28" s="91"/>
      <c r="CP28" s="90"/>
      <c r="CQ28" s="90"/>
      <c r="CR28" s="90"/>
      <c r="CS28" s="90"/>
      <c r="CT28" s="91"/>
      <c r="CU28" s="90"/>
      <c r="CV28" s="97"/>
    </row>
    <row r="29" spans="1:100" ht="15" customHeight="1">
      <c r="A29" s="117" t="s">
        <v>1325</v>
      </c>
      <c r="B29" s="118">
        <v>44337</v>
      </c>
      <c r="C29" s="117" t="s">
        <v>1326</v>
      </c>
      <c r="D29" s="117" t="s">
        <v>352</v>
      </c>
      <c r="E29" s="119" t="s">
        <v>1122</v>
      </c>
      <c r="F29" s="117" t="s">
        <v>1123</v>
      </c>
      <c r="G29" s="117" t="s">
        <v>374</v>
      </c>
      <c r="H29" s="117" t="s">
        <v>1207</v>
      </c>
      <c r="I29" s="117" t="s">
        <v>354</v>
      </c>
      <c r="J29" s="117" t="s">
        <v>1124</v>
      </c>
      <c r="K29" s="117" t="s">
        <v>412</v>
      </c>
      <c r="L29" s="117" t="s">
        <v>1128</v>
      </c>
      <c r="M29" s="119" t="s">
        <v>346</v>
      </c>
      <c r="N29" s="117" t="s">
        <v>1327</v>
      </c>
      <c r="O29" s="117" t="s">
        <v>1220</v>
      </c>
      <c r="P29" s="117" t="s">
        <v>1328</v>
      </c>
      <c r="Q29" s="118">
        <v>44338</v>
      </c>
      <c r="R29" s="118">
        <v>44348</v>
      </c>
      <c r="S29" s="117" t="s">
        <v>1329</v>
      </c>
      <c r="T29" s="118">
        <v>44344</v>
      </c>
      <c r="U29" s="120" t="s">
        <v>295</v>
      </c>
      <c r="V29" s="120" t="s">
        <v>295</v>
      </c>
      <c r="W29" s="121" t="s">
        <v>262</v>
      </c>
      <c r="X29" s="117" t="s">
        <v>1330</v>
      </c>
      <c r="Y29" s="117"/>
      <c r="Z29" s="117"/>
      <c r="AA29" s="117" t="s">
        <v>804</v>
      </c>
      <c r="AB29" s="117" t="s">
        <v>1330</v>
      </c>
      <c r="AC29" s="118">
        <v>44344</v>
      </c>
      <c r="AD29" s="117" t="s">
        <v>349</v>
      </c>
      <c r="AE29" s="117" t="s">
        <v>1127</v>
      </c>
      <c r="AF29" s="90" t="s">
        <v>1104</v>
      </c>
      <c r="AG29" s="90" t="s">
        <v>0</v>
      </c>
      <c r="AH29" s="93" t="s">
        <v>972</v>
      </c>
      <c r="AI29" s="93" t="b">
        <v>0</v>
      </c>
      <c r="AJ29" s="93"/>
      <c r="AK29" s="93" t="b">
        <v>0</v>
      </c>
      <c r="AL29" s="93"/>
      <c r="AM29" s="93" t="b">
        <v>0</v>
      </c>
      <c r="AN29" s="93" t="b">
        <v>0</v>
      </c>
      <c r="AO29" s="93" t="b">
        <v>0</v>
      </c>
      <c r="AP29" s="93" t="b">
        <v>0</v>
      </c>
      <c r="AQ29" s="93" t="b">
        <v>0</v>
      </c>
      <c r="AR29" s="93" t="b">
        <v>0</v>
      </c>
      <c r="AS29" s="93" t="b">
        <v>0</v>
      </c>
      <c r="AT29" s="107" t="s">
        <v>1331</v>
      </c>
      <c r="AU29" s="94">
        <v>9882360</v>
      </c>
      <c r="AV29" s="90" t="s">
        <v>983</v>
      </c>
      <c r="AW29" s="108" t="s">
        <v>1058</v>
      </c>
      <c r="AX29" s="91">
        <v>44509</v>
      </c>
      <c r="AY29" s="108" t="s">
        <v>1133</v>
      </c>
      <c r="AZ29" s="90" t="s">
        <v>19</v>
      </c>
      <c r="BA29" s="90" t="s">
        <v>150</v>
      </c>
      <c r="BB29" s="90" t="s">
        <v>38</v>
      </c>
      <c r="BC29" s="90"/>
      <c r="BD29" s="90" t="s">
        <v>28</v>
      </c>
      <c r="BE29" s="90"/>
      <c r="BF29" s="90"/>
      <c r="BG29" s="91"/>
      <c r="BH29" s="93" t="b">
        <v>0</v>
      </c>
      <c r="BI29" s="90"/>
      <c r="BJ29" s="90"/>
      <c r="BK29" s="90" t="s">
        <v>1105</v>
      </c>
      <c r="BL29" s="90" t="s">
        <v>1215</v>
      </c>
      <c r="BM29" s="90"/>
      <c r="BN29" s="90"/>
      <c r="BO29" s="90"/>
      <c r="BP29" s="90"/>
      <c r="BQ29" s="90"/>
      <c r="BR29" s="95"/>
      <c r="BS29" s="90"/>
      <c r="BT29" s="90"/>
      <c r="BU29" s="90"/>
      <c r="BV29" s="90"/>
      <c r="BW29" s="90"/>
      <c r="BX29" s="90"/>
      <c r="BY29" s="90"/>
      <c r="BZ29" s="90"/>
      <c r="CA29" s="90"/>
      <c r="CB29" s="90"/>
      <c r="CC29" s="91"/>
      <c r="CD29" s="90"/>
      <c r="CE29" s="91"/>
      <c r="CF29" s="90"/>
      <c r="CG29" s="91"/>
      <c r="CH29" s="90"/>
      <c r="CI29" s="91"/>
      <c r="CJ29" s="90"/>
      <c r="CK29" s="91"/>
      <c r="CL29" s="90"/>
      <c r="CM29" s="91"/>
      <c r="CN29" s="96"/>
      <c r="CO29" s="91"/>
      <c r="CP29" s="90"/>
      <c r="CQ29" s="90"/>
      <c r="CR29" s="90"/>
      <c r="CS29" s="90"/>
      <c r="CT29" s="91"/>
      <c r="CU29" s="90"/>
      <c r="CV29" s="97"/>
    </row>
    <row r="30" spans="1:100" ht="15" customHeight="1">
      <c r="A30" s="117" t="s">
        <v>1332</v>
      </c>
      <c r="B30" s="118">
        <v>44337</v>
      </c>
      <c r="C30" s="117" t="s">
        <v>1333</v>
      </c>
      <c r="D30" s="117" t="s">
        <v>352</v>
      </c>
      <c r="E30" s="119" t="s">
        <v>1122</v>
      </c>
      <c r="F30" s="117" t="s">
        <v>1123</v>
      </c>
      <c r="G30" s="117" t="s">
        <v>374</v>
      </c>
      <c r="H30" s="117" t="s">
        <v>1207</v>
      </c>
      <c r="I30" s="117" t="s">
        <v>354</v>
      </c>
      <c r="J30" s="117" t="s">
        <v>1124</v>
      </c>
      <c r="K30" s="117" t="s">
        <v>412</v>
      </c>
      <c r="L30" s="117" t="s">
        <v>1128</v>
      </c>
      <c r="M30" s="119" t="s">
        <v>346</v>
      </c>
      <c r="N30" s="117" t="s">
        <v>1334</v>
      </c>
      <c r="O30" s="117" t="s">
        <v>1335</v>
      </c>
      <c r="P30" s="117" t="s">
        <v>1336</v>
      </c>
      <c r="Q30" s="118">
        <v>44338</v>
      </c>
      <c r="R30" s="118">
        <v>44348</v>
      </c>
      <c r="S30" s="117" t="s">
        <v>1337</v>
      </c>
      <c r="T30" s="118">
        <v>44340</v>
      </c>
      <c r="U30" s="120" t="s">
        <v>295</v>
      </c>
      <c r="V30" s="120" t="s">
        <v>295</v>
      </c>
      <c r="W30" s="121" t="s">
        <v>262</v>
      </c>
      <c r="X30" s="117" t="s">
        <v>1338</v>
      </c>
      <c r="Y30" s="117"/>
      <c r="Z30" s="117"/>
      <c r="AA30" s="117" t="s">
        <v>804</v>
      </c>
      <c r="AB30" s="117" t="s">
        <v>1338</v>
      </c>
      <c r="AC30" s="118">
        <v>44340</v>
      </c>
      <c r="AD30" s="117" t="s">
        <v>349</v>
      </c>
      <c r="AE30" s="117" t="s">
        <v>1127</v>
      </c>
      <c r="AF30" s="90" t="s">
        <v>1104</v>
      </c>
      <c r="AG30" s="90" t="s">
        <v>0</v>
      </c>
      <c r="AH30" s="93" t="s">
        <v>972</v>
      </c>
      <c r="AI30" s="93" t="b">
        <v>0</v>
      </c>
      <c r="AJ30" s="93"/>
      <c r="AK30" s="93" t="b">
        <v>0</v>
      </c>
      <c r="AL30" s="93"/>
      <c r="AM30" s="93" t="b">
        <v>0</v>
      </c>
      <c r="AN30" s="93" t="b">
        <v>0</v>
      </c>
      <c r="AO30" s="93" t="b">
        <v>0</v>
      </c>
      <c r="AP30" s="93" t="b">
        <v>0</v>
      </c>
      <c r="AQ30" s="93" t="b">
        <v>0</v>
      </c>
      <c r="AR30" s="93" t="b">
        <v>0</v>
      </c>
      <c r="AS30" s="93" t="b">
        <v>0</v>
      </c>
      <c r="AT30" s="107" t="s">
        <v>1339</v>
      </c>
      <c r="AU30" s="94">
        <v>9882360</v>
      </c>
      <c r="AV30" s="90" t="s">
        <v>983</v>
      </c>
      <c r="AW30" s="108" t="s">
        <v>1058</v>
      </c>
      <c r="AX30" s="91">
        <v>44509</v>
      </c>
      <c r="AY30" s="108" t="s">
        <v>1133</v>
      </c>
      <c r="AZ30" s="90" t="s">
        <v>21</v>
      </c>
      <c r="BA30" s="90" t="s">
        <v>332</v>
      </c>
      <c r="BB30" s="90" t="s">
        <v>38</v>
      </c>
      <c r="BC30" s="90"/>
      <c r="BD30" s="90" t="s">
        <v>28</v>
      </c>
      <c r="BE30" s="90"/>
      <c r="BF30" s="90"/>
      <c r="BG30" s="91"/>
      <c r="BH30" s="93" t="b">
        <v>0</v>
      </c>
      <c r="BI30" s="90"/>
      <c r="BJ30" s="90"/>
      <c r="BK30" s="90" t="s">
        <v>1105</v>
      </c>
      <c r="BL30" s="90" t="s">
        <v>1215</v>
      </c>
      <c r="BM30" s="90"/>
      <c r="BN30" s="90"/>
      <c r="BO30" s="90"/>
      <c r="BP30" s="90"/>
      <c r="BQ30" s="90"/>
      <c r="BR30" s="95"/>
      <c r="BS30" s="90"/>
      <c r="BT30" s="90"/>
      <c r="BU30" s="90"/>
      <c r="BV30" s="90"/>
      <c r="BW30" s="90"/>
      <c r="BX30" s="90"/>
      <c r="BY30" s="90"/>
      <c r="BZ30" s="90"/>
      <c r="CA30" s="90"/>
      <c r="CB30" s="90"/>
      <c r="CC30" s="91"/>
      <c r="CD30" s="90"/>
      <c r="CE30" s="91"/>
      <c r="CF30" s="90"/>
      <c r="CG30" s="91"/>
      <c r="CH30" s="90"/>
      <c r="CI30" s="91"/>
      <c r="CJ30" s="90"/>
      <c r="CK30" s="91"/>
      <c r="CL30" s="90"/>
      <c r="CM30" s="91"/>
      <c r="CN30" s="96"/>
      <c r="CO30" s="91"/>
      <c r="CP30" s="90"/>
      <c r="CQ30" s="90"/>
      <c r="CR30" s="90"/>
      <c r="CS30" s="90"/>
      <c r="CT30" s="91"/>
      <c r="CU30" s="90"/>
      <c r="CV30" s="97"/>
    </row>
    <row r="31" spans="1:100" ht="15" customHeight="1">
      <c r="A31" s="117" t="s">
        <v>1340</v>
      </c>
      <c r="B31" s="118">
        <v>44337</v>
      </c>
      <c r="C31" s="117" t="s">
        <v>1341</v>
      </c>
      <c r="D31" s="117" t="s">
        <v>352</v>
      </c>
      <c r="E31" s="119" t="s">
        <v>1122</v>
      </c>
      <c r="F31" s="117" t="s">
        <v>1123</v>
      </c>
      <c r="G31" s="117" t="s">
        <v>374</v>
      </c>
      <c r="H31" s="117" t="s">
        <v>1207</v>
      </c>
      <c r="I31" s="117" t="s">
        <v>354</v>
      </c>
      <c r="J31" s="117" t="s">
        <v>1124</v>
      </c>
      <c r="K31" s="117" t="s">
        <v>417</v>
      </c>
      <c r="L31" s="117" t="s">
        <v>1130</v>
      </c>
      <c r="M31" s="119" t="s">
        <v>346</v>
      </c>
      <c r="N31" s="117" t="s">
        <v>1342</v>
      </c>
      <c r="O31" s="117" t="s">
        <v>1253</v>
      </c>
      <c r="P31" s="117" t="s">
        <v>1343</v>
      </c>
      <c r="Q31" s="118">
        <v>44338</v>
      </c>
      <c r="R31" s="118">
        <v>44348</v>
      </c>
      <c r="S31" s="117" t="s">
        <v>1344</v>
      </c>
      <c r="T31" s="118">
        <v>44343</v>
      </c>
      <c r="U31" s="120" t="s">
        <v>295</v>
      </c>
      <c r="V31" s="120" t="s">
        <v>295</v>
      </c>
      <c r="W31" s="121" t="s">
        <v>262</v>
      </c>
      <c r="X31" s="117" t="s">
        <v>1345</v>
      </c>
      <c r="Y31" s="117"/>
      <c r="Z31" s="117"/>
      <c r="AA31" s="117" t="s">
        <v>804</v>
      </c>
      <c r="AB31" s="117" t="s">
        <v>1345</v>
      </c>
      <c r="AC31" s="118">
        <v>44343</v>
      </c>
      <c r="AD31" s="117" t="s">
        <v>349</v>
      </c>
      <c r="AE31" s="117" t="s">
        <v>1127</v>
      </c>
      <c r="AF31" s="90" t="s">
        <v>1104</v>
      </c>
      <c r="AG31" s="90" t="s">
        <v>0</v>
      </c>
      <c r="AH31" s="93" t="s">
        <v>972</v>
      </c>
      <c r="AI31" s="93" t="b">
        <v>0</v>
      </c>
      <c r="AJ31" s="93"/>
      <c r="AK31" s="93" t="b">
        <v>0</v>
      </c>
      <c r="AL31" s="93"/>
      <c r="AM31" s="93" t="b">
        <v>0</v>
      </c>
      <c r="AN31" s="93" t="b">
        <v>0</v>
      </c>
      <c r="AO31" s="93" t="b">
        <v>0</v>
      </c>
      <c r="AP31" s="93" t="b">
        <v>0</v>
      </c>
      <c r="AQ31" s="93" t="b">
        <v>0</v>
      </c>
      <c r="AR31" s="93" t="b">
        <v>0</v>
      </c>
      <c r="AS31" s="93" t="b">
        <v>0</v>
      </c>
      <c r="AT31" s="107" t="s">
        <v>1346</v>
      </c>
      <c r="AU31" s="94">
        <v>9882360</v>
      </c>
      <c r="AV31" s="90" t="s">
        <v>983</v>
      </c>
      <c r="AW31" s="108" t="s">
        <v>1058</v>
      </c>
      <c r="AX31" s="91">
        <v>44509</v>
      </c>
      <c r="AY31" s="108" t="s">
        <v>1133</v>
      </c>
      <c r="AZ31" s="90" t="s">
        <v>14</v>
      </c>
      <c r="BA31" s="90" t="s">
        <v>100</v>
      </c>
      <c r="BB31" s="90" t="s">
        <v>43</v>
      </c>
      <c r="BC31" s="90"/>
      <c r="BD31" s="90" t="s">
        <v>756</v>
      </c>
      <c r="BE31" s="90"/>
      <c r="BF31" s="90"/>
      <c r="BG31" s="91"/>
      <c r="BH31" s="93" t="b">
        <v>0</v>
      </c>
      <c r="BI31" s="90"/>
      <c r="BJ31" s="90"/>
      <c r="BK31" s="90" t="s">
        <v>1105</v>
      </c>
      <c r="BL31" s="90" t="s">
        <v>1215</v>
      </c>
      <c r="BM31" s="90"/>
      <c r="BN31" s="90"/>
      <c r="BO31" s="90"/>
      <c r="BP31" s="90"/>
      <c r="BQ31" s="90"/>
      <c r="BR31" s="95"/>
      <c r="BS31" s="90"/>
      <c r="BT31" s="90"/>
      <c r="BU31" s="90"/>
      <c r="BV31" s="90"/>
      <c r="BW31" s="90"/>
      <c r="BX31" s="90"/>
      <c r="BY31" s="90"/>
      <c r="BZ31" s="90"/>
      <c r="CA31" s="90"/>
      <c r="CB31" s="90"/>
      <c r="CC31" s="91"/>
      <c r="CD31" s="90"/>
      <c r="CE31" s="91"/>
      <c r="CF31" s="90"/>
      <c r="CG31" s="91"/>
      <c r="CH31" s="90"/>
      <c r="CI31" s="91"/>
      <c r="CJ31" s="90"/>
      <c r="CK31" s="91"/>
      <c r="CL31" s="90"/>
      <c r="CM31" s="91"/>
      <c r="CN31" s="96"/>
      <c r="CO31" s="91"/>
      <c r="CP31" s="90"/>
      <c r="CQ31" s="90"/>
      <c r="CR31" s="90"/>
      <c r="CS31" s="90"/>
      <c r="CT31" s="91"/>
      <c r="CU31" s="90"/>
      <c r="CV31" s="97"/>
    </row>
    <row r="32" spans="1:100" ht="15" customHeight="1">
      <c r="A32" s="117" t="s">
        <v>1347</v>
      </c>
      <c r="B32" s="118">
        <v>44337</v>
      </c>
      <c r="C32" s="117" t="s">
        <v>1348</v>
      </c>
      <c r="D32" s="117" t="s">
        <v>352</v>
      </c>
      <c r="E32" s="119" t="s">
        <v>1122</v>
      </c>
      <c r="F32" s="117" t="s">
        <v>1123</v>
      </c>
      <c r="G32" s="117" t="s">
        <v>374</v>
      </c>
      <c r="H32" s="117" t="s">
        <v>1207</v>
      </c>
      <c r="I32" s="117" t="s">
        <v>354</v>
      </c>
      <c r="J32" s="117" t="s">
        <v>1124</v>
      </c>
      <c r="K32" s="117" t="s">
        <v>412</v>
      </c>
      <c r="L32" s="117" t="s">
        <v>1128</v>
      </c>
      <c r="M32" s="119" t="s">
        <v>346</v>
      </c>
      <c r="N32" s="117" t="s">
        <v>1349</v>
      </c>
      <c r="O32" s="117" t="s">
        <v>1266</v>
      </c>
      <c r="P32" s="117" t="s">
        <v>1350</v>
      </c>
      <c r="Q32" s="118">
        <v>44337</v>
      </c>
      <c r="R32" s="118">
        <v>44348</v>
      </c>
      <c r="S32" s="117" t="s">
        <v>1351</v>
      </c>
      <c r="T32" s="118">
        <v>44347</v>
      </c>
      <c r="U32" s="120" t="s">
        <v>295</v>
      </c>
      <c r="V32" s="120" t="s">
        <v>295</v>
      </c>
      <c r="W32" s="121" t="s">
        <v>262</v>
      </c>
      <c r="X32" s="117" t="s">
        <v>1352</v>
      </c>
      <c r="Y32" s="117"/>
      <c r="Z32" s="117"/>
      <c r="AA32" s="117" t="s">
        <v>1</v>
      </c>
      <c r="AB32" s="117" t="s">
        <v>1352</v>
      </c>
      <c r="AC32" s="118">
        <v>44347</v>
      </c>
      <c r="AD32" s="117" t="s">
        <v>349</v>
      </c>
      <c r="AE32" s="117" t="s">
        <v>1127</v>
      </c>
      <c r="AF32" s="90" t="s">
        <v>1104</v>
      </c>
      <c r="AG32" s="90" t="s">
        <v>0</v>
      </c>
      <c r="AH32" s="93" t="s">
        <v>972</v>
      </c>
      <c r="AI32" s="93" t="b">
        <v>0</v>
      </c>
      <c r="AJ32" s="93"/>
      <c r="AK32" s="93" t="b">
        <v>0</v>
      </c>
      <c r="AL32" s="93"/>
      <c r="AM32" s="93" t="b">
        <v>0</v>
      </c>
      <c r="AN32" s="93" t="b">
        <v>0</v>
      </c>
      <c r="AO32" s="93" t="b">
        <v>0</v>
      </c>
      <c r="AP32" s="93" t="b">
        <v>0</v>
      </c>
      <c r="AQ32" s="93" t="b">
        <v>0</v>
      </c>
      <c r="AR32" s="93" t="b">
        <v>0</v>
      </c>
      <c r="AS32" s="93" t="b">
        <v>0</v>
      </c>
      <c r="AT32" s="107" t="s">
        <v>1353</v>
      </c>
      <c r="AU32" s="94">
        <v>9882360</v>
      </c>
      <c r="AV32" s="90" t="s">
        <v>983</v>
      </c>
      <c r="AW32" s="108" t="s">
        <v>1058</v>
      </c>
      <c r="AX32" s="91">
        <v>44509</v>
      </c>
      <c r="AY32" s="108" t="s">
        <v>1133</v>
      </c>
      <c r="AZ32" s="90" t="s">
        <v>17</v>
      </c>
      <c r="BA32" s="90" t="s">
        <v>180</v>
      </c>
      <c r="BB32" s="90" t="s">
        <v>38</v>
      </c>
      <c r="BC32" s="90"/>
      <c r="BD32" s="90" t="s">
        <v>28</v>
      </c>
      <c r="BE32" s="90"/>
      <c r="BF32" s="90"/>
      <c r="BG32" s="91"/>
      <c r="BH32" s="93" t="b">
        <v>0</v>
      </c>
      <c r="BI32" s="90"/>
      <c r="BJ32" s="90"/>
      <c r="BK32" s="90" t="s">
        <v>1105</v>
      </c>
      <c r="BL32" s="90" t="s">
        <v>1215</v>
      </c>
      <c r="BM32" s="90"/>
      <c r="BN32" s="90"/>
      <c r="BO32" s="90"/>
      <c r="BP32" s="90"/>
      <c r="BQ32" s="90"/>
      <c r="BR32" s="95"/>
      <c r="BS32" s="90"/>
      <c r="BT32" s="90"/>
      <c r="BU32" s="90"/>
      <c r="BV32" s="90"/>
      <c r="BW32" s="90"/>
      <c r="BX32" s="90"/>
      <c r="BY32" s="90"/>
      <c r="BZ32" s="90"/>
      <c r="CA32" s="90"/>
      <c r="CB32" s="90"/>
      <c r="CC32" s="91"/>
      <c r="CD32" s="90"/>
      <c r="CE32" s="91"/>
      <c r="CF32" s="90"/>
      <c r="CG32" s="91"/>
      <c r="CH32" s="90"/>
      <c r="CI32" s="91"/>
      <c r="CJ32" s="90"/>
      <c r="CK32" s="91"/>
      <c r="CL32" s="90"/>
      <c r="CM32" s="91"/>
      <c r="CN32" s="96"/>
      <c r="CO32" s="91"/>
      <c r="CP32" s="90"/>
      <c r="CQ32" s="90"/>
      <c r="CR32" s="90"/>
      <c r="CS32" s="90"/>
      <c r="CT32" s="91"/>
      <c r="CU32" s="90"/>
      <c r="CV32" s="97"/>
    </row>
    <row r="33" spans="1:100" ht="15" customHeight="1">
      <c r="A33" s="117" t="s">
        <v>1354</v>
      </c>
      <c r="B33" s="118">
        <v>44337</v>
      </c>
      <c r="C33" s="117" t="s">
        <v>1355</v>
      </c>
      <c r="D33" s="117" t="s">
        <v>352</v>
      </c>
      <c r="E33" s="119" t="s">
        <v>1122</v>
      </c>
      <c r="F33" s="117" t="s">
        <v>1123</v>
      </c>
      <c r="G33" s="117" t="s">
        <v>374</v>
      </c>
      <c r="H33" s="117" t="s">
        <v>1207</v>
      </c>
      <c r="I33" s="117" t="s">
        <v>354</v>
      </c>
      <c r="J33" s="117" t="s">
        <v>1124</v>
      </c>
      <c r="K33" s="117" t="s">
        <v>412</v>
      </c>
      <c r="L33" s="117" t="s">
        <v>1128</v>
      </c>
      <c r="M33" s="119" t="s">
        <v>346</v>
      </c>
      <c r="N33" s="117" t="s">
        <v>1356</v>
      </c>
      <c r="O33" s="117" t="s">
        <v>1220</v>
      </c>
      <c r="P33" s="117" t="s">
        <v>1357</v>
      </c>
      <c r="Q33" s="118">
        <v>44337</v>
      </c>
      <c r="R33" s="118">
        <v>44348</v>
      </c>
      <c r="S33" s="117" t="s">
        <v>1358</v>
      </c>
      <c r="T33" s="118">
        <v>44337</v>
      </c>
      <c r="U33" s="120" t="s">
        <v>295</v>
      </c>
      <c r="V33" s="120" t="s">
        <v>295</v>
      </c>
      <c r="W33" s="121" t="s">
        <v>262</v>
      </c>
      <c r="X33" s="117" t="s">
        <v>1359</v>
      </c>
      <c r="Y33" s="117"/>
      <c r="Z33" s="117"/>
      <c r="AA33" s="117" t="s">
        <v>3</v>
      </c>
      <c r="AB33" s="117" t="s">
        <v>1359</v>
      </c>
      <c r="AC33" s="118">
        <v>44337</v>
      </c>
      <c r="AD33" s="117" t="s">
        <v>349</v>
      </c>
      <c r="AE33" s="117" t="s">
        <v>1127</v>
      </c>
      <c r="AF33" s="90" t="s">
        <v>1104</v>
      </c>
      <c r="AG33" s="90" t="s">
        <v>0</v>
      </c>
      <c r="AH33" s="93" t="s">
        <v>972</v>
      </c>
      <c r="AI33" s="93" t="b">
        <v>0</v>
      </c>
      <c r="AJ33" s="93"/>
      <c r="AK33" s="93" t="b">
        <v>0</v>
      </c>
      <c r="AL33" s="93"/>
      <c r="AM33" s="93" t="b">
        <v>0</v>
      </c>
      <c r="AN33" s="93" t="b">
        <v>0</v>
      </c>
      <c r="AO33" s="93" t="b">
        <v>0</v>
      </c>
      <c r="AP33" s="93" t="b">
        <v>0</v>
      </c>
      <c r="AQ33" s="93" t="b">
        <v>0</v>
      </c>
      <c r="AR33" s="93" t="b">
        <v>0</v>
      </c>
      <c r="AS33" s="93" t="b">
        <v>0</v>
      </c>
      <c r="AT33" s="107" t="s">
        <v>1360</v>
      </c>
      <c r="AU33" s="94">
        <v>9882360</v>
      </c>
      <c r="AV33" s="90" t="s">
        <v>983</v>
      </c>
      <c r="AW33" s="108" t="s">
        <v>1058</v>
      </c>
      <c r="AX33" s="91">
        <v>44509</v>
      </c>
      <c r="AY33" s="108" t="s">
        <v>1133</v>
      </c>
      <c r="AZ33" s="90" t="s">
        <v>13</v>
      </c>
      <c r="BA33" s="90" t="s">
        <v>83</v>
      </c>
      <c r="BB33" s="90" t="s">
        <v>38</v>
      </c>
      <c r="BC33" s="90"/>
      <c r="BD33" s="90" t="s">
        <v>28</v>
      </c>
      <c r="BE33" s="90"/>
      <c r="BF33" s="90"/>
      <c r="BG33" s="91"/>
      <c r="BH33" s="93" t="b">
        <v>0</v>
      </c>
      <c r="BI33" s="90"/>
      <c r="BJ33" s="90"/>
      <c r="BK33" s="90" t="s">
        <v>1105</v>
      </c>
      <c r="BL33" s="90" t="s">
        <v>1215</v>
      </c>
      <c r="BM33" s="90"/>
      <c r="BN33" s="90"/>
      <c r="BO33" s="90"/>
      <c r="BP33" s="90"/>
      <c r="BQ33" s="90"/>
      <c r="BR33" s="95"/>
      <c r="BS33" s="90"/>
      <c r="BT33" s="90"/>
      <c r="BU33" s="90"/>
      <c r="BV33" s="90"/>
      <c r="BW33" s="90"/>
      <c r="BX33" s="90"/>
      <c r="BY33" s="90"/>
      <c r="BZ33" s="90"/>
      <c r="CA33" s="90"/>
      <c r="CB33" s="90"/>
      <c r="CC33" s="91"/>
      <c r="CD33" s="90"/>
      <c r="CE33" s="91"/>
      <c r="CF33" s="90"/>
      <c r="CG33" s="91"/>
      <c r="CH33" s="90"/>
      <c r="CI33" s="91"/>
      <c r="CJ33" s="90"/>
      <c r="CK33" s="91"/>
      <c r="CL33" s="90"/>
      <c r="CM33" s="91"/>
      <c r="CN33" s="96"/>
      <c r="CO33" s="91"/>
      <c r="CP33" s="90"/>
      <c r="CQ33" s="90"/>
      <c r="CR33" s="90"/>
      <c r="CS33" s="90"/>
      <c r="CT33" s="91"/>
      <c r="CU33" s="90"/>
      <c r="CV33" s="97"/>
    </row>
    <row r="34" spans="1:100" ht="15" customHeight="1">
      <c r="A34" s="117" t="s">
        <v>1361</v>
      </c>
      <c r="B34" s="118">
        <v>44337</v>
      </c>
      <c r="C34" s="117" t="s">
        <v>1362</v>
      </c>
      <c r="D34" s="117" t="s">
        <v>352</v>
      </c>
      <c r="E34" s="119" t="s">
        <v>1122</v>
      </c>
      <c r="F34" s="117" t="s">
        <v>1123</v>
      </c>
      <c r="G34" s="117" t="s">
        <v>374</v>
      </c>
      <c r="H34" s="117" t="s">
        <v>1207</v>
      </c>
      <c r="I34" s="117" t="s">
        <v>354</v>
      </c>
      <c r="J34" s="117" t="s">
        <v>1124</v>
      </c>
      <c r="K34" s="117" t="s">
        <v>412</v>
      </c>
      <c r="L34" s="117" t="s">
        <v>1128</v>
      </c>
      <c r="M34" s="119" t="s">
        <v>346</v>
      </c>
      <c r="N34" s="117" t="s">
        <v>1363</v>
      </c>
      <c r="O34" s="117" t="s">
        <v>1220</v>
      </c>
      <c r="P34" s="117" t="s">
        <v>1364</v>
      </c>
      <c r="Q34" s="118">
        <v>44337</v>
      </c>
      <c r="R34" s="118">
        <v>44348</v>
      </c>
      <c r="S34" s="117" t="s">
        <v>1365</v>
      </c>
      <c r="T34" s="118">
        <v>44337</v>
      </c>
      <c r="U34" s="120" t="s">
        <v>295</v>
      </c>
      <c r="V34" s="120" t="s">
        <v>295</v>
      </c>
      <c r="W34" s="121" t="s">
        <v>262</v>
      </c>
      <c r="X34" s="117" t="s">
        <v>1364</v>
      </c>
      <c r="Y34" s="117"/>
      <c r="Z34" s="117"/>
      <c r="AA34" s="117" t="s">
        <v>3</v>
      </c>
      <c r="AB34" s="117" t="s">
        <v>1364</v>
      </c>
      <c r="AC34" s="118">
        <v>44337</v>
      </c>
      <c r="AD34" s="117" t="s">
        <v>349</v>
      </c>
      <c r="AE34" s="117" t="s">
        <v>1127</v>
      </c>
      <c r="AF34" s="90" t="s">
        <v>1104</v>
      </c>
      <c r="AG34" s="90" t="s">
        <v>0</v>
      </c>
      <c r="AH34" s="93" t="s">
        <v>972</v>
      </c>
      <c r="AI34" s="93" t="b">
        <v>0</v>
      </c>
      <c r="AJ34" s="93"/>
      <c r="AK34" s="93" t="b">
        <v>0</v>
      </c>
      <c r="AL34" s="93"/>
      <c r="AM34" s="93" t="b">
        <v>0</v>
      </c>
      <c r="AN34" s="93" t="b">
        <v>0</v>
      </c>
      <c r="AO34" s="93" t="b">
        <v>0</v>
      </c>
      <c r="AP34" s="93" t="b">
        <v>0</v>
      </c>
      <c r="AQ34" s="93" t="b">
        <v>0</v>
      </c>
      <c r="AR34" s="93" t="b">
        <v>0</v>
      </c>
      <c r="AS34" s="93" t="b">
        <v>0</v>
      </c>
      <c r="AT34" s="107" t="s">
        <v>1366</v>
      </c>
      <c r="AU34" s="94">
        <v>9882360</v>
      </c>
      <c r="AV34" s="90" t="s">
        <v>983</v>
      </c>
      <c r="AW34" s="108" t="s">
        <v>1058</v>
      </c>
      <c r="AX34" s="91">
        <v>44509</v>
      </c>
      <c r="AY34" s="108" t="s">
        <v>1133</v>
      </c>
      <c r="AZ34" s="90" t="s">
        <v>19</v>
      </c>
      <c r="BA34" s="90" t="s">
        <v>150</v>
      </c>
      <c r="BB34" s="90" t="s">
        <v>38</v>
      </c>
      <c r="BC34" s="90"/>
      <c r="BD34" s="90" t="s">
        <v>28</v>
      </c>
      <c r="BE34" s="90"/>
      <c r="BF34" s="90"/>
      <c r="BG34" s="91"/>
      <c r="BH34" s="93" t="b">
        <v>0</v>
      </c>
      <c r="BI34" s="90"/>
      <c r="BJ34" s="90"/>
      <c r="BK34" s="90" t="s">
        <v>1105</v>
      </c>
      <c r="BL34" s="90" t="s">
        <v>1215</v>
      </c>
      <c r="BM34" s="90"/>
      <c r="BN34" s="90"/>
      <c r="BO34" s="90"/>
      <c r="BP34" s="90"/>
      <c r="BQ34" s="90"/>
      <c r="BR34" s="95"/>
      <c r="BS34" s="90"/>
      <c r="BT34" s="90"/>
      <c r="BU34" s="90"/>
      <c r="BV34" s="90"/>
      <c r="BW34" s="90"/>
      <c r="BX34" s="90"/>
      <c r="BY34" s="90"/>
      <c r="BZ34" s="90"/>
      <c r="CA34" s="90"/>
      <c r="CB34" s="90"/>
      <c r="CC34" s="91"/>
      <c r="CD34" s="90"/>
      <c r="CE34" s="91"/>
      <c r="CF34" s="90"/>
      <c r="CG34" s="91"/>
      <c r="CH34" s="90"/>
      <c r="CI34" s="91"/>
      <c r="CJ34" s="90"/>
      <c r="CK34" s="91"/>
      <c r="CL34" s="90"/>
      <c r="CM34" s="91"/>
      <c r="CN34" s="96"/>
      <c r="CO34" s="91"/>
      <c r="CP34" s="90"/>
      <c r="CQ34" s="90"/>
      <c r="CR34" s="90"/>
      <c r="CS34" s="90"/>
      <c r="CT34" s="91"/>
      <c r="CU34" s="90"/>
      <c r="CV34" s="97"/>
    </row>
    <row r="35" spans="1:100" ht="15" customHeight="1">
      <c r="A35" s="117" t="s">
        <v>1367</v>
      </c>
      <c r="B35" s="118">
        <v>44385</v>
      </c>
      <c r="C35" s="117" t="s">
        <v>1368</v>
      </c>
      <c r="D35" s="117" t="s">
        <v>358</v>
      </c>
      <c r="E35" s="119" t="s">
        <v>1110</v>
      </c>
      <c r="F35" s="117" t="s">
        <v>1111</v>
      </c>
      <c r="G35" s="117" t="s">
        <v>375</v>
      </c>
      <c r="H35" s="117"/>
      <c r="I35" s="117" t="s">
        <v>360</v>
      </c>
      <c r="J35" s="117" t="s">
        <v>1112</v>
      </c>
      <c r="K35" s="117" t="s">
        <v>402</v>
      </c>
      <c r="L35" s="117" t="s">
        <v>1113</v>
      </c>
      <c r="M35" s="119" t="s">
        <v>346</v>
      </c>
      <c r="N35" s="117" t="s">
        <v>1114</v>
      </c>
      <c r="O35" s="117" t="s">
        <v>262</v>
      </c>
      <c r="P35" s="117" t="s">
        <v>262</v>
      </c>
      <c r="Q35" s="118"/>
      <c r="R35" s="118">
        <v>44385</v>
      </c>
      <c r="S35" s="117" t="s">
        <v>262</v>
      </c>
      <c r="T35" s="118"/>
      <c r="U35" s="120" t="s">
        <v>295</v>
      </c>
      <c r="V35" s="120" t="s">
        <v>295</v>
      </c>
      <c r="W35" s="121" t="s">
        <v>262</v>
      </c>
      <c r="X35" s="117" t="s">
        <v>1109</v>
      </c>
      <c r="Y35" s="117"/>
      <c r="Z35" s="117"/>
      <c r="AA35" s="117" t="s">
        <v>5</v>
      </c>
      <c r="AB35" s="117" t="s">
        <v>262</v>
      </c>
      <c r="AC35" s="118">
        <v>44385</v>
      </c>
      <c r="AD35" s="117" t="s">
        <v>349</v>
      </c>
      <c r="AE35" s="117" t="s">
        <v>1369</v>
      </c>
      <c r="AF35" s="90" t="s">
        <v>1104</v>
      </c>
      <c r="AG35" s="90" t="s">
        <v>0</v>
      </c>
      <c r="AH35" s="93" t="s">
        <v>972</v>
      </c>
      <c r="AI35" s="93" t="b">
        <v>0</v>
      </c>
      <c r="AJ35" s="93"/>
      <c r="AK35" s="93" t="b">
        <v>0</v>
      </c>
      <c r="AL35" s="93"/>
      <c r="AM35" s="93" t="b">
        <v>0</v>
      </c>
      <c r="AN35" s="93" t="b">
        <v>0</v>
      </c>
      <c r="AO35" s="93" t="b">
        <v>0</v>
      </c>
      <c r="AP35" s="93" t="b">
        <v>0</v>
      </c>
      <c r="AQ35" s="93" t="b">
        <v>0</v>
      </c>
      <c r="AR35" s="93" t="b">
        <v>0</v>
      </c>
      <c r="AS35" s="93" t="b">
        <v>0</v>
      </c>
      <c r="AT35" s="107" t="s">
        <v>1373</v>
      </c>
      <c r="AU35" s="94">
        <v>9882360</v>
      </c>
      <c r="AV35" s="90" t="s">
        <v>983</v>
      </c>
      <c r="AW35" s="108" t="s">
        <v>1058</v>
      </c>
      <c r="AX35" s="91">
        <v>44509</v>
      </c>
      <c r="AY35" s="108" t="s">
        <v>1133</v>
      </c>
      <c r="AZ35" s="90"/>
      <c r="BA35" s="90"/>
      <c r="BB35" s="90" t="s">
        <v>402</v>
      </c>
      <c r="BC35" s="90" t="s">
        <v>262</v>
      </c>
      <c r="BD35" s="90" t="s">
        <v>801</v>
      </c>
      <c r="BE35" s="90"/>
      <c r="BF35" s="90"/>
      <c r="BG35" s="91"/>
      <c r="BH35" s="93" t="b">
        <v>0</v>
      </c>
      <c r="BI35" s="90"/>
      <c r="BJ35" s="90"/>
      <c r="BK35" s="90" t="s">
        <v>1105</v>
      </c>
      <c r="BL35" s="90" t="s">
        <v>1370</v>
      </c>
      <c r="BM35" s="90" t="s">
        <v>852</v>
      </c>
      <c r="BN35" s="90" t="s">
        <v>1371</v>
      </c>
      <c r="BO35" s="90" t="s">
        <v>1371</v>
      </c>
      <c r="BP35" s="90" t="s">
        <v>1116</v>
      </c>
      <c r="BQ35" s="90" t="s">
        <v>1117</v>
      </c>
      <c r="BR35" s="95">
        <v>203.53274305555556</v>
      </c>
      <c r="BS35" s="90" t="s">
        <v>1177</v>
      </c>
      <c r="BT35" s="90" t="s">
        <v>1107</v>
      </c>
      <c r="BU35" s="90" t="s">
        <v>1372</v>
      </c>
      <c r="BV35" s="90" t="s">
        <v>1118</v>
      </c>
      <c r="BW35" s="90" t="s">
        <v>1119</v>
      </c>
      <c r="BX35" s="90" t="s">
        <v>1120</v>
      </c>
      <c r="BY35" s="90" t="s">
        <v>1121</v>
      </c>
      <c r="BZ35" s="90" t="s">
        <v>346</v>
      </c>
      <c r="CA35" s="90" t="s">
        <v>262</v>
      </c>
      <c r="CB35" s="90" t="s">
        <v>1369</v>
      </c>
      <c r="CC35" s="91">
        <v>44385</v>
      </c>
      <c r="CD35" s="90" t="s">
        <v>341</v>
      </c>
      <c r="CE35" s="91">
        <v>44385</v>
      </c>
      <c r="CF35" s="90" t="s">
        <v>341</v>
      </c>
      <c r="CG35" s="91">
        <v>44385</v>
      </c>
      <c r="CH35" s="90" t="s">
        <v>262</v>
      </c>
      <c r="CI35" s="91"/>
      <c r="CJ35" s="90" t="s">
        <v>341</v>
      </c>
      <c r="CK35" s="91">
        <v>44385</v>
      </c>
      <c r="CL35" s="90" t="s">
        <v>341</v>
      </c>
      <c r="CM35" s="91">
        <v>44385</v>
      </c>
      <c r="CN35" s="96" t="s">
        <v>341</v>
      </c>
      <c r="CO35" s="91">
        <v>44385</v>
      </c>
      <c r="CP35" s="90"/>
      <c r="CQ35" s="90"/>
      <c r="CR35" s="90"/>
      <c r="CS35" s="90"/>
      <c r="CT35" s="91"/>
      <c r="CU35" s="90"/>
      <c r="CV35" s="97"/>
    </row>
    <row r="36" spans="1:100" ht="15" customHeight="1">
      <c r="A36" s="117" t="s">
        <v>1374</v>
      </c>
      <c r="B36" s="118">
        <v>44386</v>
      </c>
      <c r="C36" s="117" t="s">
        <v>1375</v>
      </c>
      <c r="D36" s="117" t="s">
        <v>364</v>
      </c>
      <c r="E36" s="119" t="s">
        <v>1131</v>
      </c>
      <c r="F36" s="117" t="s">
        <v>1132</v>
      </c>
      <c r="G36" s="117" t="s">
        <v>390</v>
      </c>
      <c r="H36" s="117" t="s">
        <v>1181</v>
      </c>
      <c r="I36" s="117" t="s">
        <v>19</v>
      </c>
      <c r="J36" s="117" t="s">
        <v>1376</v>
      </c>
      <c r="K36" s="117" t="s">
        <v>149</v>
      </c>
      <c r="L36" s="117" t="s">
        <v>1377</v>
      </c>
      <c r="M36" s="119" t="s">
        <v>346</v>
      </c>
      <c r="N36" s="117" t="s">
        <v>1378</v>
      </c>
      <c r="O36" s="117" t="s">
        <v>1379</v>
      </c>
      <c r="P36" s="117" t="s">
        <v>1380</v>
      </c>
      <c r="Q36" s="118">
        <v>44387</v>
      </c>
      <c r="R36" s="118">
        <v>44476</v>
      </c>
      <c r="S36" s="117" t="s">
        <v>1381</v>
      </c>
      <c r="T36" s="118">
        <v>44404</v>
      </c>
      <c r="U36" s="120" t="s">
        <v>295</v>
      </c>
      <c r="V36" s="120" t="s">
        <v>295</v>
      </c>
      <c r="W36" s="121" t="s">
        <v>262</v>
      </c>
      <c r="X36" s="117" t="s">
        <v>1382</v>
      </c>
      <c r="Y36" s="117"/>
      <c r="Z36" s="117"/>
      <c r="AA36" s="117" t="s">
        <v>4</v>
      </c>
      <c r="AB36" s="117" t="s">
        <v>1383</v>
      </c>
      <c r="AC36" s="118">
        <v>44404</v>
      </c>
      <c r="AD36" s="117" t="s">
        <v>349</v>
      </c>
      <c r="AE36" s="117" t="s">
        <v>1127</v>
      </c>
      <c r="AF36" s="90" t="s">
        <v>1104</v>
      </c>
      <c r="AG36" s="90" t="s">
        <v>0</v>
      </c>
      <c r="AH36" s="93" t="s">
        <v>972</v>
      </c>
      <c r="AI36" s="93" t="b">
        <v>0</v>
      </c>
      <c r="AJ36" s="93"/>
      <c r="AK36" s="93" t="b">
        <v>0</v>
      </c>
      <c r="AL36" s="93"/>
      <c r="AM36" s="93" t="b">
        <v>1</v>
      </c>
      <c r="AN36" s="93" t="b">
        <v>0</v>
      </c>
      <c r="AO36" s="93" t="b">
        <v>0</v>
      </c>
      <c r="AP36" s="93" t="b">
        <v>0</v>
      </c>
      <c r="AQ36" s="93" t="b">
        <v>0</v>
      </c>
      <c r="AR36" s="93" t="b">
        <v>0</v>
      </c>
      <c r="AS36" s="93" t="b">
        <v>0</v>
      </c>
      <c r="AT36" s="107" t="s">
        <v>1384</v>
      </c>
      <c r="AU36" s="94">
        <v>9882360</v>
      </c>
      <c r="AV36" s="90" t="s">
        <v>983</v>
      </c>
      <c r="AW36" s="108" t="s">
        <v>1058</v>
      </c>
      <c r="AX36" s="91">
        <v>44509</v>
      </c>
      <c r="AY36" s="108" t="s">
        <v>1133</v>
      </c>
      <c r="AZ36" s="90" t="s">
        <v>19</v>
      </c>
      <c r="BA36" s="90" t="s">
        <v>149</v>
      </c>
      <c r="BB36" s="90" t="s">
        <v>43</v>
      </c>
      <c r="BC36" s="90"/>
      <c r="BD36" s="90" t="s">
        <v>756</v>
      </c>
      <c r="BE36" s="90"/>
      <c r="BF36" s="90"/>
      <c r="BG36" s="91"/>
      <c r="BH36" s="93" t="b">
        <v>0</v>
      </c>
      <c r="BI36" s="90"/>
      <c r="BJ36" s="90"/>
      <c r="BK36" s="90" t="s">
        <v>1105</v>
      </c>
      <c r="BL36" s="90"/>
      <c r="BM36" s="90"/>
      <c r="BN36" s="90"/>
      <c r="BO36" s="90"/>
      <c r="BP36" s="90"/>
      <c r="BQ36" s="90"/>
      <c r="BR36" s="95"/>
      <c r="BS36" s="90"/>
      <c r="BT36" s="90"/>
      <c r="BU36" s="90"/>
      <c r="BV36" s="90"/>
      <c r="BW36" s="90"/>
      <c r="BX36" s="90"/>
      <c r="BY36" s="90"/>
      <c r="BZ36" s="90"/>
      <c r="CA36" s="90"/>
      <c r="CB36" s="90"/>
      <c r="CC36" s="91"/>
      <c r="CD36" s="90"/>
      <c r="CE36" s="91"/>
      <c r="CF36" s="90"/>
      <c r="CG36" s="91"/>
      <c r="CH36" s="90"/>
      <c r="CI36" s="91"/>
      <c r="CJ36" s="90"/>
      <c r="CK36" s="91"/>
      <c r="CL36" s="90"/>
      <c r="CM36" s="91"/>
      <c r="CN36" s="96"/>
      <c r="CO36" s="91"/>
      <c r="CP36" s="90"/>
      <c r="CQ36" s="90"/>
      <c r="CR36" s="90"/>
      <c r="CS36" s="90"/>
      <c r="CT36" s="91"/>
      <c r="CU36" s="90"/>
      <c r="CV36" s="97"/>
    </row>
    <row r="37" spans="1:100" ht="15" customHeight="1">
      <c r="A37" s="117" t="s">
        <v>1385</v>
      </c>
      <c r="B37" s="118">
        <v>44387</v>
      </c>
      <c r="C37" s="117" t="s">
        <v>1386</v>
      </c>
      <c r="D37" s="117" t="s">
        <v>364</v>
      </c>
      <c r="E37" s="119" t="s">
        <v>1131</v>
      </c>
      <c r="F37" s="117" t="s">
        <v>1132</v>
      </c>
      <c r="G37" s="117" t="s">
        <v>390</v>
      </c>
      <c r="H37" s="117" t="s">
        <v>1181</v>
      </c>
      <c r="I37" s="117" t="s">
        <v>19</v>
      </c>
      <c r="J37" s="117" t="s">
        <v>1376</v>
      </c>
      <c r="K37" s="117" t="s">
        <v>149</v>
      </c>
      <c r="L37" s="117" t="s">
        <v>1377</v>
      </c>
      <c r="M37" s="119" t="s">
        <v>346</v>
      </c>
      <c r="N37" s="117" t="s">
        <v>1387</v>
      </c>
      <c r="O37" s="117" t="s">
        <v>1388</v>
      </c>
      <c r="P37" s="117" t="s">
        <v>1389</v>
      </c>
      <c r="Q37" s="118">
        <v>44387</v>
      </c>
      <c r="R37" s="118">
        <v>44477</v>
      </c>
      <c r="S37" s="117" t="s">
        <v>1390</v>
      </c>
      <c r="T37" s="118">
        <v>44392</v>
      </c>
      <c r="U37" s="120" t="s">
        <v>295</v>
      </c>
      <c r="V37" s="120" t="s">
        <v>295</v>
      </c>
      <c r="W37" s="121" t="s">
        <v>262</v>
      </c>
      <c r="X37" s="117" t="s">
        <v>1391</v>
      </c>
      <c r="Y37" s="117"/>
      <c r="Z37" s="117"/>
      <c r="AA37" s="117" t="s">
        <v>4</v>
      </c>
      <c r="AB37" s="117" t="s">
        <v>1392</v>
      </c>
      <c r="AC37" s="118">
        <v>44392</v>
      </c>
      <c r="AD37" s="117" t="s">
        <v>349</v>
      </c>
      <c r="AE37" s="117" t="s">
        <v>1127</v>
      </c>
      <c r="AF37" s="90" t="s">
        <v>1104</v>
      </c>
      <c r="AG37" s="90" t="s">
        <v>0</v>
      </c>
      <c r="AH37" s="93" t="s">
        <v>972</v>
      </c>
      <c r="AI37" s="93" t="b">
        <v>0</v>
      </c>
      <c r="AJ37" s="93"/>
      <c r="AK37" s="93" t="b">
        <v>0</v>
      </c>
      <c r="AL37" s="93"/>
      <c r="AM37" s="93" t="b">
        <v>0</v>
      </c>
      <c r="AN37" s="93" t="b">
        <v>0</v>
      </c>
      <c r="AO37" s="93" t="b">
        <v>0</v>
      </c>
      <c r="AP37" s="93" t="b">
        <v>0</v>
      </c>
      <c r="AQ37" s="93" t="b">
        <v>0</v>
      </c>
      <c r="AR37" s="93" t="b">
        <v>0</v>
      </c>
      <c r="AS37" s="93" t="b">
        <v>0</v>
      </c>
      <c r="AT37" s="107" t="s">
        <v>1393</v>
      </c>
      <c r="AU37" s="94">
        <v>9882360</v>
      </c>
      <c r="AV37" s="90" t="s">
        <v>983</v>
      </c>
      <c r="AW37" s="108" t="s">
        <v>1058</v>
      </c>
      <c r="AX37" s="91">
        <v>44509</v>
      </c>
      <c r="AY37" s="108" t="s">
        <v>1133</v>
      </c>
      <c r="AZ37" s="90" t="s">
        <v>19</v>
      </c>
      <c r="BA37" s="90" t="s">
        <v>149</v>
      </c>
      <c r="BB37" s="90" t="s">
        <v>43</v>
      </c>
      <c r="BC37" s="90"/>
      <c r="BD37" s="90" t="s">
        <v>756</v>
      </c>
      <c r="BE37" s="90"/>
      <c r="BF37" s="90"/>
      <c r="BG37" s="91"/>
      <c r="BH37" s="93" t="b">
        <v>0</v>
      </c>
      <c r="BI37" s="90"/>
      <c r="BJ37" s="90"/>
      <c r="BK37" s="90" t="s">
        <v>1105</v>
      </c>
      <c r="BL37" s="90"/>
      <c r="BM37" s="90"/>
      <c r="BN37" s="90"/>
      <c r="BO37" s="90"/>
      <c r="BP37" s="90"/>
      <c r="BQ37" s="90"/>
      <c r="BR37" s="95"/>
      <c r="BS37" s="90"/>
      <c r="BT37" s="90"/>
      <c r="BU37" s="90"/>
      <c r="BV37" s="90"/>
      <c r="BW37" s="90"/>
      <c r="BX37" s="90"/>
      <c r="BY37" s="90"/>
      <c r="BZ37" s="90"/>
      <c r="CA37" s="90"/>
      <c r="CB37" s="90"/>
      <c r="CC37" s="91"/>
      <c r="CD37" s="90"/>
      <c r="CE37" s="91"/>
      <c r="CF37" s="90"/>
      <c r="CG37" s="91"/>
      <c r="CH37" s="90"/>
      <c r="CI37" s="91"/>
      <c r="CJ37" s="90"/>
      <c r="CK37" s="91"/>
      <c r="CL37" s="90"/>
      <c r="CM37" s="91"/>
      <c r="CN37" s="96"/>
      <c r="CO37" s="91"/>
      <c r="CP37" s="90"/>
      <c r="CQ37" s="90"/>
      <c r="CR37" s="90"/>
      <c r="CS37" s="90"/>
      <c r="CT37" s="91"/>
      <c r="CU37" s="90"/>
      <c r="CV37" s="97"/>
    </row>
    <row r="38" spans="1:100" ht="15" customHeight="1">
      <c r="A38" s="117" t="s">
        <v>1394</v>
      </c>
      <c r="B38" s="118">
        <v>44402</v>
      </c>
      <c r="C38" s="117" t="s">
        <v>1395</v>
      </c>
      <c r="D38" s="117" t="s">
        <v>364</v>
      </c>
      <c r="E38" s="119" t="s">
        <v>1131</v>
      </c>
      <c r="F38" s="117" t="s">
        <v>1132</v>
      </c>
      <c r="G38" s="117" t="s">
        <v>389</v>
      </c>
      <c r="H38" s="117" t="s">
        <v>1396</v>
      </c>
      <c r="I38" s="117" t="s">
        <v>8</v>
      </c>
      <c r="J38" s="117" t="s">
        <v>1397</v>
      </c>
      <c r="K38" s="117" t="s">
        <v>75</v>
      </c>
      <c r="L38" s="117" t="s">
        <v>1398</v>
      </c>
      <c r="M38" s="119" t="s">
        <v>346</v>
      </c>
      <c r="N38" s="117" t="s">
        <v>1399</v>
      </c>
      <c r="O38" s="117" t="s">
        <v>1400</v>
      </c>
      <c r="P38" s="117" t="s">
        <v>1401</v>
      </c>
      <c r="Q38" s="118">
        <v>44402</v>
      </c>
      <c r="R38" s="118">
        <v>44431</v>
      </c>
      <c r="S38" s="117" t="s">
        <v>1402</v>
      </c>
      <c r="T38" s="118">
        <v>44413</v>
      </c>
      <c r="U38" s="120" t="s">
        <v>295</v>
      </c>
      <c r="V38" s="120" t="s">
        <v>295</v>
      </c>
      <c r="W38" s="121" t="s">
        <v>262</v>
      </c>
      <c r="X38" s="117" t="s">
        <v>1403</v>
      </c>
      <c r="Y38" s="117"/>
      <c r="Z38" s="117"/>
      <c r="AA38" s="117" t="s">
        <v>3</v>
      </c>
      <c r="AB38" s="117" t="s">
        <v>1403</v>
      </c>
      <c r="AC38" s="118">
        <v>44413</v>
      </c>
      <c r="AD38" s="117" t="s">
        <v>349</v>
      </c>
      <c r="AE38" s="117" t="s">
        <v>1127</v>
      </c>
      <c r="AF38" s="90" t="s">
        <v>1104</v>
      </c>
      <c r="AG38" s="90" t="s">
        <v>0</v>
      </c>
      <c r="AH38" s="93" t="s">
        <v>972</v>
      </c>
      <c r="AI38" s="93" t="b">
        <v>0</v>
      </c>
      <c r="AJ38" s="93"/>
      <c r="AK38" s="93" t="b">
        <v>0</v>
      </c>
      <c r="AL38" s="93"/>
      <c r="AM38" s="93" t="b">
        <v>0</v>
      </c>
      <c r="AN38" s="93" t="b">
        <v>0</v>
      </c>
      <c r="AO38" s="93" t="b">
        <v>0</v>
      </c>
      <c r="AP38" s="93" t="b">
        <v>0</v>
      </c>
      <c r="AQ38" s="93" t="b">
        <v>0</v>
      </c>
      <c r="AR38" s="93" t="b">
        <v>0</v>
      </c>
      <c r="AS38" s="93" t="b">
        <v>0</v>
      </c>
      <c r="AT38" s="107" t="s">
        <v>1404</v>
      </c>
      <c r="AU38" s="94">
        <v>9882360</v>
      </c>
      <c r="AV38" s="90" t="s">
        <v>983</v>
      </c>
      <c r="AW38" s="108" t="s">
        <v>1058</v>
      </c>
      <c r="AX38" s="91">
        <v>44509</v>
      </c>
      <c r="AY38" s="108" t="s">
        <v>1133</v>
      </c>
      <c r="AZ38" s="90" t="s">
        <v>8</v>
      </c>
      <c r="BA38" s="90" t="s">
        <v>75</v>
      </c>
      <c r="BB38" s="90" t="s">
        <v>38</v>
      </c>
      <c r="BC38" s="90"/>
      <c r="BD38" s="90" t="s">
        <v>757</v>
      </c>
      <c r="BE38" s="90"/>
      <c r="BF38" s="90"/>
      <c r="BG38" s="91"/>
      <c r="BH38" s="93" t="b">
        <v>0</v>
      </c>
      <c r="BI38" s="90"/>
      <c r="BJ38" s="90"/>
      <c r="BK38" s="90" t="s">
        <v>1105</v>
      </c>
      <c r="BL38" s="90"/>
      <c r="BM38" s="90"/>
      <c r="BN38" s="90"/>
      <c r="BO38" s="90"/>
      <c r="BP38" s="90"/>
      <c r="BQ38" s="90"/>
      <c r="BR38" s="95"/>
      <c r="BS38" s="90"/>
      <c r="BT38" s="90"/>
      <c r="BU38" s="90"/>
      <c r="BV38" s="90"/>
      <c r="BW38" s="90"/>
      <c r="BX38" s="90"/>
      <c r="BY38" s="90"/>
      <c r="BZ38" s="90"/>
      <c r="CA38" s="90"/>
      <c r="CB38" s="90"/>
      <c r="CC38" s="91"/>
      <c r="CD38" s="90"/>
      <c r="CE38" s="91"/>
      <c r="CF38" s="90"/>
      <c r="CG38" s="91"/>
      <c r="CH38" s="90"/>
      <c r="CI38" s="91"/>
      <c r="CJ38" s="90"/>
      <c r="CK38" s="91"/>
      <c r="CL38" s="90"/>
      <c r="CM38" s="91"/>
      <c r="CN38" s="96"/>
      <c r="CO38" s="91"/>
      <c r="CP38" s="90"/>
      <c r="CQ38" s="90"/>
      <c r="CR38" s="90"/>
      <c r="CS38" s="90"/>
      <c r="CT38" s="91"/>
      <c r="CU38" s="90"/>
      <c r="CV38" s="97"/>
    </row>
    <row r="39" spans="1:100" ht="15" customHeight="1">
      <c r="A39" s="117" t="s">
        <v>1406</v>
      </c>
      <c r="B39" s="118">
        <v>44463</v>
      </c>
      <c r="C39" s="117" t="s">
        <v>1405</v>
      </c>
      <c r="D39" s="117" t="s">
        <v>352</v>
      </c>
      <c r="E39" s="119" t="s">
        <v>1122</v>
      </c>
      <c r="F39" s="117" t="s">
        <v>1123</v>
      </c>
      <c r="G39" s="117" t="s">
        <v>374</v>
      </c>
      <c r="H39" s="117" t="s">
        <v>1407</v>
      </c>
      <c r="I39" s="117" t="s">
        <v>354</v>
      </c>
      <c r="J39" s="117" t="s">
        <v>1124</v>
      </c>
      <c r="K39" s="117" t="s">
        <v>75</v>
      </c>
      <c r="L39" s="117" t="s">
        <v>1398</v>
      </c>
      <c r="M39" s="119" t="s">
        <v>346</v>
      </c>
      <c r="N39" s="117" t="s">
        <v>1408</v>
      </c>
      <c r="O39" s="117" t="s">
        <v>1409</v>
      </c>
      <c r="P39" s="117" t="s">
        <v>1410</v>
      </c>
      <c r="Q39" s="118">
        <v>44463</v>
      </c>
      <c r="R39" s="118">
        <v>44499</v>
      </c>
      <c r="S39" s="117" t="s">
        <v>1411</v>
      </c>
      <c r="T39" s="118">
        <v>44482</v>
      </c>
      <c r="U39" s="120" t="s">
        <v>295</v>
      </c>
      <c r="V39" s="120" t="s">
        <v>295</v>
      </c>
      <c r="W39" s="121" t="s">
        <v>262</v>
      </c>
      <c r="X39" s="117" t="s">
        <v>1412</v>
      </c>
      <c r="Y39" s="117"/>
      <c r="Z39" s="117"/>
      <c r="AA39" s="117" t="s">
        <v>1</v>
      </c>
      <c r="AB39" s="117" t="s">
        <v>1413</v>
      </c>
      <c r="AC39" s="118">
        <v>44482</v>
      </c>
      <c r="AD39" s="117" t="s">
        <v>349</v>
      </c>
      <c r="AE39" s="117" t="s">
        <v>1127</v>
      </c>
      <c r="AF39" s="90" t="s">
        <v>1104</v>
      </c>
      <c r="AG39" s="90" t="s">
        <v>0</v>
      </c>
      <c r="AH39" s="93" t="s">
        <v>972</v>
      </c>
      <c r="AI39" s="93" t="b">
        <v>0</v>
      </c>
      <c r="AJ39" s="93"/>
      <c r="AK39" s="93" t="b">
        <v>0</v>
      </c>
      <c r="AL39" s="93"/>
      <c r="AM39" s="93" t="b">
        <v>0</v>
      </c>
      <c r="AN39" s="93" t="b">
        <v>0</v>
      </c>
      <c r="AO39" s="93" t="b">
        <v>0</v>
      </c>
      <c r="AP39" s="93" t="b">
        <v>0</v>
      </c>
      <c r="AQ39" s="93" t="b">
        <v>0</v>
      </c>
      <c r="AR39" s="93" t="b">
        <v>0</v>
      </c>
      <c r="AS39" s="93" t="b">
        <v>0</v>
      </c>
      <c r="AT39" s="107" t="s">
        <v>1415</v>
      </c>
      <c r="AU39" s="94">
        <v>9882360</v>
      </c>
      <c r="AV39" s="90" t="s">
        <v>983</v>
      </c>
      <c r="AW39" s="108" t="s">
        <v>1058</v>
      </c>
      <c r="AX39" s="91">
        <v>44509</v>
      </c>
      <c r="AY39" s="108" t="s">
        <v>1133</v>
      </c>
      <c r="AZ39" s="90" t="s">
        <v>13</v>
      </c>
      <c r="BA39" s="90" t="s">
        <v>83</v>
      </c>
      <c r="BB39" s="90" t="s">
        <v>1416</v>
      </c>
      <c r="BC39" s="90"/>
      <c r="BD39" s="90" t="s">
        <v>757</v>
      </c>
      <c r="BE39" s="90"/>
      <c r="BF39" s="90"/>
      <c r="BG39" s="91"/>
      <c r="BH39" s="93" t="b">
        <v>0</v>
      </c>
      <c r="BI39" s="90"/>
      <c r="BJ39" s="90"/>
      <c r="BK39" s="90" t="s">
        <v>1105</v>
      </c>
      <c r="BL39" s="90" t="s">
        <v>1414</v>
      </c>
      <c r="BM39" s="90"/>
      <c r="BN39" s="90"/>
      <c r="BO39" s="90"/>
      <c r="BP39" s="90"/>
      <c r="BQ39" s="90"/>
      <c r="BR39" s="95"/>
      <c r="BS39" s="90"/>
      <c r="BT39" s="90"/>
      <c r="BU39" s="90"/>
      <c r="BV39" s="90"/>
      <c r="BW39" s="90"/>
      <c r="BX39" s="90"/>
      <c r="BY39" s="90"/>
      <c r="BZ39" s="90"/>
      <c r="CA39" s="90"/>
      <c r="CB39" s="90"/>
      <c r="CC39" s="91"/>
      <c r="CD39" s="90"/>
      <c r="CE39" s="91"/>
      <c r="CF39" s="90"/>
      <c r="CG39" s="91"/>
      <c r="CH39" s="90"/>
      <c r="CI39" s="91"/>
      <c r="CJ39" s="90"/>
      <c r="CK39" s="91"/>
      <c r="CL39" s="90"/>
      <c r="CM39" s="91"/>
      <c r="CN39" s="96"/>
      <c r="CO39" s="91"/>
      <c r="CP39" s="90"/>
      <c r="CQ39" s="90"/>
      <c r="CR39" s="90"/>
      <c r="CS39" s="90"/>
      <c r="CT39" s="91"/>
      <c r="CU39" s="90"/>
      <c r="CV39" s="97"/>
    </row>
    <row r="40" spans="1:100" ht="15" customHeight="1">
      <c r="A40" s="117" t="s">
        <v>1418</v>
      </c>
      <c r="B40" s="118">
        <v>44463</v>
      </c>
      <c r="C40" s="117" t="s">
        <v>1417</v>
      </c>
      <c r="D40" s="117" t="s">
        <v>352</v>
      </c>
      <c r="E40" s="119" t="s">
        <v>1122</v>
      </c>
      <c r="F40" s="117" t="s">
        <v>1123</v>
      </c>
      <c r="G40" s="117" t="s">
        <v>374</v>
      </c>
      <c r="H40" s="117" t="s">
        <v>1407</v>
      </c>
      <c r="I40" s="117" t="s">
        <v>354</v>
      </c>
      <c r="J40" s="117" t="s">
        <v>1124</v>
      </c>
      <c r="K40" s="117" t="s">
        <v>412</v>
      </c>
      <c r="L40" s="117" t="s">
        <v>1128</v>
      </c>
      <c r="M40" s="119" t="s">
        <v>346</v>
      </c>
      <c r="N40" s="117" t="s">
        <v>1419</v>
      </c>
      <c r="O40" s="117" t="s">
        <v>1420</v>
      </c>
      <c r="P40" s="117" t="s">
        <v>1421</v>
      </c>
      <c r="Q40" s="118">
        <v>44463</v>
      </c>
      <c r="R40" s="118">
        <v>44499</v>
      </c>
      <c r="S40" s="117" t="s">
        <v>1422</v>
      </c>
      <c r="T40" s="118">
        <v>44476</v>
      </c>
      <c r="U40" s="120" t="s">
        <v>295</v>
      </c>
      <c r="V40" s="120" t="s">
        <v>295</v>
      </c>
      <c r="W40" s="121" t="s">
        <v>262</v>
      </c>
      <c r="X40" s="117" t="s">
        <v>1423</v>
      </c>
      <c r="Y40" s="117"/>
      <c r="Z40" s="117"/>
      <c r="AA40" s="117" t="s">
        <v>1</v>
      </c>
      <c r="AB40" s="117" t="s">
        <v>1424</v>
      </c>
      <c r="AC40" s="118">
        <v>44476</v>
      </c>
      <c r="AD40" s="117" t="s">
        <v>349</v>
      </c>
      <c r="AE40" s="117" t="s">
        <v>1127</v>
      </c>
      <c r="AF40" s="90" t="s">
        <v>1104</v>
      </c>
      <c r="AG40" s="90" t="s">
        <v>0</v>
      </c>
      <c r="AH40" s="93" t="s">
        <v>972</v>
      </c>
      <c r="AI40" s="93" t="b">
        <v>0</v>
      </c>
      <c r="AJ40" s="93"/>
      <c r="AK40" s="93" t="b">
        <v>0</v>
      </c>
      <c r="AL40" s="93"/>
      <c r="AM40" s="93" t="b">
        <v>0</v>
      </c>
      <c r="AN40" s="93" t="b">
        <v>0</v>
      </c>
      <c r="AO40" s="93" t="b">
        <v>0</v>
      </c>
      <c r="AP40" s="93" t="b">
        <v>0</v>
      </c>
      <c r="AQ40" s="93" t="b">
        <v>0</v>
      </c>
      <c r="AR40" s="93" t="b">
        <v>0</v>
      </c>
      <c r="AS40" s="93" t="b">
        <v>0</v>
      </c>
      <c r="AT40" s="107" t="s">
        <v>1425</v>
      </c>
      <c r="AU40" s="94">
        <v>9882360</v>
      </c>
      <c r="AV40" s="90" t="s">
        <v>983</v>
      </c>
      <c r="AW40" s="108" t="s">
        <v>1058</v>
      </c>
      <c r="AX40" s="91">
        <v>44509</v>
      </c>
      <c r="AY40" s="108" t="s">
        <v>1133</v>
      </c>
      <c r="AZ40" s="90" t="s">
        <v>13</v>
      </c>
      <c r="BA40" s="90" t="s">
        <v>83</v>
      </c>
      <c r="BB40" s="90" t="s">
        <v>38</v>
      </c>
      <c r="BC40" s="90"/>
      <c r="BD40" s="90" t="s">
        <v>757</v>
      </c>
      <c r="BE40" s="90"/>
      <c r="BF40" s="90"/>
      <c r="BG40" s="91"/>
      <c r="BH40" s="93" t="b">
        <v>0</v>
      </c>
      <c r="BI40" s="90"/>
      <c r="BJ40" s="90"/>
      <c r="BK40" s="90" t="s">
        <v>1105</v>
      </c>
      <c r="BL40" s="90" t="s">
        <v>1414</v>
      </c>
      <c r="BM40" s="90"/>
      <c r="BN40" s="90"/>
      <c r="BO40" s="90"/>
      <c r="BP40" s="90"/>
      <c r="BQ40" s="90"/>
      <c r="BR40" s="95"/>
      <c r="BS40" s="90"/>
      <c r="BT40" s="90"/>
      <c r="BU40" s="90"/>
      <c r="BV40" s="90"/>
      <c r="BW40" s="90"/>
      <c r="BX40" s="90"/>
      <c r="BY40" s="90"/>
      <c r="BZ40" s="90"/>
      <c r="CA40" s="90"/>
      <c r="CB40" s="90"/>
      <c r="CC40" s="91"/>
      <c r="CD40" s="90"/>
      <c r="CE40" s="91"/>
      <c r="CF40" s="90"/>
      <c r="CG40" s="91"/>
      <c r="CH40" s="90"/>
      <c r="CI40" s="91"/>
      <c r="CJ40" s="90"/>
      <c r="CK40" s="91"/>
      <c r="CL40" s="90"/>
      <c r="CM40" s="91"/>
      <c r="CN40" s="96"/>
      <c r="CO40" s="91"/>
      <c r="CP40" s="90"/>
      <c r="CQ40" s="90"/>
      <c r="CR40" s="90"/>
      <c r="CS40" s="90"/>
      <c r="CT40" s="91"/>
      <c r="CU40" s="90"/>
      <c r="CV40" s="97"/>
    </row>
    <row r="41" spans="1:100" ht="15" customHeight="1">
      <c r="A41" s="117" t="s">
        <v>1427</v>
      </c>
      <c r="B41" s="118">
        <v>44463</v>
      </c>
      <c r="C41" s="117" t="s">
        <v>1426</v>
      </c>
      <c r="D41" s="117" t="s">
        <v>352</v>
      </c>
      <c r="E41" s="119" t="s">
        <v>1122</v>
      </c>
      <c r="F41" s="117" t="s">
        <v>1123</v>
      </c>
      <c r="G41" s="117" t="s">
        <v>374</v>
      </c>
      <c r="H41" s="117" t="s">
        <v>1407</v>
      </c>
      <c r="I41" s="117" t="s">
        <v>354</v>
      </c>
      <c r="J41" s="117" t="s">
        <v>1124</v>
      </c>
      <c r="K41" s="117" t="s">
        <v>170</v>
      </c>
      <c r="L41" s="117" t="s">
        <v>1428</v>
      </c>
      <c r="M41" s="119" t="s">
        <v>346</v>
      </c>
      <c r="N41" s="117" t="s">
        <v>1429</v>
      </c>
      <c r="O41" s="117" t="s">
        <v>1266</v>
      </c>
      <c r="P41" s="117" t="s">
        <v>1430</v>
      </c>
      <c r="Q41" s="118">
        <v>44463</v>
      </c>
      <c r="R41" s="118">
        <v>44479</v>
      </c>
      <c r="S41" s="117" t="s">
        <v>1431</v>
      </c>
      <c r="T41" s="118">
        <v>44463</v>
      </c>
      <c r="U41" s="120" t="s">
        <v>295</v>
      </c>
      <c r="V41" s="120" t="s">
        <v>295</v>
      </c>
      <c r="W41" s="121" t="s">
        <v>262</v>
      </c>
      <c r="X41" s="117" t="s">
        <v>1432</v>
      </c>
      <c r="Y41" s="117"/>
      <c r="Z41" s="117"/>
      <c r="AA41" s="117" t="s">
        <v>804</v>
      </c>
      <c r="AB41" s="117" t="s">
        <v>1433</v>
      </c>
      <c r="AC41" s="118">
        <v>44463</v>
      </c>
      <c r="AD41" s="117" t="s">
        <v>349</v>
      </c>
      <c r="AE41" s="117" t="s">
        <v>1434</v>
      </c>
      <c r="AF41" s="90" t="s">
        <v>1104</v>
      </c>
      <c r="AG41" s="90" t="s">
        <v>0</v>
      </c>
      <c r="AH41" s="93" t="s">
        <v>972</v>
      </c>
      <c r="AI41" s="93" t="b">
        <v>0</v>
      </c>
      <c r="AJ41" s="93"/>
      <c r="AK41" s="93" t="b">
        <v>0</v>
      </c>
      <c r="AL41" s="93"/>
      <c r="AM41" s="93" t="b">
        <v>0</v>
      </c>
      <c r="AN41" s="93" t="b">
        <v>0</v>
      </c>
      <c r="AO41" s="93" t="b">
        <v>0</v>
      </c>
      <c r="AP41" s="93" t="b">
        <v>0</v>
      </c>
      <c r="AQ41" s="93" t="b">
        <v>0</v>
      </c>
      <c r="AR41" s="93" t="b">
        <v>0</v>
      </c>
      <c r="AS41" s="93" t="b">
        <v>0</v>
      </c>
      <c r="AT41" s="107" t="s">
        <v>1435</v>
      </c>
      <c r="AU41" s="94">
        <v>9882360</v>
      </c>
      <c r="AV41" s="90" t="s">
        <v>983</v>
      </c>
      <c r="AW41" s="108" t="s">
        <v>1058</v>
      </c>
      <c r="AX41" s="91">
        <v>44509</v>
      </c>
      <c r="AY41" s="108" t="s">
        <v>1133</v>
      </c>
      <c r="AZ41" s="90" t="s">
        <v>13</v>
      </c>
      <c r="BA41" s="90" t="s">
        <v>83</v>
      </c>
      <c r="BB41" s="90" t="s">
        <v>168</v>
      </c>
      <c r="BC41" s="90"/>
      <c r="BD41" s="90" t="s">
        <v>28</v>
      </c>
      <c r="BE41" s="90"/>
      <c r="BF41" s="90"/>
      <c r="BG41" s="91"/>
      <c r="BH41" s="93" t="b">
        <v>0</v>
      </c>
      <c r="BI41" s="90"/>
      <c r="BJ41" s="90"/>
      <c r="BK41" s="90" t="s">
        <v>1105</v>
      </c>
      <c r="BL41" s="90" t="s">
        <v>1414</v>
      </c>
      <c r="BM41" s="90"/>
      <c r="BN41" s="90"/>
      <c r="BO41" s="90"/>
      <c r="BP41" s="90"/>
      <c r="BQ41" s="90"/>
      <c r="BR41" s="95"/>
      <c r="BS41" s="90"/>
      <c r="BT41" s="90"/>
      <c r="BU41" s="90"/>
      <c r="BV41" s="90"/>
      <c r="BW41" s="90"/>
      <c r="BX41" s="90"/>
      <c r="BY41" s="90"/>
      <c r="BZ41" s="90"/>
      <c r="CA41" s="90"/>
      <c r="CB41" s="90"/>
      <c r="CC41" s="91"/>
      <c r="CD41" s="90"/>
      <c r="CE41" s="91"/>
      <c r="CF41" s="90"/>
      <c r="CG41" s="91"/>
      <c r="CH41" s="90"/>
      <c r="CI41" s="91"/>
      <c r="CJ41" s="90"/>
      <c r="CK41" s="91"/>
      <c r="CL41" s="90"/>
      <c r="CM41" s="91"/>
      <c r="CN41" s="96"/>
      <c r="CO41" s="91"/>
      <c r="CP41" s="90"/>
      <c r="CQ41" s="90"/>
      <c r="CR41" s="90"/>
      <c r="CS41" s="90"/>
      <c r="CT41" s="91"/>
      <c r="CU41" s="90"/>
      <c r="CV41" s="97"/>
    </row>
    <row r="42" spans="1:100" ht="15" customHeight="1">
      <c r="A42" s="117" t="s">
        <v>1437</v>
      </c>
      <c r="B42" s="118">
        <v>44463</v>
      </c>
      <c r="C42" s="117" t="s">
        <v>1436</v>
      </c>
      <c r="D42" s="117" t="s">
        <v>352</v>
      </c>
      <c r="E42" s="119" t="s">
        <v>1122</v>
      </c>
      <c r="F42" s="117" t="s">
        <v>1123</v>
      </c>
      <c r="G42" s="117" t="s">
        <v>374</v>
      </c>
      <c r="H42" s="117" t="s">
        <v>1407</v>
      </c>
      <c r="I42" s="117" t="s">
        <v>354</v>
      </c>
      <c r="J42" s="117" t="s">
        <v>1124</v>
      </c>
      <c r="K42" s="117" t="s">
        <v>170</v>
      </c>
      <c r="L42" s="117" t="s">
        <v>1428</v>
      </c>
      <c r="M42" s="119" t="s">
        <v>346</v>
      </c>
      <c r="N42" s="117" t="s">
        <v>1438</v>
      </c>
      <c r="O42" s="117" t="s">
        <v>1439</v>
      </c>
      <c r="P42" s="117" t="s">
        <v>1440</v>
      </c>
      <c r="Q42" s="118">
        <v>44463</v>
      </c>
      <c r="R42" s="118">
        <v>44479</v>
      </c>
      <c r="S42" s="117" t="s">
        <v>1441</v>
      </c>
      <c r="T42" s="118">
        <v>44463</v>
      </c>
      <c r="U42" s="120" t="s">
        <v>295</v>
      </c>
      <c r="V42" s="120" t="s">
        <v>295</v>
      </c>
      <c r="W42" s="121" t="s">
        <v>262</v>
      </c>
      <c r="X42" s="117" t="s">
        <v>1442</v>
      </c>
      <c r="Y42" s="117"/>
      <c r="Z42" s="117"/>
      <c r="AA42" s="117" t="s">
        <v>804</v>
      </c>
      <c r="AB42" s="117" t="s">
        <v>1443</v>
      </c>
      <c r="AC42" s="118">
        <v>44463</v>
      </c>
      <c r="AD42" s="117" t="s">
        <v>349</v>
      </c>
      <c r="AE42" s="117" t="s">
        <v>1127</v>
      </c>
      <c r="AF42" s="90" t="s">
        <v>1104</v>
      </c>
      <c r="AG42" s="90" t="s">
        <v>0</v>
      </c>
      <c r="AH42" s="93" t="s">
        <v>972</v>
      </c>
      <c r="AI42" s="93" t="b">
        <v>0</v>
      </c>
      <c r="AJ42" s="93"/>
      <c r="AK42" s="93" t="b">
        <v>0</v>
      </c>
      <c r="AL42" s="93"/>
      <c r="AM42" s="93" t="b">
        <v>0</v>
      </c>
      <c r="AN42" s="93" t="b">
        <v>0</v>
      </c>
      <c r="AO42" s="93" t="b">
        <v>0</v>
      </c>
      <c r="AP42" s="93" t="b">
        <v>0</v>
      </c>
      <c r="AQ42" s="93" t="b">
        <v>0</v>
      </c>
      <c r="AR42" s="93" t="b">
        <v>0</v>
      </c>
      <c r="AS42" s="93" t="b">
        <v>0</v>
      </c>
      <c r="AT42" s="107" t="s">
        <v>1444</v>
      </c>
      <c r="AU42" s="94">
        <v>9882360</v>
      </c>
      <c r="AV42" s="90" t="s">
        <v>983</v>
      </c>
      <c r="AW42" s="108" t="s">
        <v>1058</v>
      </c>
      <c r="AX42" s="91">
        <v>44509</v>
      </c>
      <c r="AY42" s="108" t="s">
        <v>1133</v>
      </c>
      <c r="AZ42" s="90" t="s">
        <v>13</v>
      </c>
      <c r="BA42" s="90" t="s">
        <v>83</v>
      </c>
      <c r="BB42" s="90" t="s">
        <v>168</v>
      </c>
      <c r="BC42" s="90"/>
      <c r="BD42" s="90" t="s">
        <v>28</v>
      </c>
      <c r="BE42" s="90"/>
      <c r="BF42" s="90"/>
      <c r="BG42" s="91"/>
      <c r="BH42" s="93" t="b">
        <v>0</v>
      </c>
      <c r="BI42" s="90"/>
      <c r="BJ42" s="90"/>
      <c r="BK42" s="90" t="s">
        <v>1105</v>
      </c>
      <c r="BL42" s="90" t="s">
        <v>1414</v>
      </c>
      <c r="BM42" s="90"/>
      <c r="BN42" s="90"/>
      <c r="BO42" s="90"/>
      <c r="BP42" s="90"/>
      <c r="BQ42" s="90"/>
      <c r="BR42" s="95"/>
      <c r="BS42" s="90"/>
      <c r="BT42" s="90"/>
      <c r="BU42" s="90"/>
      <c r="BV42" s="90"/>
      <c r="BW42" s="90"/>
      <c r="BX42" s="90"/>
      <c r="BY42" s="90"/>
      <c r="BZ42" s="90"/>
      <c r="CA42" s="90"/>
      <c r="CB42" s="90"/>
      <c r="CC42" s="91"/>
      <c r="CD42" s="90"/>
      <c r="CE42" s="91"/>
      <c r="CF42" s="90"/>
      <c r="CG42" s="91"/>
      <c r="CH42" s="90"/>
      <c r="CI42" s="91"/>
      <c r="CJ42" s="90"/>
      <c r="CK42" s="91"/>
      <c r="CL42" s="90"/>
      <c r="CM42" s="91"/>
      <c r="CN42" s="96"/>
      <c r="CO42" s="91"/>
      <c r="CP42" s="90"/>
      <c r="CQ42" s="90"/>
      <c r="CR42" s="90"/>
      <c r="CS42" s="90"/>
      <c r="CT42" s="91"/>
      <c r="CU42" s="90"/>
      <c r="CV42" s="97"/>
    </row>
    <row r="43" spans="1:100" ht="15" customHeight="1">
      <c r="A43" s="117" t="s">
        <v>1446</v>
      </c>
      <c r="B43" s="118">
        <v>44463</v>
      </c>
      <c r="C43" s="117" t="s">
        <v>1445</v>
      </c>
      <c r="D43" s="117" t="s">
        <v>352</v>
      </c>
      <c r="E43" s="119" t="s">
        <v>1122</v>
      </c>
      <c r="F43" s="117" t="s">
        <v>1123</v>
      </c>
      <c r="G43" s="117" t="s">
        <v>374</v>
      </c>
      <c r="H43" s="117" t="s">
        <v>1407</v>
      </c>
      <c r="I43" s="117" t="s">
        <v>354</v>
      </c>
      <c r="J43" s="117" t="s">
        <v>1124</v>
      </c>
      <c r="K43" s="117" t="s">
        <v>414</v>
      </c>
      <c r="L43" s="117" t="s">
        <v>1126</v>
      </c>
      <c r="M43" s="119" t="s">
        <v>346</v>
      </c>
      <c r="N43" s="117" t="s">
        <v>1447</v>
      </c>
      <c r="O43" s="117" t="s">
        <v>1448</v>
      </c>
      <c r="P43" s="117" t="s">
        <v>1449</v>
      </c>
      <c r="Q43" s="118">
        <v>44463</v>
      </c>
      <c r="R43" s="118">
        <v>44499</v>
      </c>
      <c r="S43" s="117" t="s">
        <v>1441</v>
      </c>
      <c r="T43" s="118">
        <v>44463</v>
      </c>
      <c r="U43" s="120" t="s">
        <v>295</v>
      </c>
      <c r="V43" s="120" t="s">
        <v>295</v>
      </c>
      <c r="W43" s="121" t="s">
        <v>262</v>
      </c>
      <c r="X43" s="117" t="s">
        <v>1450</v>
      </c>
      <c r="Y43" s="117"/>
      <c r="Z43" s="117"/>
      <c r="AA43" s="117" t="s">
        <v>804</v>
      </c>
      <c r="AB43" s="117" t="s">
        <v>1451</v>
      </c>
      <c r="AC43" s="118">
        <v>44463</v>
      </c>
      <c r="AD43" s="117" t="s">
        <v>349</v>
      </c>
      <c r="AE43" s="117" t="s">
        <v>1127</v>
      </c>
      <c r="AF43" s="90" t="s">
        <v>1104</v>
      </c>
      <c r="AG43" s="90" t="s">
        <v>0</v>
      </c>
      <c r="AH43" s="93" t="s">
        <v>972</v>
      </c>
      <c r="AI43" s="93" t="b">
        <v>0</v>
      </c>
      <c r="AJ43" s="93"/>
      <c r="AK43" s="93" t="b">
        <v>0</v>
      </c>
      <c r="AL43" s="93"/>
      <c r="AM43" s="93" t="b">
        <v>0</v>
      </c>
      <c r="AN43" s="93" t="b">
        <v>0</v>
      </c>
      <c r="AO43" s="93" t="b">
        <v>0</v>
      </c>
      <c r="AP43" s="93" t="b">
        <v>0</v>
      </c>
      <c r="AQ43" s="93" t="b">
        <v>0</v>
      </c>
      <c r="AR43" s="93" t="b">
        <v>0</v>
      </c>
      <c r="AS43" s="93" t="b">
        <v>0</v>
      </c>
      <c r="AT43" s="107" t="s">
        <v>1452</v>
      </c>
      <c r="AU43" s="94">
        <v>9882360</v>
      </c>
      <c r="AV43" s="90" t="s">
        <v>983</v>
      </c>
      <c r="AW43" s="108" t="s">
        <v>1058</v>
      </c>
      <c r="AX43" s="91">
        <v>44509</v>
      </c>
      <c r="AY43" s="108" t="s">
        <v>1133</v>
      </c>
      <c r="AZ43" s="90" t="s">
        <v>584</v>
      </c>
      <c r="BA43" s="90" t="s">
        <v>82</v>
      </c>
      <c r="BB43" s="90" t="s">
        <v>40</v>
      </c>
      <c r="BC43" s="90"/>
      <c r="BD43" s="90" t="s">
        <v>30</v>
      </c>
      <c r="BE43" s="90"/>
      <c r="BF43" s="90"/>
      <c r="BG43" s="91"/>
      <c r="BH43" s="93" t="b">
        <v>0</v>
      </c>
      <c r="BI43" s="90"/>
      <c r="BJ43" s="90"/>
      <c r="BK43" s="90" t="s">
        <v>1105</v>
      </c>
      <c r="BL43" s="90" t="s">
        <v>1414</v>
      </c>
      <c r="BM43" s="90"/>
      <c r="BN43" s="90"/>
      <c r="BO43" s="90"/>
      <c r="BP43" s="90"/>
      <c r="BQ43" s="90"/>
      <c r="BR43" s="95"/>
      <c r="BS43" s="90"/>
      <c r="BT43" s="90"/>
      <c r="BU43" s="90"/>
      <c r="BV43" s="90"/>
      <c r="BW43" s="90"/>
      <c r="BX43" s="90"/>
      <c r="BY43" s="90"/>
      <c r="BZ43" s="90"/>
      <c r="CA43" s="90"/>
      <c r="CB43" s="90"/>
      <c r="CC43" s="91"/>
      <c r="CD43" s="90"/>
      <c r="CE43" s="91"/>
      <c r="CF43" s="90"/>
      <c r="CG43" s="91"/>
      <c r="CH43" s="90"/>
      <c r="CI43" s="91"/>
      <c r="CJ43" s="90"/>
      <c r="CK43" s="91"/>
      <c r="CL43" s="90"/>
      <c r="CM43" s="91"/>
      <c r="CN43" s="96"/>
      <c r="CO43" s="91"/>
      <c r="CP43" s="90"/>
      <c r="CQ43" s="90"/>
      <c r="CR43" s="90"/>
      <c r="CS43" s="90"/>
      <c r="CT43" s="91"/>
      <c r="CU43" s="90"/>
      <c r="CV43" s="97"/>
    </row>
    <row r="44" spans="1:100" ht="15" customHeight="1">
      <c r="A44" s="117" t="s">
        <v>1454</v>
      </c>
      <c r="B44" s="118">
        <v>44463</v>
      </c>
      <c r="C44" s="117" t="s">
        <v>1453</v>
      </c>
      <c r="D44" s="117" t="s">
        <v>352</v>
      </c>
      <c r="E44" s="119" t="s">
        <v>1122</v>
      </c>
      <c r="F44" s="117" t="s">
        <v>1123</v>
      </c>
      <c r="G44" s="117" t="s">
        <v>374</v>
      </c>
      <c r="H44" s="117" t="s">
        <v>1407</v>
      </c>
      <c r="I44" s="117" t="s">
        <v>354</v>
      </c>
      <c r="J44" s="117" t="s">
        <v>1124</v>
      </c>
      <c r="K44" s="117" t="s">
        <v>414</v>
      </c>
      <c r="L44" s="117" t="s">
        <v>1126</v>
      </c>
      <c r="M44" s="119" t="s">
        <v>346</v>
      </c>
      <c r="N44" s="117" t="s">
        <v>1455</v>
      </c>
      <c r="O44" s="117" t="s">
        <v>1456</v>
      </c>
      <c r="P44" s="117" t="s">
        <v>1457</v>
      </c>
      <c r="Q44" s="118">
        <v>44463</v>
      </c>
      <c r="R44" s="118">
        <v>44499</v>
      </c>
      <c r="S44" s="117" t="s">
        <v>1458</v>
      </c>
      <c r="T44" s="118">
        <v>44476</v>
      </c>
      <c r="U44" s="120" t="s">
        <v>295</v>
      </c>
      <c r="V44" s="120" t="s">
        <v>295</v>
      </c>
      <c r="W44" s="121" t="s">
        <v>262</v>
      </c>
      <c r="X44" s="117" t="s">
        <v>1459</v>
      </c>
      <c r="Y44" s="117"/>
      <c r="Z44" s="117"/>
      <c r="AA44" s="117" t="s">
        <v>1</v>
      </c>
      <c r="AB44" s="117" t="s">
        <v>1460</v>
      </c>
      <c r="AC44" s="118">
        <v>44476</v>
      </c>
      <c r="AD44" s="117" t="s">
        <v>349</v>
      </c>
      <c r="AE44" s="117" t="s">
        <v>1127</v>
      </c>
      <c r="AF44" s="90" t="s">
        <v>1104</v>
      </c>
      <c r="AG44" s="90" t="s">
        <v>0</v>
      </c>
      <c r="AH44" s="93" t="s">
        <v>972</v>
      </c>
      <c r="AI44" s="93" t="b">
        <v>0</v>
      </c>
      <c r="AJ44" s="93"/>
      <c r="AK44" s="93" t="b">
        <v>0</v>
      </c>
      <c r="AL44" s="93"/>
      <c r="AM44" s="93" t="b">
        <v>0</v>
      </c>
      <c r="AN44" s="93" t="b">
        <v>0</v>
      </c>
      <c r="AO44" s="93" t="b">
        <v>0</v>
      </c>
      <c r="AP44" s="93" t="b">
        <v>0</v>
      </c>
      <c r="AQ44" s="93" t="b">
        <v>0</v>
      </c>
      <c r="AR44" s="93" t="b">
        <v>0</v>
      </c>
      <c r="AS44" s="93" t="b">
        <v>0</v>
      </c>
      <c r="AT44" s="107" t="s">
        <v>1461</v>
      </c>
      <c r="AU44" s="94">
        <v>9882360</v>
      </c>
      <c r="AV44" s="90" t="s">
        <v>983</v>
      </c>
      <c r="AW44" s="108" t="s">
        <v>1058</v>
      </c>
      <c r="AX44" s="91">
        <v>44509</v>
      </c>
      <c r="AY44" s="108" t="s">
        <v>1133</v>
      </c>
      <c r="AZ44" s="90" t="s">
        <v>13</v>
      </c>
      <c r="BA44" s="90" t="s">
        <v>83</v>
      </c>
      <c r="BB44" s="90" t="s">
        <v>40</v>
      </c>
      <c r="BC44" s="90"/>
      <c r="BD44" s="90" t="s">
        <v>757</v>
      </c>
      <c r="BE44" s="90"/>
      <c r="BF44" s="90"/>
      <c r="BG44" s="91"/>
      <c r="BH44" s="93" t="b">
        <v>0</v>
      </c>
      <c r="BI44" s="90"/>
      <c r="BJ44" s="90"/>
      <c r="BK44" s="90" t="s">
        <v>1105</v>
      </c>
      <c r="BL44" s="90" t="s">
        <v>1414</v>
      </c>
      <c r="BM44" s="90"/>
      <c r="BN44" s="90"/>
      <c r="BO44" s="90"/>
      <c r="BP44" s="90"/>
      <c r="BQ44" s="90"/>
      <c r="BR44" s="95"/>
      <c r="BS44" s="90"/>
      <c r="BT44" s="90"/>
      <c r="BU44" s="90"/>
      <c r="BV44" s="90"/>
      <c r="BW44" s="90"/>
      <c r="BX44" s="90"/>
      <c r="BY44" s="90"/>
      <c r="BZ44" s="90"/>
      <c r="CA44" s="90"/>
      <c r="CB44" s="90"/>
      <c r="CC44" s="91"/>
      <c r="CD44" s="90"/>
      <c r="CE44" s="91"/>
      <c r="CF44" s="90"/>
      <c r="CG44" s="91"/>
      <c r="CH44" s="90"/>
      <c r="CI44" s="91"/>
      <c r="CJ44" s="90"/>
      <c r="CK44" s="91"/>
      <c r="CL44" s="90"/>
      <c r="CM44" s="91"/>
      <c r="CN44" s="96"/>
      <c r="CO44" s="91"/>
      <c r="CP44" s="90"/>
      <c r="CQ44" s="90"/>
      <c r="CR44" s="90"/>
      <c r="CS44" s="90"/>
      <c r="CT44" s="91"/>
      <c r="CU44" s="90"/>
      <c r="CV44" s="97"/>
    </row>
    <row r="45" spans="1:100" ht="15" customHeight="1">
      <c r="A45" s="117" t="s">
        <v>1463</v>
      </c>
      <c r="B45" s="118">
        <v>44463</v>
      </c>
      <c r="C45" s="117" t="s">
        <v>1462</v>
      </c>
      <c r="D45" s="117" t="s">
        <v>352</v>
      </c>
      <c r="E45" s="119" t="s">
        <v>1122</v>
      </c>
      <c r="F45" s="117" t="s">
        <v>1123</v>
      </c>
      <c r="G45" s="117" t="s">
        <v>374</v>
      </c>
      <c r="H45" s="117" t="s">
        <v>1407</v>
      </c>
      <c r="I45" s="117" t="s">
        <v>354</v>
      </c>
      <c r="J45" s="117" t="s">
        <v>1124</v>
      </c>
      <c r="K45" s="117" t="s">
        <v>414</v>
      </c>
      <c r="L45" s="117" t="s">
        <v>1126</v>
      </c>
      <c r="M45" s="119" t="s">
        <v>346</v>
      </c>
      <c r="N45" s="117" t="s">
        <v>1464</v>
      </c>
      <c r="O45" s="117" t="s">
        <v>1465</v>
      </c>
      <c r="P45" s="117" t="s">
        <v>1466</v>
      </c>
      <c r="Q45" s="118">
        <v>44463</v>
      </c>
      <c r="R45" s="118">
        <v>44479</v>
      </c>
      <c r="S45" s="117" t="s">
        <v>1467</v>
      </c>
      <c r="T45" s="118">
        <v>44477</v>
      </c>
      <c r="U45" s="120" t="s">
        <v>295</v>
      </c>
      <c r="V45" s="120" t="s">
        <v>295</v>
      </c>
      <c r="W45" s="121" t="s">
        <v>262</v>
      </c>
      <c r="X45" s="117" t="s">
        <v>1468</v>
      </c>
      <c r="Y45" s="117"/>
      <c r="Z45" s="117"/>
      <c r="AA45" s="117" t="s">
        <v>804</v>
      </c>
      <c r="AB45" s="117" t="s">
        <v>1468</v>
      </c>
      <c r="AC45" s="118">
        <v>44477</v>
      </c>
      <c r="AD45" s="117" t="s">
        <v>349</v>
      </c>
      <c r="AE45" s="117" t="s">
        <v>1127</v>
      </c>
      <c r="AF45" s="90" t="s">
        <v>1104</v>
      </c>
      <c r="AG45" s="90" t="s">
        <v>0</v>
      </c>
      <c r="AH45" s="93" t="s">
        <v>972</v>
      </c>
      <c r="AI45" s="93" t="b">
        <v>0</v>
      </c>
      <c r="AJ45" s="93"/>
      <c r="AK45" s="93" t="b">
        <v>0</v>
      </c>
      <c r="AL45" s="93"/>
      <c r="AM45" s="93" t="b">
        <v>0</v>
      </c>
      <c r="AN45" s="93" t="b">
        <v>0</v>
      </c>
      <c r="AO45" s="93" t="b">
        <v>0</v>
      </c>
      <c r="AP45" s="93" t="b">
        <v>0</v>
      </c>
      <c r="AQ45" s="93" t="b">
        <v>0</v>
      </c>
      <c r="AR45" s="93" t="b">
        <v>0</v>
      </c>
      <c r="AS45" s="93" t="b">
        <v>0</v>
      </c>
      <c r="AT45" s="107" t="s">
        <v>1469</v>
      </c>
      <c r="AU45" s="94">
        <v>9882360</v>
      </c>
      <c r="AV45" s="90" t="s">
        <v>983</v>
      </c>
      <c r="AW45" s="108" t="s">
        <v>1058</v>
      </c>
      <c r="AX45" s="91">
        <v>44509</v>
      </c>
      <c r="AY45" s="108" t="s">
        <v>1133</v>
      </c>
      <c r="AZ45" s="90" t="s">
        <v>582</v>
      </c>
      <c r="BA45" s="90" t="s">
        <v>66</v>
      </c>
      <c r="BB45" s="90" t="s">
        <v>40</v>
      </c>
      <c r="BC45" s="90"/>
      <c r="BD45" s="90" t="s">
        <v>30</v>
      </c>
      <c r="BE45" s="90"/>
      <c r="BF45" s="90"/>
      <c r="BG45" s="91"/>
      <c r="BH45" s="93" t="b">
        <v>0</v>
      </c>
      <c r="BI45" s="90"/>
      <c r="BJ45" s="90"/>
      <c r="BK45" s="90" t="s">
        <v>1105</v>
      </c>
      <c r="BL45" s="90" t="s">
        <v>1414</v>
      </c>
      <c r="BM45" s="90"/>
      <c r="BN45" s="90"/>
      <c r="BO45" s="90"/>
      <c r="BP45" s="90"/>
      <c r="BQ45" s="90"/>
      <c r="BR45" s="95"/>
      <c r="BS45" s="90"/>
      <c r="BT45" s="90"/>
      <c r="BU45" s="90"/>
      <c r="BV45" s="90"/>
      <c r="BW45" s="90"/>
      <c r="BX45" s="90"/>
      <c r="BY45" s="90"/>
      <c r="BZ45" s="90"/>
      <c r="CA45" s="90"/>
      <c r="CB45" s="90"/>
      <c r="CC45" s="91"/>
      <c r="CD45" s="90"/>
      <c r="CE45" s="91"/>
      <c r="CF45" s="90"/>
      <c r="CG45" s="91"/>
      <c r="CH45" s="90"/>
      <c r="CI45" s="91"/>
      <c r="CJ45" s="90"/>
      <c r="CK45" s="91"/>
      <c r="CL45" s="90"/>
      <c r="CM45" s="91"/>
      <c r="CN45" s="96"/>
      <c r="CO45" s="91"/>
      <c r="CP45" s="90"/>
      <c r="CQ45" s="90"/>
      <c r="CR45" s="90"/>
      <c r="CS45" s="90"/>
      <c r="CT45" s="91"/>
      <c r="CU45" s="90"/>
      <c r="CV45" s="97"/>
    </row>
    <row r="46" spans="1:100" ht="15" customHeight="1">
      <c r="A46" s="117" t="s">
        <v>1471</v>
      </c>
      <c r="B46" s="118">
        <v>44463</v>
      </c>
      <c r="C46" s="117" t="s">
        <v>1470</v>
      </c>
      <c r="D46" s="117" t="s">
        <v>352</v>
      </c>
      <c r="E46" s="119" t="s">
        <v>1122</v>
      </c>
      <c r="F46" s="117" t="s">
        <v>1123</v>
      </c>
      <c r="G46" s="117" t="s">
        <v>374</v>
      </c>
      <c r="H46" s="117" t="s">
        <v>1407</v>
      </c>
      <c r="I46" s="117" t="s">
        <v>354</v>
      </c>
      <c r="J46" s="117" t="s">
        <v>1124</v>
      </c>
      <c r="K46" s="117" t="s">
        <v>416</v>
      </c>
      <c r="L46" s="117" t="s">
        <v>1472</v>
      </c>
      <c r="M46" s="119" t="s">
        <v>346</v>
      </c>
      <c r="N46" s="117" t="s">
        <v>1473</v>
      </c>
      <c r="O46" s="117" t="s">
        <v>1220</v>
      </c>
      <c r="P46" s="117" t="s">
        <v>1474</v>
      </c>
      <c r="Q46" s="118">
        <v>44464</v>
      </c>
      <c r="R46" s="118">
        <v>44499</v>
      </c>
      <c r="S46" s="117" t="s">
        <v>1475</v>
      </c>
      <c r="T46" s="118">
        <v>44490</v>
      </c>
      <c r="U46" s="120" t="s">
        <v>295</v>
      </c>
      <c r="V46" s="120" t="s">
        <v>295</v>
      </c>
      <c r="W46" s="121" t="s">
        <v>262</v>
      </c>
      <c r="X46" s="117" t="s">
        <v>1476</v>
      </c>
      <c r="Y46" s="117"/>
      <c r="Z46" s="117"/>
      <c r="AA46" s="117" t="s">
        <v>1</v>
      </c>
      <c r="AB46" s="117" t="s">
        <v>1476</v>
      </c>
      <c r="AC46" s="118">
        <v>44490</v>
      </c>
      <c r="AD46" s="117" t="s">
        <v>349</v>
      </c>
      <c r="AE46" s="117" t="s">
        <v>1127</v>
      </c>
      <c r="AF46" s="90" t="s">
        <v>1104</v>
      </c>
      <c r="AG46" s="90" t="s">
        <v>0</v>
      </c>
      <c r="AH46" s="93" t="s">
        <v>972</v>
      </c>
      <c r="AI46" s="93" t="b">
        <v>0</v>
      </c>
      <c r="AJ46" s="93"/>
      <c r="AK46" s="93" t="b">
        <v>0</v>
      </c>
      <c r="AL46" s="93"/>
      <c r="AM46" s="93" t="b">
        <v>0</v>
      </c>
      <c r="AN46" s="93" t="b">
        <v>0</v>
      </c>
      <c r="AO46" s="93" t="b">
        <v>0</v>
      </c>
      <c r="AP46" s="93" t="b">
        <v>0</v>
      </c>
      <c r="AQ46" s="93" t="b">
        <v>0</v>
      </c>
      <c r="AR46" s="93" t="b">
        <v>0</v>
      </c>
      <c r="AS46" s="93" t="b">
        <v>0</v>
      </c>
      <c r="AT46" s="107" t="s">
        <v>1477</v>
      </c>
      <c r="AU46" s="94">
        <v>9882360</v>
      </c>
      <c r="AV46" s="90" t="s">
        <v>983</v>
      </c>
      <c r="AW46" s="108" t="s">
        <v>1058</v>
      </c>
      <c r="AX46" s="91">
        <v>44509</v>
      </c>
      <c r="AY46" s="108" t="s">
        <v>1133</v>
      </c>
      <c r="AZ46" s="90" t="s">
        <v>581</v>
      </c>
      <c r="BA46" s="90" t="s">
        <v>173</v>
      </c>
      <c r="BB46" s="90" t="s">
        <v>42</v>
      </c>
      <c r="BC46" s="90"/>
      <c r="BD46" s="90" t="s">
        <v>31</v>
      </c>
      <c r="BE46" s="90"/>
      <c r="BF46" s="90"/>
      <c r="BG46" s="91"/>
      <c r="BH46" s="93" t="b">
        <v>0</v>
      </c>
      <c r="BI46" s="90"/>
      <c r="BJ46" s="90"/>
      <c r="BK46" s="90" t="s">
        <v>1105</v>
      </c>
      <c r="BL46" s="90" t="s">
        <v>1414</v>
      </c>
      <c r="BM46" s="90"/>
      <c r="BN46" s="90"/>
      <c r="BO46" s="90"/>
      <c r="BP46" s="90"/>
      <c r="BQ46" s="90"/>
      <c r="BR46" s="95"/>
      <c r="BS46" s="90"/>
      <c r="BT46" s="90"/>
      <c r="BU46" s="90"/>
      <c r="BV46" s="90"/>
      <c r="BW46" s="90"/>
      <c r="BX46" s="90"/>
      <c r="BY46" s="90"/>
      <c r="BZ46" s="90"/>
      <c r="CA46" s="90"/>
      <c r="CB46" s="90"/>
      <c r="CC46" s="91"/>
      <c r="CD46" s="90"/>
      <c r="CE46" s="91"/>
      <c r="CF46" s="90"/>
      <c r="CG46" s="91"/>
      <c r="CH46" s="90"/>
      <c r="CI46" s="91"/>
      <c r="CJ46" s="90"/>
      <c r="CK46" s="91"/>
      <c r="CL46" s="90"/>
      <c r="CM46" s="91"/>
      <c r="CN46" s="96"/>
      <c r="CO46" s="91"/>
      <c r="CP46" s="90"/>
      <c r="CQ46" s="90"/>
      <c r="CR46" s="90"/>
      <c r="CS46" s="90"/>
      <c r="CT46" s="91"/>
      <c r="CU46" s="90"/>
      <c r="CV46" s="97"/>
    </row>
    <row r="47" spans="1:100" ht="15" customHeight="1">
      <c r="A47" s="117" t="s">
        <v>1479</v>
      </c>
      <c r="B47" s="118">
        <v>44463</v>
      </c>
      <c r="C47" s="117" t="s">
        <v>1478</v>
      </c>
      <c r="D47" s="117" t="s">
        <v>352</v>
      </c>
      <c r="E47" s="119" t="s">
        <v>1122</v>
      </c>
      <c r="F47" s="117" t="s">
        <v>1123</v>
      </c>
      <c r="G47" s="117" t="s">
        <v>374</v>
      </c>
      <c r="H47" s="117" t="s">
        <v>1407</v>
      </c>
      <c r="I47" s="117" t="s">
        <v>354</v>
      </c>
      <c r="J47" s="117" t="s">
        <v>1124</v>
      </c>
      <c r="K47" s="117" t="s">
        <v>414</v>
      </c>
      <c r="L47" s="117" t="s">
        <v>1126</v>
      </c>
      <c r="M47" s="119" t="s">
        <v>346</v>
      </c>
      <c r="N47" s="117" t="s">
        <v>1480</v>
      </c>
      <c r="O47" s="117" t="s">
        <v>1481</v>
      </c>
      <c r="P47" s="117" t="s">
        <v>1482</v>
      </c>
      <c r="Q47" s="118">
        <v>44464</v>
      </c>
      <c r="R47" s="118">
        <v>44530</v>
      </c>
      <c r="S47" s="117" t="s">
        <v>1483</v>
      </c>
      <c r="T47" s="118">
        <v>44476</v>
      </c>
      <c r="U47" s="120" t="s">
        <v>295</v>
      </c>
      <c r="V47" s="120" t="s">
        <v>295</v>
      </c>
      <c r="W47" s="121" t="s">
        <v>262</v>
      </c>
      <c r="X47" s="117" t="s">
        <v>1484</v>
      </c>
      <c r="Y47" s="117"/>
      <c r="Z47" s="117"/>
      <c r="AA47" s="117" t="s">
        <v>1</v>
      </c>
      <c r="AB47" s="117" t="s">
        <v>1484</v>
      </c>
      <c r="AC47" s="118">
        <v>44476</v>
      </c>
      <c r="AD47" s="117" t="s">
        <v>349</v>
      </c>
      <c r="AE47" s="117" t="s">
        <v>1127</v>
      </c>
      <c r="AF47" s="90" t="s">
        <v>1104</v>
      </c>
      <c r="AG47" s="90" t="s">
        <v>0</v>
      </c>
      <c r="AH47" s="93" t="s">
        <v>972</v>
      </c>
      <c r="AI47" s="93" t="b">
        <v>0</v>
      </c>
      <c r="AJ47" s="93"/>
      <c r="AK47" s="93" t="b">
        <v>0</v>
      </c>
      <c r="AL47" s="93"/>
      <c r="AM47" s="93" t="b">
        <v>0</v>
      </c>
      <c r="AN47" s="93" t="b">
        <v>0</v>
      </c>
      <c r="AO47" s="93" t="b">
        <v>0</v>
      </c>
      <c r="AP47" s="93" t="b">
        <v>0</v>
      </c>
      <c r="AQ47" s="93" t="b">
        <v>0</v>
      </c>
      <c r="AR47" s="93" t="b">
        <v>0</v>
      </c>
      <c r="AS47" s="93" t="b">
        <v>0</v>
      </c>
      <c r="AT47" s="107" t="s">
        <v>1485</v>
      </c>
      <c r="AU47" s="94">
        <v>9882360</v>
      </c>
      <c r="AV47" s="90" t="s">
        <v>983</v>
      </c>
      <c r="AW47" s="108" t="s">
        <v>1058</v>
      </c>
      <c r="AX47" s="91">
        <v>44509</v>
      </c>
      <c r="AY47" s="108" t="s">
        <v>1133</v>
      </c>
      <c r="AZ47" s="90" t="s">
        <v>582</v>
      </c>
      <c r="BA47" s="90" t="s">
        <v>69</v>
      </c>
      <c r="BB47" s="90" t="s">
        <v>40</v>
      </c>
      <c r="BC47" s="90"/>
      <c r="BD47" s="90" t="s">
        <v>30</v>
      </c>
      <c r="BE47" s="90"/>
      <c r="BF47" s="90"/>
      <c r="BG47" s="91"/>
      <c r="BH47" s="93" t="b">
        <v>0</v>
      </c>
      <c r="BI47" s="90"/>
      <c r="BJ47" s="90"/>
      <c r="BK47" s="90" t="s">
        <v>1105</v>
      </c>
      <c r="BL47" s="90" t="s">
        <v>1414</v>
      </c>
      <c r="BM47" s="90"/>
      <c r="BN47" s="90"/>
      <c r="BO47" s="90"/>
      <c r="BP47" s="90"/>
      <c r="BQ47" s="90"/>
      <c r="BR47" s="95"/>
      <c r="BS47" s="90"/>
      <c r="BT47" s="90"/>
      <c r="BU47" s="90"/>
      <c r="BV47" s="90"/>
      <c r="BW47" s="90"/>
      <c r="BX47" s="90"/>
      <c r="BY47" s="90"/>
      <c r="BZ47" s="90"/>
      <c r="CA47" s="90"/>
      <c r="CB47" s="90"/>
      <c r="CC47" s="91"/>
      <c r="CD47" s="90"/>
      <c r="CE47" s="91"/>
      <c r="CF47" s="90"/>
      <c r="CG47" s="91"/>
      <c r="CH47" s="90"/>
      <c r="CI47" s="91"/>
      <c r="CJ47" s="90"/>
      <c r="CK47" s="91"/>
      <c r="CL47" s="90"/>
      <c r="CM47" s="91"/>
      <c r="CN47" s="96"/>
      <c r="CO47" s="91"/>
      <c r="CP47" s="90"/>
      <c r="CQ47" s="90"/>
      <c r="CR47" s="90"/>
      <c r="CS47" s="90"/>
      <c r="CT47" s="91"/>
      <c r="CU47" s="90"/>
      <c r="CV47" s="97"/>
    </row>
    <row r="48" spans="1:100" ht="15" customHeight="1">
      <c r="A48" s="117" t="s">
        <v>1487</v>
      </c>
      <c r="B48" s="118">
        <v>44463</v>
      </c>
      <c r="C48" s="117" t="s">
        <v>1486</v>
      </c>
      <c r="D48" s="117" t="s">
        <v>352</v>
      </c>
      <c r="E48" s="119" t="s">
        <v>1122</v>
      </c>
      <c r="F48" s="117" t="s">
        <v>1123</v>
      </c>
      <c r="G48" s="117" t="s">
        <v>374</v>
      </c>
      <c r="H48" s="117" t="s">
        <v>1407</v>
      </c>
      <c r="I48" s="117" t="s">
        <v>354</v>
      </c>
      <c r="J48" s="117" t="s">
        <v>1124</v>
      </c>
      <c r="K48" s="117" t="s">
        <v>412</v>
      </c>
      <c r="L48" s="117" t="s">
        <v>1128</v>
      </c>
      <c r="M48" s="119" t="s">
        <v>346</v>
      </c>
      <c r="N48" s="117" t="s">
        <v>1488</v>
      </c>
      <c r="O48" s="117" t="s">
        <v>1489</v>
      </c>
      <c r="P48" s="117" t="s">
        <v>1490</v>
      </c>
      <c r="Q48" s="118">
        <v>44484</v>
      </c>
      <c r="R48" s="118">
        <v>44530</v>
      </c>
      <c r="S48" s="117" t="s">
        <v>1491</v>
      </c>
      <c r="T48" s="118">
        <v>44484</v>
      </c>
      <c r="U48" s="120" t="s">
        <v>295</v>
      </c>
      <c r="V48" s="120" t="s">
        <v>295</v>
      </c>
      <c r="W48" s="121" t="s">
        <v>262</v>
      </c>
      <c r="X48" s="117" t="s">
        <v>1492</v>
      </c>
      <c r="Y48" s="117"/>
      <c r="Z48" s="117"/>
      <c r="AA48" s="117" t="s">
        <v>167</v>
      </c>
      <c r="AB48" s="117" t="s">
        <v>1493</v>
      </c>
      <c r="AC48" s="118">
        <v>44484</v>
      </c>
      <c r="AD48" s="117" t="s">
        <v>349</v>
      </c>
      <c r="AE48" s="117" t="s">
        <v>1127</v>
      </c>
      <c r="AF48" s="90" t="s">
        <v>1104</v>
      </c>
      <c r="AG48" s="90" t="s">
        <v>0</v>
      </c>
      <c r="AH48" s="93" t="s">
        <v>972</v>
      </c>
      <c r="AI48" s="93" t="b">
        <v>0</v>
      </c>
      <c r="AJ48" s="93"/>
      <c r="AK48" s="93" t="b">
        <v>0</v>
      </c>
      <c r="AL48" s="93"/>
      <c r="AM48" s="93" t="b">
        <v>0</v>
      </c>
      <c r="AN48" s="93" t="b">
        <v>0</v>
      </c>
      <c r="AO48" s="93" t="b">
        <v>0</v>
      </c>
      <c r="AP48" s="93" t="b">
        <v>0</v>
      </c>
      <c r="AQ48" s="93" t="b">
        <v>0</v>
      </c>
      <c r="AR48" s="93" t="b">
        <v>0</v>
      </c>
      <c r="AS48" s="93" t="b">
        <v>0</v>
      </c>
      <c r="AT48" s="107" t="s">
        <v>1494</v>
      </c>
      <c r="AU48" s="94">
        <v>9882360</v>
      </c>
      <c r="AV48" s="90" t="s">
        <v>983</v>
      </c>
      <c r="AW48" s="108" t="s">
        <v>1058</v>
      </c>
      <c r="AX48" s="91">
        <v>44509</v>
      </c>
      <c r="AY48" s="108" t="s">
        <v>1133</v>
      </c>
      <c r="AZ48" s="90" t="s">
        <v>19</v>
      </c>
      <c r="BA48" s="90" t="s">
        <v>147</v>
      </c>
      <c r="BB48" s="90" t="s">
        <v>38</v>
      </c>
      <c r="BC48" s="90"/>
      <c r="BD48" s="90" t="s">
        <v>756</v>
      </c>
      <c r="BE48" s="90"/>
      <c r="BF48" s="90"/>
      <c r="BG48" s="91"/>
      <c r="BH48" s="93" t="b">
        <v>0</v>
      </c>
      <c r="BI48" s="90"/>
      <c r="BJ48" s="90"/>
      <c r="BK48" s="90" t="s">
        <v>1105</v>
      </c>
      <c r="BL48" s="90" t="s">
        <v>1414</v>
      </c>
      <c r="BM48" s="90"/>
      <c r="BN48" s="90"/>
      <c r="BO48" s="90"/>
      <c r="BP48" s="90"/>
      <c r="BQ48" s="90"/>
      <c r="BR48" s="95"/>
      <c r="BS48" s="90"/>
      <c r="BT48" s="90"/>
      <c r="BU48" s="90"/>
      <c r="BV48" s="90"/>
      <c r="BW48" s="90"/>
      <c r="BX48" s="90"/>
      <c r="BY48" s="90"/>
      <c r="BZ48" s="90"/>
      <c r="CA48" s="90"/>
      <c r="CB48" s="90"/>
      <c r="CC48" s="91"/>
      <c r="CD48" s="90"/>
      <c r="CE48" s="91"/>
      <c r="CF48" s="90"/>
      <c r="CG48" s="91"/>
      <c r="CH48" s="90"/>
      <c r="CI48" s="91"/>
      <c r="CJ48" s="90"/>
      <c r="CK48" s="91"/>
      <c r="CL48" s="90"/>
      <c r="CM48" s="91"/>
      <c r="CN48" s="96"/>
      <c r="CO48" s="91"/>
      <c r="CP48" s="90"/>
      <c r="CQ48" s="90"/>
      <c r="CR48" s="90"/>
      <c r="CS48" s="90"/>
      <c r="CT48" s="91"/>
      <c r="CU48" s="90"/>
      <c r="CV48" s="97"/>
    </row>
    <row r="49" spans="1:100" ht="15" customHeight="1">
      <c r="A49" s="117" t="s">
        <v>1496</v>
      </c>
      <c r="B49" s="118">
        <v>44463</v>
      </c>
      <c r="C49" s="117" t="s">
        <v>1495</v>
      </c>
      <c r="D49" s="117" t="s">
        <v>352</v>
      </c>
      <c r="E49" s="119" t="s">
        <v>1122</v>
      </c>
      <c r="F49" s="117" t="s">
        <v>1123</v>
      </c>
      <c r="G49" s="117" t="s">
        <v>374</v>
      </c>
      <c r="H49" s="117" t="s">
        <v>1407</v>
      </c>
      <c r="I49" s="117" t="s">
        <v>354</v>
      </c>
      <c r="J49" s="117" t="s">
        <v>1124</v>
      </c>
      <c r="K49" s="117" t="s">
        <v>417</v>
      </c>
      <c r="L49" s="117" t="s">
        <v>1130</v>
      </c>
      <c r="M49" s="119" t="s">
        <v>346</v>
      </c>
      <c r="N49" s="117" t="s">
        <v>1497</v>
      </c>
      <c r="O49" s="117" t="s">
        <v>1498</v>
      </c>
      <c r="P49" s="117" t="s">
        <v>1499</v>
      </c>
      <c r="Q49" s="118">
        <v>44463</v>
      </c>
      <c r="R49" s="118">
        <v>44479</v>
      </c>
      <c r="S49" s="117" t="s">
        <v>1491</v>
      </c>
      <c r="T49" s="118">
        <v>44476</v>
      </c>
      <c r="U49" s="120" t="s">
        <v>295</v>
      </c>
      <c r="V49" s="120" t="s">
        <v>295</v>
      </c>
      <c r="W49" s="121" t="s">
        <v>262</v>
      </c>
      <c r="X49" s="117" t="s">
        <v>1500</v>
      </c>
      <c r="Y49" s="117"/>
      <c r="Z49" s="117"/>
      <c r="AA49" s="117" t="s">
        <v>804</v>
      </c>
      <c r="AB49" s="117" t="s">
        <v>1501</v>
      </c>
      <c r="AC49" s="118">
        <v>44476</v>
      </c>
      <c r="AD49" s="117" t="s">
        <v>349</v>
      </c>
      <c r="AE49" s="117" t="s">
        <v>1127</v>
      </c>
      <c r="AF49" s="90" t="s">
        <v>1104</v>
      </c>
      <c r="AG49" s="90" t="s">
        <v>0</v>
      </c>
      <c r="AH49" s="93" t="s">
        <v>972</v>
      </c>
      <c r="AI49" s="93" t="b">
        <v>0</v>
      </c>
      <c r="AJ49" s="93"/>
      <c r="AK49" s="93" t="b">
        <v>0</v>
      </c>
      <c r="AL49" s="93"/>
      <c r="AM49" s="93" t="b">
        <v>0</v>
      </c>
      <c r="AN49" s="93" t="b">
        <v>0</v>
      </c>
      <c r="AO49" s="93" t="b">
        <v>0</v>
      </c>
      <c r="AP49" s="93" t="b">
        <v>0</v>
      </c>
      <c r="AQ49" s="93" t="b">
        <v>0</v>
      </c>
      <c r="AR49" s="93" t="b">
        <v>0</v>
      </c>
      <c r="AS49" s="93" t="b">
        <v>0</v>
      </c>
      <c r="AT49" s="107" t="s">
        <v>1502</v>
      </c>
      <c r="AU49" s="94">
        <v>9882360</v>
      </c>
      <c r="AV49" s="90" t="s">
        <v>983</v>
      </c>
      <c r="AW49" s="108" t="s">
        <v>1058</v>
      </c>
      <c r="AX49" s="91">
        <v>44509</v>
      </c>
      <c r="AY49" s="108" t="s">
        <v>1133</v>
      </c>
      <c r="AZ49" s="90" t="s">
        <v>19</v>
      </c>
      <c r="BA49" s="90" t="s">
        <v>144</v>
      </c>
      <c r="BB49" s="90" t="s">
        <v>43</v>
      </c>
      <c r="BC49" s="90"/>
      <c r="BD49" s="90" t="s">
        <v>756</v>
      </c>
      <c r="BE49" s="90"/>
      <c r="BF49" s="90"/>
      <c r="BG49" s="91"/>
      <c r="BH49" s="93" t="b">
        <v>0</v>
      </c>
      <c r="BI49" s="90"/>
      <c r="BJ49" s="90"/>
      <c r="BK49" s="90" t="s">
        <v>1105</v>
      </c>
      <c r="BL49" s="90" t="s">
        <v>1414</v>
      </c>
      <c r="BM49" s="90"/>
      <c r="BN49" s="90"/>
      <c r="BO49" s="90"/>
      <c r="BP49" s="90"/>
      <c r="BQ49" s="90"/>
      <c r="BR49" s="95"/>
      <c r="BS49" s="90"/>
      <c r="BT49" s="90"/>
      <c r="BU49" s="90"/>
      <c r="BV49" s="90"/>
      <c r="BW49" s="90"/>
      <c r="BX49" s="90"/>
      <c r="BY49" s="90"/>
      <c r="BZ49" s="90"/>
      <c r="CA49" s="90"/>
      <c r="CB49" s="90"/>
      <c r="CC49" s="91"/>
      <c r="CD49" s="90"/>
      <c r="CE49" s="91"/>
      <c r="CF49" s="90"/>
      <c r="CG49" s="91"/>
      <c r="CH49" s="90"/>
      <c r="CI49" s="91"/>
      <c r="CJ49" s="90"/>
      <c r="CK49" s="91"/>
      <c r="CL49" s="90"/>
      <c r="CM49" s="91"/>
      <c r="CN49" s="96"/>
      <c r="CO49" s="91"/>
      <c r="CP49" s="90"/>
      <c r="CQ49" s="90"/>
      <c r="CR49" s="90"/>
      <c r="CS49" s="90"/>
      <c r="CT49" s="91"/>
      <c r="CU49" s="90"/>
      <c r="CV49" s="97"/>
    </row>
    <row r="50" spans="1:100" ht="15" customHeight="1">
      <c r="A50" s="117" t="s">
        <v>1504</v>
      </c>
      <c r="B50" s="118">
        <v>44463</v>
      </c>
      <c r="C50" s="117" t="s">
        <v>1503</v>
      </c>
      <c r="D50" s="117" t="s">
        <v>352</v>
      </c>
      <c r="E50" s="119" t="s">
        <v>1122</v>
      </c>
      <c r="F50" s="117" t="s">
        <v>1123</v>
      </c>
      <c r="G50" s="117" t="s">
        <v>374</v>
      </c>
      <c r="H50" s="117" t="s">
        <v>1407</v>
      </c>
      <c r="I50" s="117" t="s">
        <v>354</v>
      </c>
      <c r="J50" s="117" t="s">
        <v>1124</v>
      </c>
      <c r="K50" s="117" t="s">
        <v>408</v>
      </c>
      <c r="L50" s="117" t="s">
        <v>1129</v>
      </c>
      <c r="M50" s="119" t="s">
        <v>346</v>
      </c>
      <c r="N50" s="117" t="s">
        <v>1505</v>
      </c>
      <c r="O50" s="117" t="s">
        <v>1506</v>
      </c>
      <c r="P50" s="117" t="s">
        <v>1507</v>
      </c>
      <c r="Q50" s="118">
        <v>44483</v>
      </c>
      <c r="R50" s="118">
        <v>44530</v>
      </c>
      <c r="S50" s="117" t="s">
        <v>1491</v>
      </c>
      <c r="T50" s="118">
        <v>44483</v>
      </c>
      <c r="U50" s="120" t="s">
        <v>295</v>
      </c>
      <c r="V50" s="120" t="s">
        <v>295</v>
      </c>
      <c r="W50" s="121" t="s">
        <v>262</v>
      </c>
      <c r="X50" s="117" t="s">
        <v>1508</v>
      </c>
      <c r="Y50" s="117"/>
      <c r="Z50" s="117"/>
      <c r="AA50" s="117"/>
      <c r="AB50" s="117" t="s">
        <v>1508</v>
      </c>
      <c r="AC50" s="118">
        <v>44483</v>
      </c>
      <c r="AD50" s="117" t="s">
        <v>349</v>
      </c>
      <c r="AE50" s="117" t="s">
        <v>1434</v>
      </c>
      <c r="AF50" s="90" t="s">
        <v>1104</v>
      </c>
      <c r="AG50" s="90" t="s">
        <v>0</v>
      </c>
      <c r="AH50" s="93" t="s">
        <v>972</v>
      </c>
      <c r="AI50" s="93" t="b">
        <v>0</v>
      </c>
      <c r="AJ50" s="93"/>
      <c r="AK50" s="93" t="b">
        <v>0</v>
      </c>
      <c r="AL50" s="93"/>
      <c r="AM50" s="93" t="b">
        <v>0</v>
      </c>
      <c r="AN50" s="93" t="b">
        <v>0</v>
      </c>
      <c r="AO50" s="93" t="b">
        <v>0</v>
      </c>
      <c r="AP50" s="93" t="b">
        <v>0</v>
      </c>
      <c r="AQ50" s="93" t="b">
        <v>0</v>
      </c>
      <c r="AR50" s="93" t="b">
        <v>0</v>
      </c>
      <c r="AS50" s="93" t="b">
        <v>0</v>
      </c>
      <c r="AT50" s="107" t="s">
        <v>1509</v>
      </c>
      <c r="AU50" s="94">
        <v>9882360</v>
      </c>
      <c r="AV50" s="90" t="s">
        <v>983</v>
      </c>
      <c r="AW50" s="108" t="s">
        <v>1058</v>
      </c>
      <c r="AX50" s="91">
        <v>44509</v>
      </c>
      <c r="AY50" s="108" t="s">
        <v>1133</v>
      </c>
      <c r="AZ50" s="90" t="s">
        <v>11</v>
      </c>
      <c r="BA50" s="90" t="s">
        <v>81</v>
      </c>
      <c r="BB50" s="90" t="s">
        <v>35</v>
      </c>
      <c r="BC50" s="90"/>
      <c r="BD50" s="90" t="s">
        <v>28</v>
      </c>
      <c r="BE50" s="90"/>
      <c r="BF50" s="90"/>
      <c r="BG50" s="91"/>
      <c r="BH50" s="93" t="b">
        <v>0</v>
      </c>
      <c r="BI50" s="90"/>
      <c r="BJ50" s="90"/>
      <c r="BK50" s="90" t="s">
        <v>1105</v>
      </c>
      <c r="BL50" s="90" t="s">
        <v>1414</v>
      </c>
      <c r="BM50" s="90"/>
      <c r="BN50" s="90"/>
      <c r="BO50" s="90"/>
      <c r="BP50" s="90"/>
      <c r="BQ50" s="90"/>
      <c r="BR50" s="95"/>
      <c r="BS50" s="90"/>
      <c r="BT50" s="90"/>
      <c r="BU50" s="90"/>
      <c r="BV50" s="90"/>
      <c r="BW50" s="90"/>
      <c r="BX50" s="90"/>
      <c r="BY50" s="90"/>
      <c r="BZ50" s="90"/>
      <c r="CA50" s="90"/>
      <c r="CB50" s="90"/>
      <c r="CC50" s="91"/>
      <c r="CD50" s="90"/>
      <c r="CE50" s="91"/>
      <c r="CF50" s="90"/>
      <c r="CG50" s="91"/>
      <c r="CH50" s="90"/>
      <c r="CI50" s="91"/>
      <c r="CJ50" s="90"/>
      <c r="CK50" s="91"/>
      <c r="CL50" s="90"/>
      <c r="CM50" s="91"/>
      <c r="CN50" s="96"/>
      <c r="CO50" s="91"/>
      <c r="CP50" s="90"/>
      <c r="CQ50" s="90"/>
      <c r="CR50" s="90"/>
      <c r="CS50" s="90"/>
      <c r="CT50" s="91"/>
      <c r="CU50" s="90"/>
      <c r="CV50" s="97"/>
    </row>
    <row r="51" spans="1:100" ht="15" customHeight="1">
      <c r="A51" s="117" t="s">
        <v>1511</v>
      </c>
      <c r="B51" s="118">
        <v>44463</v>
      </c>
      <c r="C51" s="117" t="s">
        <v>1510</v>
      </c>
      <c r="D51" s="117" t="s">
        <v>352</v>
      </c>
      <c r="E51" s="119" t="s">
        <v>1122</v>
      </c>
      <c r="F51" s="117" t="s">
        <v>1123</v>
      </c>
      <c r="G51" s="117" t="s">
        <v>374</v>
      </c>
      <c r="H51" s="117" t="s">
        <v>1407</v>
      </c>
      <c r="I51" s="117" t="s">
        <v>354</v>
      </c>
      <c r="J51" s="117" t="s">
        <v>1124</v>
      </c>
      <c r="K51" s="117" t="s">
        <v>417</v>
      </c>
      <c r="L51" s="117" t="s">
        <v>1130</v>
      </c>
      <c r="M51" s="119" t="s">
        <v>346</v>
      </c>
      <c r="N51" s="117" t="s">
        <v>1512</v>
      </c>
      <c r="O51" s="117" t="s">
        <v>1266</v>
      </c>
      <c r="P51" s="117" t="s">
        <v>1513</v>
      </c>
      <c r="Q51" s="118">
        <v>44490</v>
      </c>
      <c r="R51" s="118">
        <v>44530</v>
      </c>
      <c r="S51" s="117" t="s">
        <v>1491</v>
      </c>
      <c r="T51" s="118">
        <v>44490</v>
      </c>
      <c r="U51" s="120" t="s">
        <v>295</v>
      </c>
      <c r="V51" s="120" t="s">
        <v>295</v>
      </c>
      <c r="W51" s="121" t="s">
        <v>262</v>
      </c>
      <c r="X51" s="117" t="s">
        <v>1514</v>
      </c>
      <c r="Y51" s="117"/>
      <c r="Z51" s="117"/>
      <c r="AA51" s="117"/>
      <c r="AB51" s="117" t="s">
        <v>1514</v>
      </c>
      <c r="AC51" s="118">
        <v>44490</v>
      </c>
      <c r="AD51" s="117" t="s">
        <v>349</v>
      </c>
      <c r="AE51" s="117" t="s">
        <v>1434</v>
      </c>
      <c r="AF51" s="90" t="s">
        <v>1104</v>
      </c>
      <c r="AG51" s="90" t="s">
        <v>0</v>
      </c>
      <c r="AH51" s="93" t="s">
        <v>972</v>
      </c>
      <c r="AI51" s="93" t="b">
        <v>0</v>
      </c>
      <c r="AJ51" s="93"/>
      <c r="AK51" s="93" t="b">
        <v>0</v>
      </c>
      <c r="AL51" s="93"/>
      <c r="AM51" s="93" t="b">
        <v>0</v>
      </c>
      <c r="AN51" s="93" t="b">
        <v>0</v>
      </c>
      <c r="AO51" s="93" t="b">
        <v>0</v>
      </c>
      <c r="AP51" s="93" t="b">
        <v>0</v>
      </c>
      <c r="AQ51" s="93" t="b">
        <v>0</v>
      </c>
      <c r="AR51" s="93" t="b">
        <v>0</v>
      </c>
      <c r="AS51" s="93" t="b">
        <v>0</v>
      </c>
      <c r="AT51" s="107" t="s">
        <v>1515</v>
      </c>
      <c r="AU51" s="94">
        <v>9882360</v>
      </c>
      <c r="AV51" s="90" t="s">
        <v>983</v>
      </c>
      <c r="AW51" s="108" t="s">
        <v>1058</v>
      </c>
      <c r="AX51" s="91">
        <v>44509</v>
      </c>
      <c r="AY51" s="108" t="s">
        <v>1133</v>
      </c>
      <c r="AZ51" s="90" t="s">
        <v>19</v>
      </c>
      <c r="BA51" s="90" t="s">
        <v>149</v>
      </c>
      <c r="BB51" s="90" t="s">
        <v>43</v>
      </c>
      <c r="BC51" s="90"/>
      <c r="BD51" s="90" t="s">
        <v>756</v>
      </c>
      <c r="BE51" s="90"/>
      <c r="BF51" s="90"/>
      <c r="BG51" s="91"/>
      <c r="BH51" s="93" t="b">
        <v>0</v>
      </c>
      <c r="BI51" s="90"/>
      <c r="BJ51" s="90"/>
      <c r="BK51" s="90" t="s">
        <v>1105</v>
      </c>
      <c r="BL51" s="90" t="s">
        <v>1414</v>
      </c>
      <c r="BM51" s="90"/>
      <c r="BN51" s="90"/>
      <c r="BO51" s="90"/>
      <c r="BP51" s="90"/>
      <c r="BQ51" s="90"/>
      <c r="BR51" s="95"/>
      <c r="BS51" s="90"/>
      <c r="BT51" s="90"/>
      <c r="BU51" s="90"/>
      <c r="BV51" s="90"/>
      <c r="BW51" s="90"/>
      <c r="BX51" s="90"/>
      <c r="BY51" s="90"/>
      <c r="BZ51" s="90"/>
      <c r="CA51" s="90"/>
      <c r="CB51" s="90"/>
      <c r="CC51" s="91"/>
      <c r="CD51" s="90"/>
      <c r="CE51" s="91"/>
      <c r="CF51" s="90"/>
      <c r="CG51" s="91"/>
      <c r="CH51" s="90"/>
      <c r="CI51" s="91"/>
      <c r="CJ51" s="90"/>
      <c r="CK51" s="91"/>
      <c r="CL51" s="90"/>
      <c r="CM51" s="91"/>
      <c r="CN51" s="96"/>
      <c r="CO51" s="91"/>
      <c r="CP51" s="90"/>
      <c r="CQ51" s="90"/>
      <c r="CR51" s="90"/>
      <c r="CS51" s="90"/>
      <c r="CT51" s="91"/>
      <c r="CU51" s="90"/>
      <c r="CV51" s="97"/>
    </row>
    <row r="52" spans="1:100" ht="15" customHeight="1">
      <c r="A52" s="117" t="s">
        <v>1517</v>
      </c>
      <c r="B52" s="118">
        <v>44463</v>
      </c>
      <c r="C52" s="117" t="s">
        <v>1516</v>
      </c>
      <c r="D52" s="117" t="s">
        <v>352</v>
      </c>
      <c r="E52" s="119" t="s">
        <v>1122</v>
      </c>
      <c r="F52" s="117" t="s">
        <v>1123</v>
      </c>
      <c r="G52" s="117" t="s">
        <v>374</v>
      </c>
      <c r="H52" s="117" t="s">
        <v>1407</v>
      </c>
      <c r="I52" s="117" t="s">
        <v>354</v>
      </c>
      <c r="J52" s="117" t="s">
        <v>1124</v>
      </c>
      <c r="K52" s="117" t="s">
        <v>412</v>
      </c>
      <c r="L52" s="117" t="s">
        <v>1128</v>
      </c>
      <c r="M52" s="119" t="s">
        <v>346</v>
      </c>
      <c r="N52" s="117" t="s">
        <v>1518</v>
      </c>
      <c r="O52" s="117" t="s">
        <v>1519</v>
      </c>
      <c r="P52" s="117" t="s">
        <v>1520</v>
      </c>
      <c r="Q52" s="118">
        <v>44490</v>
      </c>
      <c r="R52" s="118">
        <v>44553</v>
      </c>
      <c r="S52" s="117" t="s">
        <v>1566</v>
      </c>
      <c r="T52" s="118">
        <v>44555</v>
      </c>
      <c r="U52" s="120" t="s">
        <v>295</v>
      </c>
      <c r="V52" s="120" t="s">
        <v>295</v>
      </c>
      <c r="W52" s="121" t="s">
        <v>262</v>
      </c>
      <c r="X52" s="117" t="s">
        <v>1567</v>
      </c>
      <c r="Y52" s="117"/>
      <c r="Z52" s="117"/>
      <c r="AA52" s="117" t="s">
        <v>3</v>
      </c>
      <c r="AB52" s="117" t="s">
        <v>1568</v>
      </c>
      <c r="AC52" s="118">
        <v>44555</v>
      </c>
      <c r="AD52" s="117" t="s">
        <v>349</v>
      </c>
      <c r="AE52" s="117" t="s">
        <v>1127</v>
      </c>
      <c r="AF52" s="90" t="s">
        <v>1104</v>
      </c>
      <c r="AG52" s="90" t="s">
        <v>0</v>
      </c>
      <c r="AH52" s="93" t="s">
        <v>972</v>
      </c>
      <c r="AI52" s="93" t="b">
        <v>0</v>
      </c>
      <c r="AJ52" s="93"/>
      <c r="AK52" s="93" t="b">
        <v>0</v>
      </c>
      <c r="AL52" s="93"/>
      <c r="AM52" s="93" t="b">
        <v>0</v>
      </c>
      <c r="AN52" s="93" t="b">
        <v>0</v>
      </c>
      <c r="AO52" s="93" t="b">
        <v>0</v>
      </c>
      <c r="AP52" s="93" t="b">
        <v>0</v>
      </c>
      <c r="AQ52" s="93" t="b">
        <v>0</v>
      </c>
      <c r="AR52" s="93" t="b">
        <v>0</v>
      </c>
      <c r="AS52" s="93" t="b">
        <v>0</v>
      </c>
      <c r="AT52" s="107" t="s">
        <v>1573</v>
      </c>
      <c r="AU52" s="94">
        <v>9882360</v>
      </c>
      <c r="AV52" s="90" t="s">
        <v>983</v>
      </c>
      <c r="AW52" s="108" t="s">
        <v>1058</v>
      </c>
      <c r="AX52" s="91">
        <v>44567</v>
      </c>
      <c r="AY52" s="108" t="s">
        <v>1133</v>
      </c>
      <c r="AZ52" s="90" t="s">
        <v>583</v>
      </c>
      <c r="BA52" s="90" t="s">
        <v>143</v>
      </c>
      <c r="BB52" s="90" t="s">
        <v>38</v>
      </c>
      <c r="BC52" s="90"/>
      <c r="BD52" s="90" t="s">
        <v>756</v>
      </c>
      <c r="BE52" s="90"/>
      <c r="BF52" s="90" t="s">
        <v>574</v>
      </c>
      <c r="BG52" s="91">
        <v>44561</v>
      </c>
      <c r="BH52" s="93" t="b">
        <v>0</v>
      </c>
      <c r="BI52" s="90"/>
      <c r="BJ52" s="90" t="s">
        <v>1569</v>
      </c>
      <c r="BK52" s="90" t="s">
        <v>1565</v>
      </c>
      <c r="BL52" s="90" t="s">
        <v>1414</v>
      </c>
      <c r="BM52" s="90"/>
      <c r="BN52" s="90"/>
      <c r="BO52" s="90"/>
      <c r="BP52" s="90"/>
      <c r="BQ52" s="90"/>
      <c r="BR52" s="95"/>
      <c r="BS52" s="90"/>
      <c r="BT52" s="90"/>
      <c r="BU52" s="90"/>
      <c r="BV52" s="90"/>
      <c r="BW52" s="90"/>
      <c r="BX52" s="90"/>
      <c r="BY52" s="90"/>
      <c r="BZ52" s="90"/>
      <c r="CA52" s="90"/>
      <c r="CB52" s="90"/>
      <c r="CC52" s="91"/>
      <c r="CD52" s="90"/>
      <c r="CE52" s="91"/>
      <c r="CF52" s="90"/>
      <c r="CG52" s="91"/>
      <c r="CH52" s="90"/>
      <c r="CI52" s="91"/>
      <c r="CJ52" s="90"/>
      <c r="CK52" s="91"/>
      <c r="CL52" s="90"/>
      <c r="CM52" s="91"/>
      <c r="CN52" s="96"/>
      <c r="CO52" s="91"/>
      <c r="CP52" s="90"/>
      <c r="CQ52" s="90"/>
      <c r="CR52" s="90"/>
      <c r="CS52" s="90"/>
      <c r="CT52" s="91"/>
      <c r="CU52" s="90"/>
      <c r="CV52" s="97"/>
    </row>
    <row r="53" spans="1:100" ht="15" customHeight="1">
      <c r="A53" s="117" t="s">
        <v>1522</v>
      </c>
      <c r="B53" s="118">
        <v>44463</v>
      </c>
      <c r="C53" s="117" t="s">
        <v>1521</v>
      </c>
      <c r="D53" s="117" t="s">
        <v>352</v>
      </c>
      <c r="E53" s="119" t="s">
        <v>1122</v>
      </c>
      <c r="F53" s="117" t="s">
        <v>1123</v>
      </c>
      <c r="G53" s="117" t="s">
        <v>374</v>
      </c>
      <c r="H53" s="117" t="s">
        <v>1407</v>
      </c>
      <c r="I53" s="117" t="s">
        <v>354</v>
      </c>
      <c r="J53" s="117" t="s">
        <v>1124</v>
      </c>
      <c r="K53" s="117" t="s">
        <v>417</v>
      </c>
      <c r="L53" s="117" t="s">
        <v>1130</v>
      </c>
      <c r="M53" s="119" t="s">
        <v>346</v>
      </c>
      <c r="N53" s="117" t="s">
        <v>1523</v>
      </c>
      <c r="O53" s="117" t="s">
        <v>1524</v>
      </c>
      <c r="P53" s="117" t="s">
        <v>1525</v>
      </c>
      <c r="Q53" s="118">
        <v>44475</v>
      </c>
      <c r="R53" s="118">
        <v>44530</v>
      </c>
      <c r="S53" s="117" t="s">
        <v>1491</v>
      </c>
      <c r="T53" s="118">
        <v>44475</v>
      </c>
      <c r="U53" s="120" t="s">
        <v>295</v>
      </c>
      <c r="V53" s="120" t="s">
        <v>295</v>
      </c>
      <c r="W53" s="121" t="s">
        <v>262</v>
      </c>
      <c r="X53" s="117" t="s">
        <v>1526</v>
      </c>
      <c r="Y53" s="117"/>
      <c r="Z53" s="117"/>
      <c r="AA53" s="117" t="s">
        <v>1</v>
      </c>
      <c r="AB53" s="117" t="s">
        <v>1526</v>
      </c>
      <c r="AC53" s="118">
        <v>44475</v>
      </c>
      <c r="AD53" s="117" t="s">
        <v>349</v>
      </c>
      <c r="AE53" s="117" t="s">
        <v>1127</v>
      </c>
      <c r="AF53" s="90" t="s">
        <v>1104</v>
      </c>
      <c r="AG53" s="90" t="s">
        <v>0</v>
      </c>
      <c r="AH53" s="93" t="s">
        <v>972</v>
      </c>
      <c r="AI53" s="93" t="b">
        <v>0</v>
      </c>
      <c r="AJ53" s="93"/>
      <c r="AK53" s="93" t="b">
        <v>0</v>
      </c>
      <c r="AL53" s="93"/>
      <c r="AM53" s="93" t="b">
        <v>0</v>
      </c>
      <c r="AN53" s="93" t="b">
        <v>0</v>
      </c>
      <c r="AO53" s="93" t="b">
        <v>0</v>
      </c>
      <c r="AP53" s="93" t="b">
        <v>0</v>
      </c>
      <c r="AQ53" s="93" t="b">
        <v>0</v>
      </c>
      <c r="AR53" s="93" t="b">
        <v>0</v>
      </c>
      <c r="AS53" s="93" t="b">
        <v>0</v>
      </c>
      <c r="AT53" s="107" t="s">
        <v>1528</v>
      </c>
      <c r="AU53" s="94">
        <v>9882360</v>
      </c>
      <c r="AV53" s="90" t="s">
        <v>983</v>
      </c>
      <c r="AW53" s="108" t="s">
        <v>1058</v>
      </c>
      <c r="AX53" s="91">
        <v>44537</v>
      </c>
      <c r="AY53" s="108" t="s">
        <v>1133</v>
      </c>
      <c r="AZ53" s="90" t="s">
        <v>15</v>
      </c>
      <c r="BA53" s="90" t="s">
        <v>104</v>
      </c>
      <c r="BB53" s="90" t="s">
        <v>43</v>
      </c>
      <c r="BC53" s="90"/>
      <c r="BD53" s="90" t="s">
        <v>756</v>
      </c>
      <c r="BE53" s="90"/>
      <c r="BF53" s="90"/>
      <c r="BG53" s="91"/>
      <c r="BH53" s="93" t="b">
        <v>0</v>
      </c>
      <c r="BI53" s="90" t="s">
        <v>1527</v>
      </c>
      <c r="BJ53" s="90"/>
      <c r="BK53" s="90" t="s">
        <v>1105</v>
      </c>
      <c r="BL53" s="90" t="s">
        <v>1414</v>
      </c>
      <c r="BM53" s="90"/>
      <c r="BN53" s="90"/>
      <c r="BO53" s="90"/>
      <c r="BP53" s="90"/>
      <c r="BQ53" s="90"/>
      <c r="BR53" s="95"/>
      <c r="BS53" s="90"/>
      <c r="BT53" s="90"/>
      <c r="BU53" s="90"/>
      <c r="BV53" s="90"/>
      <c r="BW53" s="90"/>
      <c r="BX53" s="90"/>
      <c r="BY53" s="90"/>
      <c r="BZ53" s="90"/>
      <c r="CA53" s="90"/>
      <c r="CB53" s="90"/>
      <c r="CC53" s="91"/>
      <c r="CD53" s="90"/>
      <c r="CE53" s="91"/>
      <c r="CF53" s="90"/>
      <c r="CG53" s="91"/>
      <c r="CH53" s="90"/>
      <c r="CI53" s="91"/>
      <c r="CJ53" s="90"/>
      <c r="CK53" s="91"/>
      <c r="CL53" s="90"/>
      <c r="CM53" s="91"/>
      <c r="CN53" s="96"/>
      <c r="CO53" s="91"/>
      <c r="CP53" s="90"/>
      <c r="CQ53" s="90"/>
      <c r="CR53" s="90"/>
      <c r="CS53" s="90"/>
      <c r="CT53" s="91"/>
      <c r="CU53" s="90"/>
      <c r="CV53" s="97"/>
    </row>
    <row r="54" spans="1:100" ht="15" customHeight="1">
      <c r="A54" s="117" t="s">
        <v>1529</v>
      </c>
      <c r="B54" s="118">
        <v>44463</v>
      </c>
      <c r="C54" s="117" t="s">
        <v>1530</v>
      </c>
      <c r="D54" s="117" t="s">
        <v>337</v>
      </c>
      <c r="E54" s="119" t="str">
        <f>LEFT(D54,1)&amp;"moge"</f>
        <v>Amoge</v>
      </c>
      <c r="F54" s="117" t="str">
        <f>LEFT(D54,1)&amp;"hoge"</f>
        <v>Ahoge</v>
      </c>
      <c r="G54" s="117" t="s">
        <v>369</v>
      </c>
      <c r="H54" s="117" t="s">
        <v>1532</v>
      </c>
      <c r="I54" s="117" t="s">
        <v>339</v>
      </c>
      <c r="J54" s="117" t="str">
        <f>LEFT(I54,3)</f>
        <v>VET</v>
      </c>
      <c r="K54" s="117" t="s">
        <v>755</v>
      </c>
      <c r="L54" s="117" t="str">
        <f>LEFT(K54,5)</f>
        <v>VET04</v>
      </c>
      <c r="M54" s="119" t="s">
        <v>346</v>
      </c>
      <c r="N54" s="117" t="s">
        <v>1548</v>
      </c>
      <c r="O54" s="117" t="s">
        <v>1534</v>
      </c>
      <c r="P54" s="117"/>
      <c r="Q54" s="118"/>
      <c r="R54" s="118"/>
      <c r="S54" s="117"/>
      <c r="T54" s="118"/>
      <c r="U54" s="120" t="s">
        <v>295</v>
      </c>
      <c r="V54" s="120" t="s">
        <v>295</v>
      </c>
      <c r="W54" s="121" t="s">
        <v>262</v>
      </c>
      <c r="X54" s="117" t="s">
        <v>1549</v>
      </c>
      <c r="Y54" s="117"/>
      <c r="Z54" s="117"/>
      <c r="AA54" s="117" t="s">
        <v>804</v>
      </c>
      <c r="AB54" s="117" t="s">
        <v>1552</v>
      </c>
      <c r="AC54" s="118">
        <v>44469</v>
      </c>
      <c r="AD54" s="117" t="s">
        <v>349</v>
      </c>
      <c r="AE54" s="117" t="s">
        <v>1543</v>
      </c>
      <c r="AF54" s="90" t="s">
        <v>1104</v>
      </c>
      <c r="AG54" s="90" t="s">
        <v>0</v>
      </c>
      <c r="AH54" s="93" t="s">
        <v>972</v>
      </c>
      <c r="AI54" s="93" t="b">
        <v>0</v>
      </c>
      <c r="AJ54" s="93"/>
      <c r="AK54" s="93" t="b">
        <v>0</v>
      </c>
      <c r="AL54" s="93"/>
      <c r="AM54" s="93" t="b">
        <v>0</v>
      </c>
      <c r="AN54" s="93" t="b">
        <v>0</v>
      </c>
      <c r="AO54" s="93" t="b">
        <v>0</v>
      </c>
      <c r="AP54" s="93" t="b">
        <v>0</v>
      </c>
      <c r="AQ54" s="93" t="b">
        <v>0</v>
      </c>
      <c r="AR54" s="93" t="b">
        <v>0</v>
      </c>
      <c r="AS54" s="93" t="b">
        <v>0</v>
      </c>
      <c r="AT54" s="107" t="s">
        <v>1553</v>
      </c>
      <c r="AU54" s="94">
        <v>9882360</v>
      </c>
      <c r="AV54" s="90" t="s">
        <v>983</v>
      </c>
      <c r="AW54" s="108" t="s">
        <v>1058</v>
      </c>
      <c r="AX54" s="91">
        <v>44537</v>
      </c>
      <c r="AY54" s="108" t="s">
        <v>1133</v>
      </c>
      <c r="AZ54" s="90" t="s">
        <v>8</v>
      </c>
      <c r="BA54" s="90" t="s">
        <v>75</v>
      </c>
      <c r="BB54" s="90" t="s">
        <v>44</v>
      </c>
      <c r="BC54" s="90"/>
      <c r="BD54" s="90" t="s">
        <v>755</v>
      </c>
      <c r="BE54" s="90" t="s">
        <v>1533</v>
      </c>
      <c r="BF54" s="90"/>
      <c r="BG54" s="91"/>
      <c r="BH54" s="93" t="b">
        <v>0</v>
      </c>
      <c r="BI54" s="90"/>
      <c r="BJ54" s="90"/>
      <c r="BK54" s="90" t="s">
        <v>1105</v>
      </c>
      <c r="BL54" s="90" t="s">
        <v>1531</v>
      </c>
      <c r="BM54" s="90"/>
      <c r="BN54" s="90" t="s">
        <v>1540</v>
      </c>
      <c r="BO54" s="90" t="s">
        <v>1541</v>
      </c>
      <c r="BP54" s="90" t="s">
        <v>1106</v>
      </c>
      <c r="BQ54" s="90" t="s">
        <v>1542</v>
      </c>
      <c r="BR54" s="95"/>
      <c r="BS54" s="90" t="s">
        <v>1537</v>
      </c>
      <c r="BT54" s="90" t="s">
        <v>1538</v>
      </c>
      <c r="BU54" s="90" t="s">
        <v>1539</v>
      </c>
      <c r="BV54" s="90"/>
      <c r="BW54" s="90"/>
      <c r="BX54" s="90"/>
      <c r="BY54" s="90"/>
      <c r="BZ54" s="90"/>
      <c r="CA54" s="90"/>
      <c r="CB54" s="90"/>
      <c r="CC54" s="91"/>
      <c r="CD54" s="90"/>
      <c r="CE54" s="91"/>
      <c r="CF54" s="90"/>
      <c r="CG54" s="91"/>
      <c r="CH54" s="90"/>
      <c r="CI54" s="91"/>
      <c r="CJ54" s="90"/>
      <c r="CK54" s="91"/>
      <c r="CL54" s="90"/>
      <c r="CM54" s="91"/>
      <c r="CN54" s="96"/>
      <c r="CO54" s="91"/>
      <c r="CP54" s="90" t="s">
        <v>796</v>
      </c>
      <c r="CQ54" s="90" t="s">
        <v>1535</v>
      </c>
      <c r="CR54" s="90" t="s">
        <v>1536</v>
      </c>
      <c r="CS54" s="90">
        <v>2</v>
      </c>
      <c r="CT54" s="91"/>
      <c r="CU54" s="90" t="s">
        <v>1543</v>
      </c>
      <c r="CV54" s="97"/>
    </row>
    <row r="55" spans="1:100" ht="15" customHeight="1">
      <c r="A55" s="117" t="s">
        <v>1544</v>
      </c>
      <c r="B55" s="118">
        <v>44463</v>
      </c>
      <c r="C55" s="117" t="s">
        <v>1545</v>
      </c>
      <c r="D55" s="117" t="s">
        <v>337</v>
      </c>
      <c r="E55" s="119" t="str">
        <f>LEFT(D55,1)&amp;"moge"</f>
        <v>Amoge</v>
      </c>
      <c r="F55" s="117" t="str">
        <f>LEFT(D55,1)&amp;"hoge"</f>
        <v>Ahoge</v>
      </c>
      <c r="G55" s="117" t="s">
        <v>369</v>
      </c>
      <c r="H55" s="117" t="s">
        <v>1532</v>
      </c>
      <c r="I55" s="117" t="s">
        <v>339</v>
      </c>
      <c r="J55" s="117" t="str">
        <f>LEFT(I55,3)</f>
        <v>VET</v>
      </c>
      <c r="K55" s="117" t="s">
        <v>28</v>
      </c>
      <c r="L55" s="117" t="str">
        <f>LEFT(K55,5)</f>
        <v>VET05</v>
      </c>
      <c r="M55" s="119" t="s">
        <v>346</v>
      </c>
      <c r="N55" s="117" t="s">
        <v>1550</v>
      </c>
      <c r="O55" s="117" t="s">
        <v>1547</v>
      </c>
      <c r="P55" s="117"/>
      <c r="Q55" s="118"/>
      <c r="R55" s="118"/>
      <c r="S55" s="117"/>
      <c r="T55" s="118"/>
      <c r="U55" s="120" t="s">
        <v>295</v>
      </c>
      <c r="V55" s="120" t="s">
        <v>295</v>
      </c>
      <c r="W55" s="121" t="s">
        <v>262</v>
      </c>
      <c r="X55" s="117" t="s">
        <v>1551</v>
      </c>
      <c r="Y55" s="117"/>
      <c r="Z55" s="117"/>
      <c r="AA55" s="117" t="s">
        <v>804</v>
      </c>
      <c r="AB55" s="117" t="s">
        <v>1554</v>
      </c>
      <c r="AC55" s="118">
        <v>44469</v>
      </c>
      <c r="AD55" s="117" t="s">
        <v>349</v>
      </c>
      <c r="AE55" s="117" t="s">
        <v>1543</v>
      </c>
      <c r="AF55" s="90" t="s">
        <v>1104</v>
      </c>
      <c r="AG55" s="90" t="s">
        <v>0</v>
      </c>
      <c r="AH55" s="93" t="s">
        <v>972</v>
      </c>
      <c r="AI55" s="93" t="b">
        <v>0</v>
      </c>
      <c r="AJ55" s="93"/>
      <c r="AK55" s="93" t="b">
        <v>0</v>
      </c>
      <c r="AL55" s="93"/>
      <c r="AM55" s="93" t="b">
        <v>0</v>
      </c>
      <c r="AN55" s="93" t="b">
        <v>0</v>
      </c>
      <c r="AO55" s="93" t="b">
        <v>0</v>
      </c>
      <c r="AP55" s="93" t="b">
        <v>0</v>
      </c>
      <c r="AQ55" s="93" t="b">
        <v>0</v>
      </c>
      <c r="AR55" s="93" t="b">
        <v>0</v>
      </c>
      <c r="AS55" s="93" t="b">
        <v>0</v>
      </c>
      <c r="AT55" s="107" t="s">
        <v>1555</v>
      </c>
      <c r="AU55" s="94">
        <v>9882360</v>
      </c>
      <c r="AV55" s="90" t="s">
        <v>983</v>
      </c>
      <c r="AW55" s="108" t="s">
        <v>1058</v>
      </c>
      <c r="AX55" s="91">
        <v>44537</v>
      </c>
      <c r="AY55" s="108" t="s">
        <v>1133</v>
      </c>
      <c r="AZ55" s="90" t="s">
        <v>11</v>
      </c>
      <c r="BA55" s="90" t="s">
        <v>81</v>
      </c>
      <c r="BB55" s="90" t="s">
        <v>35</v>
      </c>
      <c r="BC55" s="90"/>
      <c r="BD55" s="90" t="s">
        <v>28</v>
      </c>
      <c r="BE55" s="90" t="s">
        <v>1546</v>
      </c>
      <c r="BF55" s="90"/>
      <c r="BG55" s="91"/>
      <c r="BH55" s="93" t="b">
        <v>0</v>
      </c>
      <c r="BI55" s="90"/>
      <c r="BJ55" s="90"/>
      <c r="BK55" s="90" t="s">
        <v>1105</v>
      </c>
      <c r="BL55" s="90" t="s">
        <v>1531</v>
      </c>
      <c r="BM55" s="90"/>
      <c r="BN55" s="90" t="s">
        <v>1540</v>
      </c>
      <c r="BO55" s="90" t="s">
        <v>1541</v>
      </c>
      <c r="BP55" s="90" t="s">
        <v>1106</v>
      </c>
      <c r="BQ55" s="90" t="s">
        <v>1542</v>
      </c>
      <c r="BR55" s="95"/>
      <c r="BS55" s="90" t="s">
        <v>1537</v>
      </c>
      <c r="BT55" s="90" t="s">
        <v>1538</v>
      </c>
      <c r="BU55" s="90" t="s">
        <v>1539</v>
      </c>
      <c r="BV55" s="90"/>
      <c r="BW55" s="90"/>
      <c r="BX55" s="90"/>
      <c r="BY55" s="90"/>
      <c r="BZ55" s="90"/>
      <c r="CA55" s="90"/>
      <c r="CB55" s="90"/>
      <c r="CC55" s="91"/>
      <c r="CD55" s="90"/>
      <c r="CE55" s="91"/>
      <c r="CF55" s="90"/>
      <c r="CG55" s="91"/>
      <c r="CH55" s="90"/>
      <c r="CI55" s="91"/>
      <c r="CJ55" s="90"/>
      <c r="CK55" s="91"/>
      <c r="CL55" s="90"/>
      <c r="CM55" s="91"/>
      <c r="CN55" s="96"/>
      <c r="CO55" s="91"/>
      <c r="CP55" s="90" t="s">
        <v>796</v>
      </c>
      <c r="CQ55" s="90" t="s">
        <v>1535</v>
      </c>
      <c r="CR55" s="90" t="s">
        <v>1536</v>
      </c>
      <c r="CS55" s="90">
        <v>8</v>
      </c>
      <c r="CT55" s="91"/>
      <c r="CU55" s="90" t="s">
        <v>1543</v>
      </c>
      <c r="CV55" s="97"/>
    </row>
    <row r="56" spans="1:100" ht="15" customHeight="1">
      <c r="A56" s="117" t="s">
        <v>1557</v>
      </c>
      <c r="B56" s="118">
        <v>44508</v>
      </c>
      <c r="C56" s="117" t="s">
        <v>1575</v>
      </c>
      <c r="D56" s="117" t="s">
        <v>364</v>
      </c>
      <c r="E56" s="119" t="str">
        <f>LEFT(D56,1)&amp;"moge"</f>
        <v>Fmoge</v>
      </c>
      <c r="F56" s="117" t="str">
        <f>LEFT(D56,1)&amp;"hoge"</f>
        <v>Fhoge</v>
      </c>
      <c r="G56" s="117" t="s">
        <v>390</v>
      </c>
      <c r="H56" s="117" t="s">
        <v>1559</v>
      </c>
      <c r="I56" s="117" t="s">
        <v>17</v>
      </c>
      <c r="J56" s="117" t="str">
        <f>LEFT(I56,3)</f>
        <v>AEQ</v>
      </c>
      <c r="K56" s="117" t="s">
        <v>133</v>
      </c>
      <c r="L56" s="117" t="str">
        <f>LEFT(K56,5)</f>
        <v>AEQ20</v>
      </c>
      <c r="M56" s="119" t="s">
        <v>346</v>
      </c>
      <c r="N56" s="117" t="s">
        <v>1560</v>
      </c>
      <c r="O56" s="117" t="s">
        <v>1561</v>
      </c>
      <c r="P56" s="117" t="s">
        <v>1562</v>
      </c>
      <c r="Q56" s="118">
        <v>44509</v>
      </c>
      <c r="R56" s="118">
        <v>44598</v>
      </c>
      <c r="S56" s="117" t="s">
        <v>1563</v>
      </c>
      <c r="T56" s="118">
        <v>44542</v>
      </c>
      <c r="U56" s="120" t="s">
        <v>295</v>
      </c>
      <c r="V56" s="120" t="s">
        <v>295</v>
      </c>
      <c r="W56" s="121" t="s">
        <v>262</v>
      </c>
      <c r="X56" s="117" t="s">
        <v>1570</v>
      </c>
      <c r="Y56" s="117"/>
      <c r="Z56" s="117"/>
      <c r="AA56" s="117" t="s">
        <v>3</v>
      </c>
      <c r="AB56" s="117" t="s">
        <v>1571</v>
      </c>
      <c r="AC56" s="118">
        <v>44542</v>
      </c>
      <c r="AD56" s="117" t="s">
        <v>349</v>
      </c>
      <c r="AE56" s="117" t="s">
        <v>1127</v>
      </c>
      <c r="AF56" s="90" t="s">
        <v>1104</v>
      </c>
      <c r="AG56" s="90" t="s">
        <v>0</v>
      </c>
      <c r="AH56" s="93" t="s">
        <v>972</v>
      </c>
      <c r="AI56" s="93" t="b">
        <v>0</v>
      </c>
      <c r="AJ56" s="93"/>
      <c r="AK56" s="93" t="b">
        <v>0</v>
      </c>
      <c r="AL56" s="93"/>
      <c r="AM56" s="93" t="b">
        <v>1</v>
      </c>
      <c r="AN56" s="93" t="b">
        <v>0</v>
      </c>
      <c r="AO56" s="93" t="b">
        <v>0</v>
      </c>
      <c r="AP56" s="93" t="b">
        <v>0</v>
      </c>
      <c r="AQ56" s="93" t="b">
        <v>0</v>
      </c>
      <c r="AR56" s="93" t="b">
        <v>0</v>
      </c>
      <c r="AS56" s="93" t="b">
        <v>0</v>
      </c>
      <c r="AT56" s="107" t="s">
        <v>1572</v>
      </c>
      <c r="AU56" s="94">
        <v>9882360</v>
      </c>
      <c r="AV56" s="90" t="s">
        <v>983</v>
      </c>
      <c r="AW56" s="108" t="s">
        <v>1058</v>
      </c>
      <c r="AX56" s="91">
        <v>44567</v>
      </c>
      <c r="AY56" s="108" t="s">
        <v>1133</v>
      </c>
      <c r="AZ56" s="90" t="s">
        <v>17</v>
      </c>
      <c r="BA56" s="90" t="s">
        <v>133</v>
      </c>
      <c r="BB56" s="90" t="s">
        <v>43</v>
      </c>
      <c r="BC56" s="90"/>
      <c r="BD56" s="90" t="s">
        <v>756</v>
      </c>
      <c r="BE56" s="90"/>
      <c r="BF56" s="90"/>
      <c r="BG56" s="91"/>
      <c r="BH56" s="93" t="b">
        <v>0</v>
      </c>
      <c r="BI56" s="90" t="s">
        <v>1564</v>
      </c>
      <c r="BJ56" s="90"/>
      <c r="BK56" s="90" t="s">
        <v>1105</v>
      </c>
      <c r="BL56" s="90"/>
      <c r="BM56" s="90"/>
      <c r="BN56" s="90"/>
      <c r="BO56" s="90"/>
      <c r="BP56" s="90"/>
      <c r="BQ56" s="90"/>
      <c r="BR56" s="95"/>
      <c r="BS56" s="90"/>
      <c r="BT56" s="90"/>
      <c r="BU56" s="90"/>
      <c r="BV56" s="90"/>
      <c r="BW56" s="90"/>
      <c r="BX56" s="90"/>
      <c r="BY56" s="90"/>
      <c r="BZ56" s="90"/>
      <c r="CA56" s="90"/>
      <c r="CB56" s="90"/>
      <c r="CC56" s="91"/>
      <c r="CD56" s="90"/>
      <c r="CE56" s="91"/>
      <c r="CF56" s="90"/>
      <c r="CG56" s="91"/>
      <c r="CH56" s="90"/>
      <c r="CI56" s="91"/>
      <c r="CJ56" s="90"/>
      <c r="CK56" s="91"/>
      <c r="CL56" s="90"/>
      <c r="CM56" s="91"/>
      <c r="CN56" s="96"/>
      <c r="CO56" s="91"/>
      <c r="CP56" s="90"/>
      <c r="CQ56" s="90"/>
      <c r="CR56" s="90"/>
      <c r="CS56" s="90"/>
      <c r="CT56" s="91"/>
      <c r="CU56" s="90"/>
      <c r="CV56" s="97"/>
    </row>
    <row r="57" spans="1:100" ht="15" customHeight="1">
      <c r="A57" s="109" t="s">
        <v>1060</v>
      </c>
      <c r="AG57" s="14"/>
      <c r="AH57" s="12"/>
      <c r="AI57" s="12"/>
      <c r="AJ57" s="12"/>
      <c r="AK57" s="12"/>
      <c r="AL57" s="12"/>
      <c r="AM57" s="12"/>
      <c r="AN57" s="12"/>
      <c r="AO57" s="12"/>
      <c r="AP57" s="12"/>
      <c r="AQ57" s="12"/>
      <c r="AR57" s="12"/>
      <c r="AS57" s="12"/>
      <c r="AT57" s="12"/>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3</xdr:col>
                <xdr:colOff>0</xdr:colOff>
                <xdr:row>0</xdr:row>
                <xdr:rowOff>222250</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1543050</xdr:colOff>
                <xdr:row>2</xdr:row>
                <xdr:rowOff>203200</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autoPict="0" r:id="rId9">
            <anchor moveWithCells="1">
              <from>
                <xdr:col>10</xdr:col>
                <xdr:colOff>1638300</xdr:colOff>
                <xdr:row>3</xdr:row>
                <xdr:rowOff>31750</xdr:rowOff>
              </from>
              <to>
                <xdr:col>13</xdr:col>
                <xdr:colOff>393700</xdr:colOff>
                <xdr:row>4</xdr:row>
                <xdr:rowOff>190500</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r:id="rId11">
            <anchor moveWithCells="1">
              <from>
                <xdr:col>10</xdr:col>
                <xdr:colOff>19050</xdr:colOff>
                <xdr:row>3</xdr:row>
                <xdr:rowOff>38100</xdr:rowOff>
              </from>
              <to>
                <xdr:col>10</xdr:col>
                <xdr:colOff>1593850</xdr:colOff>
                <xdr:row>4</xdr:row>
                <xdr:rowOff>203200</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autoPict="0" r:id="rId13">
            <anchor moveWithCells="1">
              <from>
                <xdr:col>2</xdr:col>
                <xdr:colOff>1390650</xdr:colOff>
                <xdr:row>0</xdr:row>
                <xdr:rowOff>69850</xdr:rowOff>
              </from>
              <to>
                <xdr:col>3</xdr:col>
                <xdr:colOff>336550</xdr:colOff>
                <xdr:row>0</xdr:row>
                <xdr:rowOff>152400</xdr:rowOff>
              </to>
            </anchor>
          </controlPr>
        </control>
      </mc:Choice>
      <mc:Fallback>
        <control shapeId="8294" r:id="rId12"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50"/>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8" t="s">
        <v>855</v>
      </c>
      <c r="BM1" s="18" t="s">
        <v>856</v>
      </c>
      <c r="BN1" s="18" t="s">
        <v>880</v>
      </c>
      <c r="BO1" s="18" t="s">
        <v>881</v>
      </c>
      <c r="BP1" s="18" t="s">
        <v>961</v>
      </c>
      <c r="BQ1" s="18" t="s">
        <v>882</v>
      </c>
      <c r="BR1" s="18" t="s">
        <v>883</v>
      </c>
      <c r="BS1" s="18" t="s">
        <v>884</v>
      </c>
      <c r="BT1" s="18" t="s">
        <v>885</v>
      </c>
      <c r="BU1" s="18" t="s">
        <v>962</v>
      </c>
      <c r="BV1" s="18" t="s">
        <v>886</v>
      </c>
      <c r="BW1" s="18" t="s">
        <v>887</v>
      </c>
      <c r="BX1" s="18" t="s">
        <v>889</v>
      </c>
      <c r="BY1" s="18" t="s">
        <v>888</v>
      </c>
      <c r="BZ1" s="18" t="s">
        <v>860</v>
      </c>
      <c r="CA1" s="18" t="s">
        <v>861</v>
      </c>
      <c r="CB1" s="18" t="s">
        <v>857</v>
      </c>
      <c r="CC1" s="22" t="s">
        <v>859</v>
      </c>
      <c r="CD1" s="18" t="s">
        <v>862</v>
      </c>
      <c r="CE1" s="18" t="s">
        <v>863</v>
      </c>
      <c r="CF1" s="18" t="s">
        <v>864</v>
      </c>
      <c r="CG1" s="18" t="s">
        <v>865</v>
      </c>
      <c r="CH1" s="18" t="s">
        <v>866</v>
      </c>
      <c r="CI1" s="18" t="s">
        <v>867</v>
      </c>
      <c r="CJ1" s="18" t="s">
        <v>868</v>
      </c>
      <c r="CK1" s="18" t="s">
        <v>869</v>
      </c>
      <c r="CL1" s="18" t="s">
        <v>870</v>
      </c>
      <c r="CM1" s="18" t="s">
        <v>871</v>
      </c>
      <c r="CN1" s="18" t="s">
        <v>858</v>
      </c>
      <c r="CO1" s="18" t="s">
        <v>872</v>
      </c>
      <c r="CP1" s="18" t="s">
        <v>873</v>
      </c>
      <c r="CQ1" s="18" t="s">
        <v>874</v>
      </c>
      <c r="CR1" s="18" t="s">
        <v>875</v>
      </c>
      <c r="CS1" s="18" t="s">
        <v>876</v>
      </c>
      <c r="CT1" s="18" t="s">
        <v>877</v>
      </c>
      <c r="CU1" s="18" t="s">
        <v>878</v>
      </c>
      <c r="CV1" s="18" t="s">
        <v>879</v>
      </c>
    </row>
    <row r="2" spans="1:100">
      <c r="A2" t="s">
        <v>1135</v>
      </c>
      <c r="B2" s="123">
        <v>44214</v>
      </c>
      <c r="C2" t="s">
        <v>1134</v>
      </c>
      <c r="D2" t="s">
        <v>337</v>
      </c>
      <c r="E2" t="s">
        <v>1101</v>
      </c>
      <c r="F2" t="s">
        <v>1102</v>
      </c>
      <c r="G2" t="s">
        <v>338</v>
      </c>
      <c r="H2" t="s">
        <v>1136</v>
      </c>
      <c r="I2" t="s">
        <v>339</v>
      </c>
      <c r="J2" t="s">
        <v>1103</v>
      </c>
      <c r="K2" t="s">
        <v>801</v>
      </c>
      <c r="L2" t="s">
        <v>1137</v>
      </c>
      <c r="M2" t="s">
        <v>346</v>
      </c>
      <c r="N2" t="s">
        <v>1138</v>
      </c>
      <c r="O2" t="s">
        <v>262</v>
      </c>
      <c r="P2" t="s">
        <v>262</v>
      </c>
      <c r="Q2" s="123"/>
      <c r="R2" s="123">
        <v>44214</v>
      </c>
      <c r="S2" t="s">
        <v>262</v>
      </c>
      <c r="T2" s="123"/>
      <c r="U2">
        <v>0</v>
      </c>
      <c r="V2">
        <v>0</v>
      </c>
      <c r="W2" t="s">
        <v>262</v>
      </c>
      <c r="X2" t="s">
        <v>1109</v>
      </c>
      <c r="AA2" t="s">
        <v>5</v>
      </c>
      <c r="AB2" t="s">
        <v>262</v>
      </c>
      <c r="AC2" s="123">
        <v>44214</v>
      </c>
      <c r="AD2" t="s">
        <v>349</v>
      </c>
      <c r="AE2" t="s">
        <v>1139</v>
      </c>
      <c r="AF2" t="s">
        <v>1104</v>
      </c>
      <c r="AG2" t="s">
        <v>0</v>
      </c>
      <c r="AH2">
        <v>1</v>
      </c>
      <c r="AI2" t="b">
        <v>0</v>
      </c>
      <c r="AK2" t="b">
        <v>0</v>
      </c>
      <c r="AM2" t="b">
        <v>0</v>
      </c>
      <c r="AN2" t="b">
        <v>0</v>
      </c>
      <c r="AO2" t="b">
        <v>0</v>
      </c>
      <c r="AP2" t="b">
        <v>0</v>
      </c>
      <c r="AQ2" t="b">
        <v>0</v>
      </c>
      <c r="AR2" t="b">
        <v>0</v>
      </c>
      <c r="AS2" t="b">
        <v>0</v>
      </c>
      <c r="AT2" t="s">
        <v>1141</v>
      </c>
      <c r="AU2">
        <v>9882360</v>
      </c>
      <c r="AV2" t="s">
        <v>983</v>
      </c>
      <c r="AW2" t="s">
        <v>1058</v>
      </c>
      <c r="AX2" s="123">
        <v>44509</v>
      </c>
      <c r="AY2" t="s">
        <v>1133</v>
      </c>
      <c r="BB2" t="s">
        <v>402</v>
      </c>
      <c r="BD2" t="s">
        <v>801</v>
      </c>
      <c r="BG2" s="123"/>
      <c r="BH2" t="b">
        <v>0</v>
      </c>
      <c r="BK2" t="s">
        <v>1105</v>
      </c>
      <c r="BL2" t="s">
        <v>1140</v>
      </c>
      <c r="CC2" s="123"/>
      <c r="CE2" s="123"/>
      <c r="CG2" s="123"/>
      <c r="CI2" s="123"/>
      <c r="CK2" s="123"/>
      <c r="CM2" s="123"/>
      <c r="CO2" s="123"/>
      <c r="CP2" t="s">
        <v>775</v>
      </c>
      <c r="CR2" t="s">
        <v>1108</v>
      </c>
      <c r="CT2" s="123"/>
      <c r="CU2" t="s">
        <v>1139</v>
      </c>
      <c r="CV2" s="123"/>
    </row>
    <row r="3" spans="1:100">
      <c r="A3" t="s">
        <v>1143</v>
      </c>
      <c r="B3" s="123">
        <v>44295</v>
      </c>
      <c r="C3" t="s">
        <v>1142</v>
      </c>
      <c r="D3" t="s">
        <v>358</v>
      </c>
      <c r="E3" t="s">
        <v>1110</v>
      </c>
      <c r="F3" t="s">
        <v>1111</v>
      </c>
      <c r="G3" t="s">
        <v>377</v>
      </c>
      <c r="I3" t="s">
        <v>360</v>
      </c>
      <c r="J3" t="s">
        <v>1112</v>
      </c>
      <c r="K3" t="s">
        <v>402</v>
      </c>
      <c r="L3" t="s">
        <v>1113</v>
      </c>
      <c r="M3" t="s">
        <v>346</v>
      </c>
      <c r="N3" t="s">
        <v>1114</v>
      </c>
      <c r="O3" t="s">
        <v>262</v>
      </c>
      <c r="P3" t="s">
        <v>262</v>
      </c>
      <c r="Q3" s="123"/>
      <c r="R3" s="123">
        <v>44295</v>
      </c>
      <c r="T3" s="123"/>
      <c r="U3">
        <v>0</v>
      </c>
      <c r="V3">
        <v>0</v>
      </c>
      <c r="W3" t="s">
        <v>262</v>
      </c>
      <c r="X3" t="s">
        <v>1109</v>
      </c>
      <c r="AB3" t="s">
        <v>262</v>
      </c>
      <c r="AC3" s="123">
        <v>44295</v>
      </c>
      <c r="AD3" t="s">
        <v>349</v>
      </c>
      <c r="AE3" t="s">
        <v>1144</v>
      </c>
      <c r="AF3" t="s">
        <v>1104</v>
      </c>
      <c r="AG3" t="s">
        <v>0</v>
      </c>
      <c r="AH3">
        <v>1</v>
      </c>
      <c r="AI3" t="b">
        <v>0</v>
      </c>
      <c r="AK3" t="b">
        <v>0</v>
      </c>
      <c r="AM3" t="b">
        <v>0</v>
      </c>
      <c r="AN3" t="b">
        <v>0</v>
      </c>
      <c r="AO3" t="b">
        <v>0</v>
      </c>
      <c r="AP3" t="b">
        <v>0</v>
      </c>
      <c r="AQ3" t="b">
        <v>0</v>
      </c>
      <c r="AR3" t="b">
        <v>0</v>
      </c>
      <c r="AS3" t="b">
        <v>0</v>
      </c>
      <c r="AT3" t="s">
        <v>1150</v>
      </c>
      <c r="AU3">
        <v>9882360</v>
      </c>
      <c r="AV3" t="s">
        <v>983</v>
      </c>
      <c r="AW3" t="s">
        <v>1058</v>
      </c>
      <c r="AX3" s="123">
        <v>44509</v>
      </c>
      <c r="AY3" t="s">
        <v>1133</v>
      </c>
      <c r="BB3" t="s">
        <v>402</v>
      </c>
      <c r="BC3" t="s">
        <v>262</v>
      </c>
      <c r="BD3" t="s">
        <v>801</v>
      </c>
      <c r="BG3" s="123"/>
      <c r="BH3" t="b">
        <v>0</v>
      </c>
      <c r="BK3" t="s">
        <v>1105</v>
      </c>
      <c r="BL3" t="s">
        <v>1145</v>
      </c>
      <c r="BM3" t="s">
        <v>842</v>
      </c>
      <c r="BN3" t="s">
        <v>1115</v>
      </c>
      <c r="BO3" t="s">
        <v>1146</v>
      </c>
      <c r="BP3" t="s">
        <v>1116</v>
      </c>
      <c r="BQ3" t="s">
        <v>1117</v>
      </c>
      <c r="BR3" s="122">
        <v>145.51297453703702</v>
      </c>
      <c r="BS3" t="s">
        <v>1147</v>
      </c>
      <c r="BT3" t="s">
        <v>1148</v>
      </c>
      <c r="BU3" t="s">
        <v>1149</v>
      </c>
      <c r="BV3" t="s">
        <v>1118</v>
      </c>
      <c r="BW3" t="s">
        <v>1119</v>
      </c>
      <c r="BX3" t="s">
        <v>1120</v>
      </c>
      <c r="BY3" t="s">
        <v>1121</v>
      </c>
      <c r="BZ3" t="s">
        <v>346</v>
      </c>
      <c r="CA3" t="s">
        <v>341</v>
      </c>
      <c r="CB3" t="s">
        <v>1144</v>
      </c>
      <c r="CC3" s="123"/>
      <c r="CD3" t="s">
        <v>341</v>
      </c>
      <c r="CE3" s="123">
        <v>44295</v>
      </c>
      <c r="CF3" t="s">
        <v>341</v>
      </c>
      <c r="CG3" s="123">
        <v>44295</v>
      </c>
      <c r="CH3" t="s">
        <v>262</v>
      </c>
      <c r="CI3" s="123"/>
      <c r="CJ3" t="s">
        <v>262</v>
      </c>
      <c r="CK3" s="123"/>
      <c r="CL3" t="s">
        <v>262</v>
      </c>
      <c r="CM3" s="123"/>
      <c r="CN3" t="s">
        <v>341</v>
      </c>
      <c r="CO3" s="123">
        <v>44295</v>
      </c>
      <c r="CT3" s="123"/>
      <c r="CV3" s="123"/>
    </row>
    <row r="4" spans="1:100" ht="409.5">
      <c r="A4" t="s">
        <v>1152</v>
      </c>
      <c r="B4" s="123">
        <v>44300</v>
      </c>
      <c r="C4" t="s">
        <v>1151</v>
      </c>
      <c r="D4" t="s">
        <v>361</v>
      </c>
      <c r="E4" t="s">
        <v>1153</v>
      </c>
      <c r="F4" t="s">
        <v>1154</v>
      </c>
      <c r="G4" t="s">
        <v>385</v>
      </c>
      <c r="H4" t="s">
        <v>1155</v>
      </c>
      <c r="I4" t="s">
        <v>363</v>
      </c>
      <c r="J4" t="s">
        <v>1156</v>
      </c>
      <c r="K4" t="s">
        <v>427</v>
      </c>
      <c r="L4" t="s">
        <v>1157</v>
      </c>
      <c r="M4" t="s">
        <v>346</v>
      </c>
      <c r="N4" t="s">
        <v>1158</v>
      </c>
      <c r="O4" t="s">
        <v>1159</v>
      </c>
      <c r="P4" s="99" t="s">
        <v>1160</v>
      </c>
      <c r="Q4" s="123">
        <v>44297</v>
      </c>
      <c r="R4" s="123">
        <v>44391</v>
      </c>
      <c r="S4" s="99" t="s">
        <v>1161</v>
      </c>
      <c r="T4" s="123">
        <v>44300</v>
      </c>
      <c r="U4">
        <v>0</v>
      </c>
      <c r="V4">
        <v>0</v>
      </c>
      <c r="W4" t="s">
        <v>262</v>
      </c>
      <c r="X4" t="s">
        <v>1162</v>
      </c>
      <c r="AA4" t="s">
        <v>3</v>
      </c>
      <c r="AB4" t="s">
        <v>1163</v>
      </c>
      <c r="AC4" s="123">
        <v>44300</v>
      </c>
      <c r="AD4" t="s">
        <v>349</v>
      </c>
      <c r="AE4" t="s">
        <v>1127</v>
      </c>
      <c r="AF4" t="s">
        <v>1104</v>
      </c>
      <c r="AG4" t="s">
        <v>0</v>
      </c>
      <c r="AH4">
        <v>1</v>
      </c>
      <c r="AI4" t="b">
        <v>0</v>
      </c>
      <c r="AK4" t="b">
        <v>0</v>
      </c>
      <c r="AM4" t="b">
        <v>0</v>
      </c>
      <c r="AN4" t="b">
        <v>0</v>
      </c>
      <c r="AO4" t="b">
        <v>0</v>
      </c>
      <c r="AP4" t="b">
        <v>0</v>
      </c>
      <c r="AQ4" t="b">
        <v>0</v>
      </c>
      <c r="AR4" t="b">
        <v>0</v>
      </c>
      <c r="AS4" t="b">
        <v>0</v>
      </c>
      <c r="AT4" t="s">
        <v>1164</v>
      </c>
      <c r="AU4">
        <v>9882360</v>
      </c>
      <c r="AV4" t="s">
        <v>983</v>
      </c>
      <c r="AW4" t="s">
        <v>1058</v>
      </c>
      <c r="AX4" s="123">
        <v>44509</v>
      </c>
      <c r="AY4" t="s">
        <v>1133</v>
      </c>
      <c r="AZ4" t="s">
        <v>13</v>
      </c>
      <c r="BA4" t="s">
        <v>83</v>
      </c>
      <c r="BB4" t="s">
        <v>32</v>
      </c>
      <c r="BD4" t="s">
        <v>27</v>
      </c>
      <c r="BG4" s="123"/>
      <c r="BH4" t="b">
        <v>0</v>
      </c>
      <c r="BK4" t="s">
        <v>1105</v>
      </c>
      <c r="CC4" s="123"/>
      <c r="CE4" s="123"/>
      <c r="CG4" s="123"/>
      <c r="CI4" s="123"/>
      <c r="CK4" s="123"/>
      <c r="CM4" s="123"/>
      <c r="CO4" s="123"/>
      <c r="CT4" s="123"/>
      <c r="CV4" s="123"/>
    </row>
    <row r="5" spans="1:100" ht="409.5">
      <c r="A5" t="s">
        <v>1166</v>
      </c>
      <c r="B5" s="123">
        <v>44307</v>
      </c>
      <c r="C5" t="s">
        <v>1165</v>
      </c>
      <c r="D5" t="s">
        <v>337</v>
      </c>
      <c r="E5" t="s">
        <v>1101</v>
      </c>
      <c r="F5" t="s">
        <v>1102</v>
      </c>
      <c r="G5" t="s">
        <v>370</v>
      </c>
      <c r="H5" t="s">
        <v>1167</v>
      </c>
      <c r="I5" t="s">
        <v>339</v>
      </c>
      <c r="J5" t="s">
        <v>1103</v>
      </c>
      <c r="K5" t="s">
        <v>28</v>
      </c>
      <c r="L5" t="s">
        <v>1168</v>
      </c>
      <c r="M5" t="s">
        <v>346</v>
      </c>
      <c r="N5" s="99" t="s">
        <v>1169</v>
      </c>
      <c r="O5" t="s">
        <v>1170</v>
      </c>
      <c r="Q5" s="123"/>
      <c r="R5" s="123"/>
      <c r="T5" s="123"/>
      <c r="U5">
        <v>0</v>
      </c>
      <c r="V5">
        <v>0</v>
      </c>
      <c r="W5" t="s">
        <v>262</v>
      </c>
      <c r="X5" s="99" t="s">
        <v>1171</v>
      </c>
      <c r="AA5" t="s">
        <v>2</v>
      </c>
      <c r="AB5" t="s">
        <v>1172</v>
      </c>
      <c r="AC5" s="123">
        <v>44340</v>
      </c>
      <c r="AD5" t="s">
        <v>349</v>
      </c>
      <c r="AE5" t="s">
        <v>1139</v>
      </c>
      <c r="AF5" t="s">
        <v>1104</v>
      </c>
      <c r="AG5" t="s">
        <v>0</v>
      </c>
      <c r="AH5">
        <v>1</v>
      </c>
      <c r="AI5" t="b">
        <v>0</v>
      </c>
      <c r="AK5" t="b">
        <v>0</v>
      </c>
      <c r="AM5" t="b">
        <v>0</v>
      </c>
      <c r="AN5" t="b">
        <v>0</v>
      </c>
      <c r="AO5" t="b">
        <v>0</v>
      </c>
      <c r="AP5" t="b">
        <v>0</v>
      </c>
      <c r="AQ5" t="b">
        <v>0</v>
      </c>
      <c r="AR5" t="b">
        <v>0</v>
      </c>
      <c r="AS5" t="b">
        <v>0</v>
      </c>
      <c r="AT5" t="s">
        <v>1178</v>
      </c>
      <c r="AU5">
        <v>9882360</v>
      </c>
      <c r="AV5" t="s">
        <v>983</v>
      </c>
      <c r="AW5" t="s">
        <v>1058</v>
      </c>
      <c r="AX5" s="123">
        <v>44509</v>
      </c>
      <c r="AY5" t="s">
        <v>1133</v>
      </c>
      <c r="AZ5" t="s">
        <v>12</v>
      </c>
      <c r="BA5" t="s">
        <v>177</v>
      </c>
      <c r="BB5" t="s">
        <v>36</v>
      </c>
      <c r="BD5" t="s">
        <v>28</v>
      </c>
      <c r="BE5">
        <v>5.43</v>
      </c>
      <c r="BG5" s="123"/>
      <c r="BH5" t="b">
        <v>0</v>
      </c>
      <c r="BK5" t="s">
        <v>1105</v>
      </c>
      <c r="BL5" t="s">
        <v>1174</v>
      </c>
      <c r="BN5" t="s">
        <v>1115</v>
      </c>
      <c r="BO5" t="s">
        <v>1175</v>
      </c>
      <c r="BP5" t="s">
        <v>1106</v>
      </c>
      <c r="BQ5" t="s">
        <v>1176</v>
      </c>
      <c r="BS5" t="s">
        <v>1177</v>
      </c>
      <c r="BT5" t="s">
        <v>1107</v>
      </c>
      <c r="BU5" t="s">
        <v>1149</v>
      </c>
      <c r="CC5" s="123"/>
      <c r="CE5" s="123"/>
      <c r="CG5" s="123"/>
      <c r="CI5" s="123"/>
      <c r="CK5" s="123"/>
      <c r="CM5" s="123"/>
      <c r="CO5" s="123"/>
      <c r="CP5" t="s">
        <v>765</v>
      </c>
      <c r="CS5">
        <v>8</v>
      </c>
      <c r="CT5" s="123">
        <v>44328</v>
      </c>
      <c r="CU5" t="s">
        <v>1139</v>
      </c>
      <c r="CV5" s="123">
        <v>44328</v>
      </c>
    </row>
    <row r="6" spans="1:100" ht="409.5">
      <c r="A6" t="s">
        <v>1180</v>
      </c>
      <c r="B6" s="123">
        <v>44336</v>
      </c>
      <c r="C6" t="s">
        <v>1179</v>
      </c>
      <c r="D6" t="s">
        <v>364</v>
      </c>
      <c r="E6" t="s">
        <v>1131</v>
      </c>
      <c r="F6" t="s">
        <v>1132</v>
      </c>
      <c r="G6" t="s">
        <v>390</v>
      </c>
      <c r="H6" t="s">
        <v>1181</v>
      </c>
      <c r="I6" t="s">
        <v>17</v>
      </c>
      <c r="J6" t="s">
        <v>1182</v>
      </c>
      <c r="K6" t="s">
        <v>126</v>
      </c>
      <c r="L6" t="s">
        <v>1183</v>
      </c>
      <c r="M6" t="s">
        <v>346</v>
      </c>
      <c r="N6" s="99" t="s">
        <v>1184</v>
      </c>
      <c r="O6" t="s">
        <v>1185</v>
      </c>
      <c r="P6" t="s">
        <v>1186</v>
      </c>
      <c r="Q6" s="123">
        <v>44338</v>
      </c>
      <c r="R6" s="123">
        <v>44396</v>
      </c>
      <c r="S6" t="s">
        <v>1187</v>
      </c>
      <c r="T6" s="123">
        <v>44352</v>
      </c>
      <c r="U6">
        <v>0</v>
      </c>
      <c r="V6">
        <v>0</v>
      </c>
      <c r="W6" t="s">
        <v>262</v>
      </c>
      <c r="X6" t="s">
        <v>1188</v>
      </c>
      <c r="AA6" t="s">
        <v>4</v>
      </c>
      <c r="AB6" t="s">
        <v>1189</v>
      </c>
      <c r="AC6" s="123">
        <v>44352</v>
      </c>
      <c r="AD6" t="s">
        <v>349</v>
      </c>
      <c r="AE6" t="s">
        <v>1127</v>
      </c>
      <c r="AF6" t="s">
        <v>1104</v>
      </c>
      <c r="AG6" t="s">
        <v>0</v>
      </c>
      <c r="AH6">
        <v>2</v>
      </c>
      <c r="AI6" t="b">
        <v>0</v>
      </c>
      <c r="AK6" t="b">
        <v>0</v>
      </c>
      <c r="AM6" t="b">
        <v>1</v>
      </c>
      <c r="AN6" t="b">
        <v>0</v>
      </c>
      <c r="AO6" t="b">
        <v>0</v>
      </c>
      <c r="AP6" t="b">
        <v>0</v>
      </c>
      <c r="AQ6" t="b">
        <v>1</v>
      </c>
      <c r="AR6" t="b">
        <v>1</v>
      </c>
      <c r="AS6" t="b">
        <v>0</v>
      </c>
      <c r="AT6" t="s">
        <v>1192</v>
      </c>
      <c r="AU6">
        <v>9882360</v>
      </c>
      <c r="AV6" t="s">
        <v>983</v>
      </c>
      <c r="AW6" t="s">
        <v>1058</v>
      </c>
      <c r="AX6" s="123">
        <v>44509</v>
      </c>
      <c r="AY6" t="s">
        <v>1133</v>
      </c>
      <c r="AZ6" t="s">
        <v>17</v>
      </c>
      <c r="BA6" t="s">
        <v>126</v>
      </c>
      <c r="BB6" t="s">
        <v>43</v>
      </c>
      <c r="BD6" t="s">
        <v>756</v>
      </c>
      <c r="BG6" s="123"/>
      <c r="BH6" t="b">
        <v>0</v>
      </c>
      <c r="BI6" t="s">
        <v>1191</v>
      </c>
      <c r="BK6" t="s">
        <v>1105</v>
      </c>
      <c r="CC6" s="123"/>
      <c r="CE6" s="123"/>
      <c r="CG6" s="123"/>
      <c r="CI6" s="123"/>
      <c r="CK6" s="123"/>
      <c r="CM6" s="123"/>
      <c r="CO6" s="123"/>
      <c r="CT6" s="123"/>
      <c r="CV6" s="123"/>
    </row>
    <row r="7" spans="1:100">
      <c r="A7" t="s">
        <v>1194</v>
      </c>
      <c r="B7" s="123">
        <v>44336</v>
      </c>
      <c r="C7" t="s">
        <v>1193</v>
      </c>
      <c r="D7" t="s">
        <v>364</v>
      </c>
      <c r="E7" t="s">
        <v>1131</v>
      </c>
      <c r="F7" t="s">
        <v>1132</v>
      </c>
      <c r="G7" t="s">
        <v>390</v>
      </c>
      <c r="H7" t="s">
        <v>1181</v>
      </c>
      <c r="I7" t="s">
        <v>14</v>
      </c>
      <c r="J7" t="s">
        <v>1195</v>
      </c>
      <c r="K7" t="s">
        <v>86</v>
      </c>
      <c r="L7" t="s">
        <v>1196</v>
      </c>
      <c r="M7" t="s">
        <v>341</v>
      </c>
      <c r="N7" t="s">
        <v>1197</v>
      </c>
      <c r="O7" t="s">
        <v>1198</v>
      </c>
      <c r="P7" t="s">
        <v>1199</v>
      </c>
      <c r="Q7" s="123">
        <v>44336</v>
      </c>
      <c r="R7" s="123">
        <v>44426</v>
      </c>
      <c r="S7" t="s">
        <v>1200</v>
      </c>
      <c r="T7" s="123">
        <v>44391</v>
      </c>
      <c r="U7">
        <v>0</v>
      </c>
      <c r="V7">
        <v>23.9</v>
      </c>
      <c r="W7" t="s">
        <v>262</v>
      </c>
      <c r="X7" t="s">
        <v>1202</v>
      </c>
      <c r="AA7" t="s">
        <v>4</v>
      </c>
      <c r="AB7" t="s">
        <v>1203</v>
      </c>
      <c r="AC7" s="123">
        <v>44391</v>
      </c>
      <c r="AD7" t="s">
        <v>349</v>
      </c>
      <c r="AE7" t="s">
        <v>1127</v>
      </c>
      <c r="AF7" t="s">
        <v>1104</v>
      </c>
      <c r="AG7" t="s">
        <v>0</v>
      </c>
      <c r="AH7">
        <v>1</v>
      </c>
      <c r="AI7" t="b">
        <v>1</v>
      </c>
      <c r="AJ7">
        <v>23.9</v>
      </c>
      <c r="AK7" t="b">
        <v>1</v>
      </c>
      <c r="AL7">
        <v>23.9</v>
      </c>
      <c r="AM7" t="b">
        <v>1</v>
      </c>
      <c r="AN7" t="b">
        <v>0</v>
      </c>
      <c r="AO7" t="b">
        <v>0</v>
      </c>
      <c r="AP7" t="b">
        <v>0</v>
      </c>
      <c r="AQ7" t="b">
        <v>0</v>
      </c>
      <c r="AR7" t="b">
        <v>0</v>
      </c>
      <c r="AS7" t="b">
        <v>0</v>
      </c>
      <c r="AT7" t="s">
        <v>1204</v>
      </c>
      <c r="AU7">
        <v>9882360</v>
      </c>
      <c r="AV7" t="s">
        <v>983</v>
      </c>
      <c r="AW7" t="s">
        <v>1058</v>
      </c>
      <c r="AX7" s="123">
        <v>44509</v>
      </c>
      <c r="AY7" t="s">
        <v>1133</v>
      </c>
      <c r="AZ7" t="s">
        <v>14</v>
      </c>
      <c r="BA7" t="s">
        <v>86</v>
      </c>
      <c r="BB7" t="s">
        <v>43</v>
      </c>
      <c r="BD7" t="s">
        <v>756</v>
      </c>
      <c r="BG7" s="123"/>
      <c r="BH7" t="b">
        <v>0</v>
      </c>
      <c r="BK7" t="s">
        <v>1105</v>
      </c>
      <c r="CC7" s="123"/>
      <c r="CE7" s="123"/>
      <c r="CG7" s="123"/>
      <c r="CI7" s="123"/>
      <c r="CK7" s="123"/>
      <c r="CM7" s="123"/>
      <c r="CO7" s="123"/>
      <c r="CT7" s="123"/>
      <c r="CV7" s="123"/>
    </row>
    <row r="8" spans="1:100">
      <c r="A8" t="s">
        <v>1206</v>
      </c>
      <c r="B8" s="123">
        <v>44337</v>
      </c>
      <c r="C8" t="s">
        <v>1205</v>
      </c>
      <c r="D8" t="s">
        <v>352</v>
      </c>
      <c r="E8" t="s">
        <v>1122</v>
      </c>
      <c r="F8" t="s">
        <v>1123</v>
      </c>
      <c r="G8" t="s">
        <v>374</v>
      </c>
      <c r="H8" t="s">
        <v>1207</v>
      </c>
      <c r="I8" t="s">
        <v>354</v>
      </c>
      <c r="J8" t="s">
        <v>1124</v>
      </c>
      <c r="K8" t="s">
        <v>421</v>
      </c>
      <c r="L8" t="s">
        <v>1208</v>
      </c>
      <c r="M8" t="s">
        <v>346</v>
      </c>
      <c r="N8" t="s">
        <v>1209</v>
      </c>
      <c r="O8" t="s">
        <v>1210</v>
      </c>
      <c r="P8" t="s">
        <v>1211</v>
      </c>
      <c r="Q8" s="123">
        <v>44337</v>
      </c>
      <c r="R8" s="123">
        <v>44348</v>
      </c>
      <c r="S8" t="s">
        <v>1212</v>
      </c>
      <c r="T8" s="123">
        <v>44345</v>
      </c>
      <c r="U8">
        <v>0</v>
      </c>
      <c r="V8">
        <v>0</v>
      </c>
      <c r="W8" t="s">
        <v>262</v>
      </c>
      <c r="X8" t="s">
        <v>1213</v>
      </c>
      <c r="AA8" t="s">
        <v>3</v>
      </c>
      <c r="AB8" t="s">
        <v>1214</v>
      </c>
      <c r="AC8" s="123">
        <v>44345</v>
      </c>
      <c r="AD8" t="s">
        <v>349</v>
      </c>
      <c r="AE8" t="s">
        <v>1127</v>
      </c>
      <c r="AF8" t="s">
        <v>1104</v>
      </c>
      <c r="AG8" t="s">
        <v>0</v>
      </c>
      <c r="AH8">
        <v>1</v>
      </c>
      <c r="AI8" t="b">
        <v>0</v>
      </c>
      <c r="AK8" t="b">
        <v>0</v>
      </c>
      <c r="AM8" t="b">
        <v>0</v>
      </c>
      <c r="AN8" t="b">
        <v>0</v>
      </c>
      <c r="AO8" t="b">
        <v>0</v>
      </c>
      <c r="AP8" t="b">
        <v>0</v>
      </c>
      <c r="AQ8" t="b">
        <v>0</v>
      </c>
      <c r="AR8" t="b">
        <v>0</v>
      </c>
      <c r="AS8" t="b">
        <v>0</v>
      </c>
      <c r="AT8" t="s">
        <v>1216</v>
      </c>
      <c r="AU8">
        <v>9882360</v>
      </c>
      <c r="AV8" t="s">
        <v>983</v>
      </c>
      <c r="AW8" t="s">
        <v>1058</v>
      </c>
      <c r="AX8" s="123">
        <v>44509</v>
      </c>
      <c r="AY8" t="s">
        <v>1133</v>
      </c>
      <c r="AZ8" t="s">
        <v>582</v>
      </c>
      <c r="BA8" t="s">
        <v>69</v>
      </c>
      <c r="BB8" t="s">
        <v>47</v>
      </c>
      <c r="BD8" t="s">
        <v>29</v>
      </c>
      <c r="BG8" s="123"/>
      <c r="BH8" t="b">
        <v>0</v>
      </c>
      <c r="BK8" t="s">
        <v>1105</v>
      </c>
      <c r="BL8" t="s">
        <v>1215</v>
      </c>
      <c r="CC8" s="123"/>
      <c r="CE8" s="123"/>
      <c r="CG8" s="123"/>
      <c r="CI8" s="123"/>
      <c r="CK8" s="123"/>
      <c r="CM8" s="123"/>
      <c r="CO8" s="123"/>
      <c r="CT8" s="123"/>
      <c r="CV8" s="123"/>
    </row>
    <row r="9" spans="1:100">
      <c r="A9" t="s">
        <v>1218</v>
      </c>
      <c r="B9" s="123">
        <v>44337</v>
      </c>
      <c r="C9" t="s">
        <v>1217</v>
      </c>
      <c r="D9" t="s">
        <v>352</v>
      </c>
      <c r="E9" t="s">
        <v>1122</v>
      </c>
      <c r="F9" t="s">
        <v>1123</v>
      </c>
      <c r="G9" t="s">
        <v>374</v>
      </c>
      <c r="H9" t="s">
        <v>1207</v>
      </c>
      <c r="I9" t="s">
        <v>354</v>
      </c>
      <c r="J9" t="s">
        <v>1124</v>
      </c>
      <c r="K9" t="s">
        <v>421</v>
      </c>
      <c r="L9" t="s">
        <v>1208</v>
      </c>
      <c r="M9" t="s">
        <v>346</v>
      </c>
      <c r="N9" t="s">
        <v>1219</v>
      </c>
      <c r="O9" t="s">
        <v>1220</v>
      </c>
      <c r="P9" t="s">
        <v>1221</v>
      </c>
      <c r="Q9" s="123">
        <v>44337</v>
      </c>
      <c r="R9" s="123">
        <v>44348</v>
      </c>
      <c r="S9" t="s">
        <v>1222</v>
      </c>
      <c r="T9" s="123">
        <v>44341</v>
      </c>
      <c r="U9">
        <v>0</v>
      </c>
      <c r="V9">
        <v>0</v>
      </c>
      <c r="W9" t="s">
        <v>262</v>
      </c>
      <c r="X9" t="s">
        <v>1223</v>
      </c>
      <c r="AA9" t="s">
        <v>804</v>
      </c>
      <c r="AB9" t="s">
        <v>1223</v>
      </c>
      <c r="AC9" s="123">
        <v>44341</v>
      </c>
      <c r="AD9" t="s">
        <v>349</v>
      </c>
      <c r="AE9" t="s">
        <v>1127</v>
      </c>
      <c r="AF9" t="s">
        <v>1104</v>
      </c>
      <c r="AG9" t="s">
        <v>0</v>
      </c>
      <c r="AH9">
        <v>1</v>
      </c>
      <c r="AI9" t="b">
        <v>0</v>
      </c>
      <c r="AK9" t="b">
        <v>0</v>
      </c>
      <c r="AM9" t="b">
        <v>0</v>
      </c>
      <c r="AN9" t="b">
        <v>0</v>
      </c>
      <c r="AO9" t="b">
        <v>0</v>
      </c>
      <c r="AP9" t="b">
        <v>0</v>
      </c>
      <c r="AQ9" t="b">
        <v>0</v>
      </c>
      <c r="AR9" t="b">
        <v>0</v>
      </c>
      <c r="AS9" t="b">
        <v>0</v>
      </c>
      <c r="AT9" t="s">
        <v>1224</v>
      </c>
      <c r="AU9">
        <v>9882360</v>
      </c>
      <c r="AV9" t="s">
        <v>983</v>
      </c>
      <c r="AW9" t="s">
        <v>1058</v>
      </c>
      <c r="AX9" s="123">
        <v>44509</v>
      </c>
      <c r="AY9" t="s">
        <v>1133</v>
      </c>
      <c r="AZ9" t="s">
        <v>582</v>
      </c>
      <c r="BA9" t="s">
        <v>175</v>
      </c>
      <c r="BB9" t="s">
        <v>47</v>
      </c>
      <c r="BD9" t="s">
        <v>31</v>
      </c>
      <c r="BG9" s="123"/>
      <c r="BH9" t="b">
        <v>0</v>
      </c>
      <c r="BK9" t="s">
        <v>1105</v>
      </c>
      <c r="BL9" t="s">
        <v>1215</v>
      </c>
      <c r="CC9" s="123"/>
      <c r="CE9" s="123"/>
      <c r="CG9" s="123"/>
      <c r="CI9" s="123"/>
      <c r="CK9" s="123"/>
      <c r="CM9" s="123"/>
      <c r="CO9" s="123"/>
      <c r="CT9" s="123"/>
      <c r="CV9" s="123"/>
    </row>
    <row r="10" spans="1:100">
      <c r="A10" t="s">
        <v>1226</v>
      </c>
      <c r="B10" s="123">
        <v>44337</v>
      </c>
      <c r="C10" t="s">
        <v>1225</v>
      </c>
      <c r="D10" t="s">
        <v>352</v>
      </c>
      <c r="E10" t="s">
        <v>1122</v>
      </c>
      <c r="F10" t="s">
        <v>1123</v>
      </c>
      <c r="G10" t="s">
        <v>374</v>
      </c>
      <c r="H10" t="s">
        <v>1207</v>
      </c>
      <c r="I10" t="s">
        <v>354</v>
      </c>
      <c r="J10" t="s">
        <v>1124</v>
      </c>
      <c r="K10" t="s">
        <v>421</v>
      </c>
      <c r="L10" t="s">
        <v>1208</v>
      </c>
      <c r="M10" t="s">
        <v>346</v>
      </c>
      <c r="N10" t="s">
        <v>1227</v>
      </c>
      <c r="O10" t="s">
        <v>1220</v>
      </c>
      <c r="P10" t="s">
        <v>1228</v>
      </c>
      <c r="Q10" s="123">
        <v>44341</v>
      </c>
      <c r="R10" s="123">
        <v>44348</v>
      </c>
      <c r="S10" t="s">
        <v>1229</v>
      </c>
      <c r="T10" s="123">
        <v>44340</v>
      </c>
      <c r="U10">
        <v>0</v>
      </c>
      <c r="V10">
        <v>0</v>
      </c>
      <c r="W10" t="s">
        <v>262</v>
      </c>
      <c r="X10" t="s">
        <v>1230</v>
      </c>
      <c r="AA10" t="s">
        <v>804</v>
      </c>
      <c r="AB10" t="s">
        <v>1231</v>
      </c>
      <c r="AC10" s="123">
        <v>44340</v>
      </c>
      <c r="AD10" t="s">
        <v>349</v>
      </c>
      <c r="AE10" t="s">
        <v>1127</v>
      </c>
      <c r="AF10" t="s">
        <v>1104</v>
      </c>
      <c r="AG10" t="s">
        <v>0</v>
      </c>
      <c r="AH10">
        <v>1</v>
      </c>
      <c r="AI10" t="b">
        <v>0</v>
      </c>
      <c r="AK10" t="b">
        <v>0</v>
      </c>
      <c r="AM10" t="b">
        <v>0</v>
      </c>
      <c r="AN10" t="b">
        <v>0</v>
      </c>
      <c r="AO10" t="b">
        <v>0</v>
      </c>
      <c r="AP10" t="b">
        <v>0</v>
      </c>
      <c r="AQ10" t="b">
        <v>0</v>
      </c>
      <c r="AR10" t="b">
        <v>0</v>
      </c>
      <c r="AS10" t="b">
        <v>0</v>
      </c>
      <c r="AT10" t="s">
        <v>1232</v>
      </c>
      <c r="AU10">
        <v>9882360</v>
      </c>
      <c r="AV10" t="s">
        <v>983</v>
      </c>
      <c r="AW10" t="s">
        <v>1058</v>
      </c>
      <c r="AX10" s="123">
        <v>44509</v>
      </c>
      <c r="AY10" t="s">
        <v>1133</v>
      </c>
      <c r="AZ10" t="s">
        <v>581</v>
      </c>
      <c r="BA10" t="s">
        <v>173</v>
      </c>
      <c r="BB10" t="s">
        <v>47</v>
      </c>
      <c r="BD10" t="s">
        <v>31</v>
      </c>
      <c r="BG10" s="123"/>
      <c r="BH10" t="b">
        <v>0</v>
      </c>
      <c r="BK10" t="s">
        <v>1105</v>
      </c>
      <c r="BL10" t="s">
        <v>1215</v>
      </c>
      <c r="CC10" s="123"/>
      <c r="CE10" s="123"/>
      <c r="CG10" s="123"/>
      <c r="CI10" s="123"/>
      <c r="CK10" s="123"/>
      <c r="CM10" s="123"/>
      <c r="CO10" s="123"/>
      <c r="CT10" s="123"/>
      <c r="CV10" s="123"/>
    </row>
    <row r="11" spans="1:100">
      <c r="A11" t="s">
        <v>1233</v>
      </c>
      <c r="B11" s="123">
        <v>44337</v>
      </c>
      <c r="C11" t="s">
        <v>1234</v>
      </c>
      <c r="D11" t="s">
        <v>352</v>
      </c>
      <c r="E11" t="s">
        <v>1122</v>
      </c>
      <c r="F11" t="s">
        <v>1123</v>
      </c>
      <c r="G11" t="s">
        <v>374</v>
      </c>
      <c r="H11" t="s">
        <v>1207</v>
      </c>
      <c r="I11" t="s">
        <v>354</v>
      </c>
      <c r="J11" t="s">
        <v>1124</v>
      </c>
      <c r="K11" t="s">
        <v>412</v>
      </c>
      <c r="L11" t="s">
        <v>1128</v>
      </c>
      <c r="M11" t="s">
        <v>346</v>
      </c>
      <c r="N11" t="s">
        <v>1235</v>
      </c>
      <c r="O11" t="s">
        <v>1236</v>
      </c>
      <c r="P11" t="s">
        <v>1237</v>
      </c>
      <c r="Q11" s="123">
        <v>44337</v>
      </c>
      <c r="R11" s="123">
        <v>44429</v>
      </c>
      <c r="S11" t="s">
        <v>1238</v>
      </c>
      <c r="T11" s="123">
        <v>44404</v>
      </c>
      <c r="U11">
        <v>0</v>
      </c>
      <c r="V11">
        <v>0</v>
      </c>
      <c r="W11" t="s">
        <v>262</v>
      </c>
      <c r="X11" t="s">
        <v>1239</v>
      </c>
      <c r="AA11" t="s">
        <v>804</v>
      </c>
      <c r="AB11" t="s">
        <v>1240</v>
      </c>
      <c r="AC11" s="123">
        <v>44404</v>
      </c>
      <c r="AD11" t="s">
        <v>349</v>
      </c>
      <c r="AE11" t="s">
        <v>1127</v>
      </c>
      <c r="AF11" t="s">
        <v>1104</v>
      </c>
      <c r="AG11" t="s">
        <v>0</v>
      </c>
      <c r="AH11">
        <v>1</v>
      </c>
      <c r="AI11" t="b">
        <v>0</v>
      </c>
      <c r="AK11" t="b">
        <v>0</v>
      </c>
      <c r="AM11" t="b">
        <v>0</v>
      </c>
      <c r="AN11" t="b">
        <v>0</v>
      </c>
      <c r="AO11" t="b">
        <v>0</v>
      </c>
      <c r="AP11" t="b">
        <v>0</v>
      </c>
      <c r="AQ11" t="b">
        <v>0</v>
      </c>
      <c r="AR11" t="b">
        <v>0</v>
      </c>
      <c r="AS11" t="b">
        <v>0</v>
      </c>
      <c r="AT11" t="s">
        <v>1241</v>
      </c>
      <c r="AU11">
        <v>9882360</v>
      </c>
      <c r="AV11" t="s">
        <v>983</v>
      </c>
      <c r="AW11" t="s">
        <v>1058</v>
      </c>
      <c r="AX11" s="123">
        <v>44509</v>
      </c>
      <c r="AY11" t="s">
        <v>1133</v>
      </c>
      <c r="AZ11" t="s">
        <v>581</v>
      </c>
      <c r="BA11" t="s">
        <v>173</v>
      </c>
      <c r="BB11" t="s">
        <v>38</v>
      </c>
      <c r="BD11" t="s">
        <v>31</v>
      </c>
      <c r="BG11" s="123"/>
      <c r="BH11" t="b">
        <v>0</v>
      </c>
      <c r="BK11" t="s">
        <v>1105</v>
      </c>
      <c r="BL11" t="s">
        <v>1215</v>
      </c>
      <c r="CC11" s="123"/>
      <c r="CE11" s="123"/>
      <c r="CG11" s="123"/>
      <c r="CI11" s="123"/>
      <c r="CK11" s="123"/>
      <c r="CM11" s="123"/>
      <c r="CO11" s="123"/>
      <c r="CT11" s="123"/>
      <c r="CV11" s="123"/>
    </row>
    <row r="12" spans="1:100">
      <c r="A12" t="s">
        <v>1242</v>
      </c>
      <c r="B12" s="123">
        <v>44337</v>
      </c>
      <c r="C12" t="s">
        <v>1243</v>
      </c>
      <c r="D12" t="s">
        <v>352</v>
      </c>
      <c r="E12" t="s">
        <v>1122</v>
      </c>
      <c r="F12" t="s">
        <v>1123</v>
      </c>
      <c r="G12" t="s">
        <v>374</v>
      </c>
      <c r="H12" t="s">
        <v>1207</v>
      </c>
      <c r="I12" t="s">
        <v>354</v>
      </c>
      <c r="J12" t="s">
        <v>1124</v>
      </c>
      <c r="K12" t="s">
        <v>426</v>
      </c>
      <c r="L12" t="s">
        <v>1125</v>
      </c>
      <c r="M12" t="s">
        <v>346</v>
      </c>
      <c r="N12" t="s">
        <v>1244</v>
      </c>
      <c r="O12" t="s">
        <v>1236</v>
      </c>
      <c r="P12" t="s">
        <v>1245</v>
      </c>
      <c r="Q12" s="123">
        <v>44338</v>
      </c>
      <c r="R12" s="123">
        <v>44348</v>
      </c>
      <c r="S12" t="s">
        <v>1246</v>
      </c>
      <c r="T12" s="123">
        <v>44347</v>
      </c>
      <c r="U12">
        <v>0</v>
      </c>
      <c r="V12">
        <v>0</v>
      </c>
      <c r="W12" t="s">
        <v>262</v>
      </c>
      <c r="X12" t="s">
        <v>1247</v>
      </c>
      <c r="AA12" t="s">
        <v>1</v>
      </c>
      <c r="AB12" t="s">
        <v>1248</v>
      </c>
      <c r="AC12" s="123">
        <v>44347</v>
      </c>
      <c r="AD12" t="s">
        <v>349</v>
      </c>
      <c r="AE12" t="s">
        <v>1127</v>
      </c>
      <c r="AF12" t="s">
        <v>1104</v>
      </c>
      <c r="AG12" t="s">
        <v>0</v>
      </c>
      <c r="AH12">
        <v>1</v>
      </c>
      <c r="AI12" t="b">
        <v>0</v>
      </c>
      <c r="AK12" t="b">
        <v>0</v>
      </c>
      <c r="AM12" t="b">
        <v>0</v>
      </c>
      <c r="AN12" t="b">
        <v>0</v>
      </c>
      <c r="AO12" t="b">
        <v>0</v>
      </c>
      <c r="AP12" t="b">
        <v>0</v>
      </c>
      <c r="AQ12" t="b">
        <v>0</v>
      </c>
      <c r="AR12" t="b">
        <v>0</v>
      </c>
      <c r="AS12" t="b">
        <v>0</v>
      </c>
      <c r="AT12" t="s">
        <v>1249</v>
      </c>
      <c r="AU12">
        <v>9882360</v>
      </c>
      <c r="AV12" t="s">
        <v>983</v>
      </c>
      <c r="AW12" t="s">
        <v>1058</v>
      </c>
      <c r="AX12" s="123">
        <v>44509</v>
      </c>
      <c r="AY12" t="s">
        <v>1133</v>
      </c>
      <c r="AZ12" t="s">
        <v>581</v>
      </c>
      <c r="BA12" t="s">
        <v>173</v>
      </c>
      <c r="BB12" t="s">
        <v>52</v>
      </c>
      <c r="BD12" t="s">
        <v>31</v>
      </c>
      <c r="BG12" s="123"/>
      <c r="BH12" t="b">
        <v>0</v>
      </c>
      <c r="BK12" t="s">
        <v>1105</v>
      </c>
      <c r="BL12" t="s">
        <v>1215</v>
      </c>
      <c r="CC12" s="123"/>
      <c r="CE12" s="123"/>
      <c r="CG12" s="123"/>
      <c r="CI12" s="123"/>
      <c r="CK12" s="123"/>
      <c r="CM12" s="123"/>
      <c r="CO12" s="123"/>
      <c r="CT12" s="123"/>
      <c r="CV12" s="123"/>
    </row>
    <row r="13" spans="1:100">
      <c r="A13" t="s">
        <v>1250</v>
      </c>
      <c r="B13" s="123">
        <v>44337</v>
      </c>
      <c r="C13" t="s">
        <v>1251</v>
      </c>
      <c r="D13" t="s">
        <v>352</v>
      </c>
      <c r="E13" t="s">
        <v>1122</v>
      </c>
      <c r="F13" t="s">
        <v>1123</v>
      </c>
      <c r="G13" t="s">
        <v>374</v>
      </c>
      <c r="H13" t="s">
        <v>1207</v>
      </c>
      <c r="I13" t="s">
        <v>354</v>
      </c>
      <c r="J13" t="s">
        <v>1124</v>
      </c>
      <c r="K13" t="s">
        <v>408</v>
      </c>
      <c r="L13" t="s">
        <v>1129</v>
      </c>
      <c r="M13" t="s">
        <v>346</v>
      </c>
      <c r="N13" t="s">
        <v>1252</v>
      </c>
      <c r="O13" t="s">
        <v>1253</v>
      </c>
      <c r="P13" t="s">
        <v>1254</v>
      </c>
      <c r="Q13" s="123">
        <v>44338</v>
      </c>
      <c r="R13" s="123">
        <v>44348</v>
      </c>
      <c r="S13" t="s">
        <v>1254</v>
      </c>
      <c r="T13" s="123">
        <v>44338</v>
      </c>
      <c r="U13">
        <v>0</v>
      </c>
      <c r="V13">
        <v>0</v>
      </c>
      <c r="W13" t="s">
        <v>262</v>
      </c>
      <c r="X13" t="s">
        <v>1254</v>
      </c>
      <c r="AA13" t="s">
        <v>804</v>
      </c>
      <c r="AB13" t="s">
        <v>1254</v>
      </c>
      <c r="AC13" s="123">
        <v>44338</v>
      </c>
      <c r="AD13" t="s">
        <v>349</v>
      </c>
      <c r="AE13" t="s">
        <v>1127</v>
      </c>
      <c r="AF13" t="s">
        <v>1104</v>
      </c>
      <c r="AG13" t="s">
        <v>0</v>
      </c>
      <c r="AH13">
        <v>1</v>
      </c>
      <c r="AI13" t="b">
        <v>0</v>
      </c>
      <c r="AK13" t="b">
        <v>0</v>
      </c>
      <c r="AM13" t="b">
        <v>0</v>
      </c>
      <c r="AN13" t="b">
        <v>0</v>
      </c>
      <c r="AO13" t="b">
        <v>0</v>
      </c>
      <c r="AP13" t="b">
        <v>0</v>
      </c>
      <c r="AQ13" t="b">
        <v>0</v>
      </c>
      <c r="AR13" t="b">
        <v>0</v>
      </c>
      <c r="AS13" t="b">
        <v>0</v>
      </c>
      <c r="AT13" t="s">
        <v>1255</v>
      </c>
      <c r="AU13">
        <v>9882360</v>
      </c>
      <c r="AV13" t="s">
        <v>983</v>
      </c>
      <c r="AW13" t="s">
        <v>1058</v>
      </c>
      <c r="AX13" s="123">
        <v>44509</v>
      </c>
      <c r="AY13" t="s">
        <v>1133</v>
      </c>
      <c r="AZ13" t="s">
        <v>12</v>
      </c>
      <c r="BA13" t="s">
        <v>177</v>
      </c>
      <c r="BB13" t="s">
        <v>35</v>
      </c>
      <c r="BD13" t="s">
        <v>28</v>
      </c>
      <c r="BG13" s="123"/>
      <c r="BH13" t="b">
        <v>0</v>
      </c>
      <c r="BK13" t="s">
        <v>1105</v>
      </c>
      <c r="BL13" t="s">
        <v>1215</v>
      </c>
      <c r="CC13" s="123"/>
      <c r="CE13" s="123"/>
      <c r="CG13" s="123"/>
      <c r="CI13" s="123"/>
      <c r="CK13" s="123"/>
      <c r="CM13" s="123"/>
      <c r="CO13" s="123"/>
      <c r="CT13" s="123"/>
      <c r="CV13" s="123"/>
    </row>
    <row r="14" spans="1:100">
      <c r="A14" t="s">
        <v>1256</v>
      </c>
      <c r="B14" s="123">
        <v>44337</v>
      </c>
      <c r="C14" t="s">
        <v>1257</v>
      </c>
      <c r="D14" t="s">
        <v>352</v>
      </c>
      <c r="E14" t="s">
        <v>1122</v>
      </c>
      <c r="F14" t="s">
        <v>1123</v>
      </c>
      <c r="G14" t="s">
        <v>374</v>
      </c>
      <c r="H14" t="s">
        <v>1207</v>
      </c>
      <c r="I14" t="s">
        <v>354</v>
      </c>
      <c r="J14" t="s">
        <v>1124</v>
      </c>
      <c r="K14" t="s">
        <v>412</v>
      </c>
      <c r="L14" t="s">
        <v>1128</v>
      </c>
      <c r="M14" t="s">
        <v>346</v>
      </c>
      <c r="N14" t="s">
        <v>1258</v>
      </c>
      <c r="O14" t="s">
        <v>1253</v>
      </c>
      <c r="P14" t="s">
        <v>1259</v>
      </c>
      <c r="Q14" s="123">
        <v>44338</v>
      </c>
      <c r="R14" s="123">
        <v>44348</v>
      </c>
      <c r="S14" t="s">
        <v>1260</v>
      </c>
      <c r="T14" s="123">
        <v>44340</v>
      </c>
      <c r="U14">
        <v>0</v>
      </c>
      <c r="V14">
        <v>0</v>
      </c>
      <c r="W14" t="s">
        <v>262</v>
      </c>
      <c r="X14" t="s">
        <v>1260</v>
      </c>
      <c r="AA14" t="s">
        <v>3</v>
      </c>
      <c r="AB14" t="s">
        <v>1260</v>
      </c>
      <c r="AC14" s="123">
        <v>44340</v>
      </c>
      <c r="AD14" t="s">
        <v>349</v>
      </c>
      <c r="AE14" t="s">
        <v>1127</v>
      </c>
      <c r="AF14" t="s">
        <v>1104</v>
      </c>
      <c r="AG14" t="s">
        <v>0</v>
      </c>
      <c r="AH14">
        <v>1</v>
      </c>
      <c r="AI14" t="b">
        <v>0</v>
      </c>
      <c r="AK14" t="b">
        <v>0</v>
      </c>
      <c r="AM14" t="b">
        <v>0</v>
      </c>
      <c r="AN14" t="b">
        <v>0</v>
      </c>
      <c r="AO14" t="b">
        <v>0</v>
      </c>
      <c r="AP14" t="b">
        <v>0</v>
      </c>
      <c r="AQ14" t="b">
        <v>0</v>
      </c>
      <c r="AR14" t="b">
        <v>0</v>
      </c>
      <c r="AS14" t="b">
        <v>0</v>
      </c>
      <c r="AT14" t="s">
        <v>1261</v>
      </c>
      <c r="AU14">
        <v>9882360</v>
      </c>
      <c r="AV14" t="s">
        <v>983</v>
      </c>
      <c r="AW14" t="s">
        <v>1058</v>
      </c>
      <c r="AX14" s="123">
        <v>44509</v>
      </c>
      <c r="AY14" t="s">
        <v>1133</v>
      </c>
      <c r="AZ14" t="s">
        <v>11</v>
      </c>
      <c r="BA14" t="s">
        <v>81</v>
      </c>
      <c r="BB14" t="s">
        <v>38</v>
      </c>
      <c r="BD14" t="s">
        <v>28</v>
      </c>
      <c r="BG14" s="123"/>
      <c r="BH14" t="b">
        <v>0</v>
      </c>
      <c r="BK14" t="s">
        <v>1105</v>
      </c>
      <c r="BL14" t="s">
        <v>1215</v>
      </c>
      <c r="CC14" s="123"/>
      <c r="CE14" s="123"/>
      <c r="CG14" s="123"/>
      <c r="CI14" s="123"/>
      <c r="CK14" s="123"/>
      <c r="CM14" s="123"/>
      <c r="CO14" s="123"/>
      <c r="CT14" s="123"/>
      <c r="CV14" s="123"/>
    </row>
    <row r="15" spans="1:100">
      <c r="A15" t="s">
        <v>1262</v>
      </c>
      <c r="B15" s="123">
        <v>44337</v>
      </c>
      <c r="C15" t="s">
        <v>1263</v>
      </c>
      <c r="D15" t="s">
        <v>352</v>
      </c>
      <c r="E15" t="s">
        <v>1122</v>
      </c>
      <c r="F15" t="s">
        <v>1123</v>
      </c>
      <c r="G15" t="s">
        <v>374</v>
      </c>
      <c r="H15" t="s">
        <v>1207</v>
      </c>
      <c r="I15" t="s">
        <v>354</v>
      </c>
      <c r="J15" t="s">
        <v>1124</v>
      </c>
      <c r="K15" t="s">
        <v>409</v>
      </c>
      <c r="L15" t="s">
        <v>1264</v>
      </c>
      <c r="M15" t="s">
        <v>346</v>
      </c>
      <c r="N15" t="s">
        <v>1265</v>
      </c>
      <c r="O15" t="s">
        <v>1266</v>
      </c>
      <c r="P15" t="s">
        <v>1267</v>
      </c>
      <c r="Q15" s="123">
        <v>44337</v>
      </c>
      <c r="R15" s="123">
        <v>44348</v>
      </c>
      <c r="S15" t="s">
        <v>1268</v>
      </c>
      <c r="T15" s="123">
        <v>44339</v>
      </c>
      <c r="U15">
        <v>0</v>
      </c>
      <c r="V15">
        <v>0</v>
      </c>
      <c r="W15" t="s">
        <v>262</v>
      </c>
      <c r="X15" t="s">
        <v>1269</v>
      </c>
      <c r="AA15" t="s">
        <v>804</v>
      </c>
      <c r="AB15" t="s">
        <v>1270</v>
      </c>
      <c r="AC15" s="123">
        <v>44339</v>
      </c>
      <c r="AD15" t="s">
        <v>349</v>
      </c>
      <c r="AE15" t="s">
        <v>1127</v>
      </c>
      <c r="AF15" t="s">
        <v>1104</v>
      </c>
      <c r="AG15" t="s">
        <v>0</v>
      </c>
      <c r="AH15">
        <v>1</v>
      </c>
      <c r="AI15" t="b">
        <v>0</v>
      </c>
      <c r="AK15" t="b">
        <v>0</v>
      </c>
      <c r="AM15" t="b">
        <v>0</v>
      </c>
      <c r="AN15" t="b">
        <v>0</v>
      </c>
      <c r="AO15" t="b">
        <v>0</v>
      </c>
      <c r="AP15" t="b">
        <v>0</v>
      </c>
      <c r="AQ15" t="b">
        <v>0</v>
      </c>
      <c r="AR15" t="b">
        <v>0</v>
      </c>
      <c r="AS15" t="b">
        <v>0</v>
      </c>
      <c r="AT15" t="s">
        <v>1271</v>
      </c>
      <c r="AU15">
        <v>9882360</v>
      </c>
      <c r="AV15" t="s">
        <v>983</v>
      </c>
      <c r="AW15" t="s">
        <v>1058</v>
      </c>
      <c r="AX15" s="123">
        <v>44509</v>
      </c>
      <c r="AY15" t="s">
        <v>1133</v>
      </c>
      <c r="AZ15" t="s">
        <v>12</v>
      </c>
      <c r="BA15" t="s">
        <v>177</v>
      </c>
      <c r="BB15" t="s">
        <v>36</v>
      </c>
      <c r="BD15" t="s">
        <v>28</v>
      </c>
      <c r="BG15" s="123"/>
      <c r="BH15" t="b">
        <v>0</v>
      </c>
      <c r="BK15" t="s">
        <v>1105</v>
      </c>
      <c r="BL15" t="s">
        <v>1215</v>
      </c>
      <c r="CC15" s="123"/>
      <c r="CE15" s="123"/>
      <c r="CG15" s="123"/>
      <c r="CI15" s="123"/>
      <c r="CK15" s="123"/>
      <c r="CM15" s="123"/>
      <c r="CO15" s="123"/>
      <c r="CT15" s="123"/>
      <c r="CV15" s="123"/>
    </row>
    <row r="16" spans="1:100">
      <c r="A16" t="s">
        <v>1272</v>
      </c>
      <c r="B16" s="123">
        <v>44337</v>
      </c>
      <c r="C16" t="s">
        <v>1273</v>
      </c>
      <c r="D16" t="s">
        <v>352</v>
      </c>
      <c r="E16" t="s">
        <v>1122</v>
      </c>
      <c r="F16" t="s">
        <v>1123</v>
      </c>
      <c r="G16" t="s">
        <v>374</v>
      </c>
      <c r="H16" t="s">
        <v>1207</v>
      </c>
      <c r="I16" t="s">
        <v>354</v>
      </c>
      <c r="J16" t="s">
        <v>1124</v>
      </c>
      <c r="K16" t="s">
        <v>408</v>
      </c>
      <c r="L16" t="s">
        <v>1129</v>
      </c>
      <c r="M16" t="s">
        <v>346</v>
      </c>
      <c r="N16" t="s">
        <v>1274</v>
      </c>
      <c r="O16" t="s">
        <v>1220</v>
      </c>
      <c r="P16" t="s">
        <v>1275</v>
      </c>
      <c r="Q16" s="123">
        <v>44337</v>
      </c>
      <c r="R16" s="123">
        <v>44348</v>
      </c>
      <c r="S16" t="s">
        <v>1276</v>
      </c>
      <c r="T16" s="123">
        <v>44340</v>
      </c>
      <c r="U16">
        <v>0</v>
      </c>
      <c r="V16">
        <v>0</v>
      </c>
      <c r="W16" t="s">
        <v>262</v>
      </c>
      <c r="X16" t="s">
        <v>1277</v>
      </c>
      <c r="AA16" t="s">
        <v>804</v>
      </c>
      <c r="AB16" t="s">
        <v>1277</v>
      </c>
      <c r="AC16" s="123">
        <v>44340</v>
      </c>
      <c r="AD16" t="s">
        <v>349</v>
      </c>
      <c r="AE16" t="s">
        <v>1127</v>
      </c>
      <c r="AF16" t="s">
        <v>1104</v>
      </c>
      <c r="AG16" t="s">
        <v>0</v>
      </c>
      <c r="AH16">
        <v>1</v>
      </c>
      <c r="AI16" t="b">
        <v>0</v>
      </c>
      <c r="AK16" t="b">
        <v>0</v>
      </c>
      <c r="AM16" t="b">
        <v>0</v>
      </c>
      <c r="AN16" t="b">
        <v>0</v>
      </c>
      <c r="AO16" t="b">
        <v>0</v>
      </c>
      <c r="AP16" t="b">
        <v>0</v>
      </c>
      <c r="AQ16" t="b">
        <v>0</v>
      </c>
      <c r="AR16" t="b">
        <v>0</v>
      </c>
      <c r="AS16" t="b">
        <v>0</v>
      </c>
      <c r="AT16" t="s">
        <v>1278</v>
      </c>
      <c r="AU16">
        <v>9882360</v>
      </c>
      <c r="AV16" t="s">
        <v>983</v>
      </c>
      <c r="AW16" t="s">
        <v>1058</v>
      </c>
      <c r="AX16" s="123">
        <v>44509</v>
      </c>
      <c r="AY16" t="s">
        <v>1133</v>
      </c>
      <c r="AZ16" t="s">
        <v>8</v>
      </c>
      <c r="BA16" t="s">
        <v>75</v>
      </c>
      <c r="BB16" t="s">
        <v>35</v>
      </c>
      <c r="BD16" t="s">
        <v>28</v>
      </c>
      <c r="BG16" s="123"/>
      <c r="BH16" t="b">
        <v>0</v>
      </c>
      <c r="BK16" t="s">
        <v>1105</v>
      </c>
      <c r="BL16" t="s">
        <v>1215</v>
      </c>
      <c r="CC16" s="123"/>
      <c r="CE16" s="123"/>
      <c r="CG16" s="123"/>
      <c r="CI16" s="123"/>
      <c r="CK16" s="123"/>
      <c r="CM16" s="123"/>
      <c r="CO16" s="123"/>
      <c r="CT16" s="123"/>
      <c r="CV16" s="123"/>
    </row>
    <row r="17" spans="1:100">
      <c r="A17" t="s">
        <v>1279</v>
      </c>
      <c r="B17" s="123">
        <v>44337</v>
      </c>
      <c r="C17" t="s">
        <v>1280</v>
      </c>
      <c r="D17" t="s">
        <v>352</v>
      </c>
      <c r="E17" t="s">
        <v>1122</v>
      </c>
      <c r="F17" t="s">
        <v>1123</v>
      </c>
      <c r="G17" t="s">
        <v>374</v>
      </c>
      <c r="H17" t="s">
        <v>1207</v>
      </c>
      <c r="I17" t="s">
        <v>354</v>
      </c>
      <c r="J17" t="s">
        <v>1124</v>
      </c>
      <c r="K17" t="s">
        <v>418</v>
      </c>
      <c r="L17" t="s">
        <v>1281</v>
      </c>
      <c r="M17" t="s">
        <v>346</v>
      </c>
      <c r="N17" t="s">
        <v>1282</v>
      </c>
      <c r="O17" t="s">
        <v>1220</v>
      </c>
      <c r="P17" t="s">
        <v>1283</v>
      </c>
      <c r="Q17" s="123">
        <v>44337</v>
      </c>
      <c r="R17" s="123">
        <v>44348</v>
      </c>
      <c r="S17" t="s">
        <v>1284</v>
      </c>
      <c r="T17" s="123">
        <v>44337</v>
      </c>
      <c r="U17">
        <v>0</v>
      </c>
      <c r="V17">
        <v>0</v>
      </c>
      <c r="W17" t="s">
        <v>262</v>
      </c>
      <c r="X17" t="s">
        <v>1285</v>
      </c>
      <c r="AA17" t="s">
        <v>3</v>
      </c>
      <c r="AB17" t="s">
        <v>1285</v>
      </c>
      <c r="AC17" s="123">
        <v>44337</v>
      </c>
      <c r="AD17" t="s">
        <v>349</v>
      </c>
      <c r="AE17" t="s">
        <v>1127</v>
      </c>
      <c r="AF17" t="s">
        <v>1104</v>
      </c>
      <c r="AG17" t="s">
        <v>0</v>
      </c>
      <c r="AH17">
        <v>1</v>
      </c>
      <c r="AI17" t="b">
        <v>0</v>
      </c>
      <c r="AK17" t="b">
        <v>0</v>
      </c>
      <c r="AM17" t="b">
        <v>0</v>
      </c>
      <c r="AN17" t="b">
        <v>0</v>
      </c>
      <c r="AO17" t="b">
        <v>0</v>
      </c>
      <c r="AP17" t="b">
        <v>0</v>
      </c>
      <c r="AQ17" t="b">
        <v>0</v>
      </c>
      <c r="AR17" t="b">
        <v>0</v>
      </c>
      <c r="AS17" t="b">
        <v>0</v>
      </c>
      <c r="AT17" t="s">
        <v>1286</v>
      </c>
      <c r="AU17">
        <v>9882360</v>
      </c>
      <c r="AV17" t="s">
        <v>983</v>
      </c>
      <c r="AW17" t="s">
        <v>1058</v>
      </c>
      <c r="AX17" s="123">
        <v>44509</v>
      </c>
      <c r="AY17" t="s">
        <v>1133</v>
      </c>
      <c r="AZ17" t="s">
        <v>8</v>
      </c>
      <c r="BA17" t="s">
        <v>75</v>
      </c>
      <c r="BB17" t="s">
        <v>44</v>
      </c>
      <c r="BD17" t="s">
        <v>755</v>
      </c>
      <c r="BG17" s="123"/>
      <c r="BH17" t="b">
        <v>0</v>
      </c>
      <c r="BK17" t="s">
        <v>1105</v>
      </c>
      <c r="BL17" t="s">
        <v>1215</v>
      </c>
      <c r="CC17" s="123"/>
      <c r="CE17" s="123"/>
      <c r="CG17" s="123"/>
      <c r="CI17" s="123"/>
      <c r="CK17" s="123"/>
      <c r="CM17" s="123"/>
      <c r="CO17" s="123"/>
      <c r="CT17" s="123"/>
      <c r="CV17" s="123"/>
    </row>
    <row r="18" spans="1:100">
      <c r="A18" t="s">
        <v>1287</v>
      </c>
      <c r="B18" s="123">
        <v>44337</v>
      </c>
      <c r="C18" t="s">
        <v>1288</v>
      </c>
      <c r="D18" t="s">
        <v>352</v>
      </c>
      <c r="E18" t="s">
        <v>1122</v>
      </c>
      <c r="F18" t="s">
        <v>1123</v>
      </c>
      <c r="G18" t="s">
        <v>374</v>
      </c>
      <c r="H18" t="s">
        <v>1207</v>
      </c>
      <c r="I18" t="s">
        <v>354</v>
      </c>
      <c r="J18" t="s">
        <v>1124</v>
      </c>
      <c r="K18" t="s">
        <v>418</v>
      </c>
      <c r="L18" t="s">
        <v>1281</v>
      </c>
      <c r="M18" t="s">
        <v>346</v>
      </c>
      <c r="N18" t="s">
        <v>1289</v>
      </c>
      <c r="O18" t="s">
        <v>1220</v>
      </c>
      <c r="P18" t="s">
        <v>1290</v>
      </c>
      <c r="Q18" s="123">
        <v>44338</v>
      </c>
      <c r="R18" s="123">
        <v>44348</v>
      </c>
      <c r="S18" t="s">
        <v>1291</v>
      </c>
      <c r="T18" s="123">
        <v>44338</v>
      </c>
      <c r="U18">
        <v>0</v>
      </c>
      <c r="V18">
        <v>0</v>
      </c>
      <c r="W18" t="s">
        <v>262</v>
      </c>
      <c r="X18" t="s">
        <v>1292</v>
      </c>
      <c r="AA18" t="s">
        <v>3</v>
      </c>
      <c r="AB18" t="s">
        <v>1293</v>
      </c>
      <c r="AC18" s="123">
        <v>44338</v>
      </c>
      <c r="AD18" t="s">
        <v>349</v>
      </c>
      <c r="AE18" t="s">
        <v>1127</v>
      </c>
      <c r="AF18" t="s">
        <v>1104</v>
      </c>
      <c r="AG18" t="s">
        <v>0</v>
      </c>
      <c r="AH18">
        <v>1</v>
      </c>
      <c r="AI18" t="b">
        <v>0</v>
      </c>
      <c r="AK18" t="b">
        <v>0</v>
      </c>
      <c r="AM18" t="b">
        <v>0</v>
      </c>
      <c r="AN18" t="b">
        <v>0</v>
      </c>
      <c r="AO18" t="b">
        <v>0</v>
      </c>
      <c r="AP18" t="b">
        <v>0</v>
      </c>
      <c r="AQ18" t="b">
        <v>0</v>
      </c>
      <c r="AR18" t="b">
        <v>0</v>
      </c>
      <c r="AS18" t="b">
        <v>0</v>
      </c>
      <c r="AT18" t="s">
        <v>1294</v>
      </c>
      <c r="AU18">
        <v>9882360</v>
      </c>
      <c r="AV18" t="s">
        <v>983</v>
      </c>
      <c r="AW18" t="s">
        <v>1058</v>
      </c>
      <c r="AX18" s="123">
        <v>44509</v>
      </c>
      <c r="AY18" t="s">
        <v>1133</v>
      </c>
      <c r="AZ18" t="s">
        <v>8</v>
      </c>
      <c r="BA18" t="s">
        <v>75</v>
      </c>
      <c r="BB18" t="s">
        <v>44</v>
      </c>
      <c r="BD18" t="s">
        <v>755</v>
      </c>
      <c r="BG18" s="123"/>
      <c r="BH18" t="b">
        <v>0</v>
      </c>
      <c r="BK18" t="s">
        <v>1105</v>
      </c>
      <c r="BL18" t="s">
        <v>1215</v>
      </c>
      <c r="CC18" s="123"/>
      <c r="CE18" s="123"/>
      <c r="CG18" s="123"/>
      <c r="CI18" s="123"/>
      <c r="CK18" s="123"/>
      <c r="CM18" s="123"/>
      <c r="CO18" s="123"/>
      <c r="CT18" s="123"/>
      <c r="CV18" s="123"/>
    </row>
    <row r="19" spans="1:100">
      <c r="A19" t="s">
        <v>1295</v>
      </c>
      <c r="B19" s="123">
        <v>44337</v>
      </c>
      <c r="C19" t="s">
        <v>1296</v>
      </c>
      <c r="D19" t="s">
        <v>352</v>
      </c>
      <c r="E19" t="s">
        <v>1122</v>
      </c>
      <c r="F19" t="s">
        <v>1123</v>
      </c>
      <c r="G19" t="s">
        <v>374</v>
      </c>
      <c r="H19" t="s">
        <v>1207</v>
      </c>
      <c r="I19" t="s">
        <v>354</v>
      </c>
      <c r="J19" t="s">
        <v>1124</v>
      </c>
      <c r="K19" t="s">
        <v>418</v>
      </c>
      <c r="L19" t="s">
        <v>1281</v>
      </c>
      <c r="M19" t="s">
        <v>346</v>
      </c>
      <c r="N19" t="s">
        <v>1297</v>
      </c>
      <c r="O19" t="s">
        <v>1298</v>
      </c>
      <c r="P19" t="s">
        <v>1299</v>
      </c>
      <c r="Q19" s="123">
        <v>44338</v>
      </c>
      <c r="R19" s="123">
        <v>44348</v>
      </c>
      <c r="S19" t="s">
        <v>1300</v>
      </c>
      <c r="T19" s="123">
        <v>44338</v>
      </c>
      <c r="U19">
        <v>0</v>
      </c>
      <c r="V19">
        <v>0</v>
      </c>
      <c r="W19" t="s">
        <v>262</v>
      </c>
      <c r="X19" t="s">
        <v>1301</v>
      </c>
      <c r="AA19" t="s">
        <v>3</v>
      </c>
      <c r="AB19" t="s">
        <v>1302</v>
      </c>
      <c r="AC19" s="123">
        <v>44338</v>
      </c>
      <c r="AD19" t="s">
        <v>349</v>
      </c>
      <c r="AE19" t="s">
        <v>1127</v>
      </c>
      <c r="AF19" t="s">
        <v>1104</v>
      </c>
      <c r="AG19" t="s">
        <v>0</v>
      </c>
      <c r="AH19">
        <v>1</v>
      </c>
      <c r="AI19" t="b">
        <v>0</v>
      </c>
      <c r="AK19" t="b">
        <v>0</v>
      </c>
      <c r="AM19" t="b">
        <v>0</v>
      </c>
      <c r="AN19" t="b">
        <v>0</v>
      </c>
      <c r="AO19" t="b">
        <v>0</v>
      </c>
      <c r="AP19" t="b">
        <v>0</v>
      </c>
      <c r="AQ19" t="b">
        <v>0</v>
      </c>
      <c r="AR19" t="b">
        <v>0</v>
      </c>
      <c r="AS19" t="b">
        <v>0</v>
      </c>
      <c r="AT19" t="s">
        <v>1303</v>
      </c>
      <c r="AU19">
        <v>9882360</v>
      </c>
      <c r="AV19" t="s">
        <v>983</v>
      </c>
      <c r="AW19" t="s">
        <v>1058</v>
      </c>
      <c r="AX19" s="123">
        <v>44509</v>
      </c>
      <c r="AY19" t="s">
        <v>1133</v>
      </c>
      <c r="AZ19" t="s">
        <v>8</v>
      </c>
      <c r="BA19" t="s">
        <v>75</v>
      </c>
      <c r="BB19" t="s">
        <v>44</v>
      </c>
      <c r="BD19" t="s">
        <v>755</v>
      </c>
      <c r="BG19" s="123"/>
      <c r="BH19" t="b">
        <v>0</v>
      </c>
      <c r="BK19" t="s">
        <v>1105</v>
      </c>
      <c r="BL19" t="s">
        <v>1215</v>
      </c>
      <c r="CC19" s="123"/>
      <c r="CE19" s="123"/>
      <c r="CG19" s="123"/>
      <c r="CI19" s="123"/>
      <c r="CK19" s="123"/>
      <c r="CM19" s="123"/>
      <c r="CO19" s="123"/>
      <c r="CT19" s="123"/>
      <c r="CV19" s="123"/>
    </row>
    <row r="20" spans="1:100">
      <c r="A20" t="s">
        <v>1304</v>
      </c>
      <c r="B20" s="123">
        <v>44337</v>
      </c>
      <c r="C20" t="s">
        <v>1305</v>
      </c>
      <c r="D20" t="s">
        <v>352</v>
      </c>
      <c r="E20" t="s">
        <v>1122</v>
      </c>
      <c r="F20" t="s">
        <v>1123</v>
      </c>
      <c r="G20" t="s">
        <v>374</v>
      </c>
      <c r="H20" t="s">
        <v>1207</v>
      </c>
      <c r="I20" t="s">
        <v>354</v>
      </c>
      <c r="J20" t="s">
        <v>1124</v>
      </c>
      <c r="K20" t="s">
        <v>426</v>
      </c>
      <c r="L20" t="s">
        <v>1125</v>
      </c>
      <c r="M20" t="s">
        <v>346</v>
      </c>
      <c r="N20" t="s">
        <v>1306</v>
      </c>
      <c r="O20" t="s">
        <v>1266</v>
      </c>
      <c r="P20" t="s">
        <v>1307</v>
      </c>
      <c r="Q20" s="123">
        <v>44338</v>
      </c>
      <c r="R20" s="123">
        <v>44348</v>
      </c>
      <c r="S20" t="s">
        <v>1308</v>
      </c>
      <c r="T20" s="123">
        <v>44338</v>
      </c>
      <c r="U20">
        <v>0</v>
      </c>
      <c r="V20">
        <v>0</v>
      </c>
      <c r="W20" t="s">
        <v>262</v>
      </c>
      <c r="X20" t="s">
        <v>1307</v>
      </c>
      <c r="AA20" t="s">
        <v>804</v>
      </c>
      <c r="AB20" t="s">
        <v>1307</v>
      </c>
      <c r="AC20" s="123">
        <v>44338</v>
      </c>
      <c r="AD20" t="s">
        <v>349</v>
      </c>
      <c r="AE20" t="s">
        <v>1127</v>
      </c>
      <c r="AF20" t="s">
        <v>1104</v>
      </c>
      <c r="AG20" t="s">
        <v>0</v>
      </c>
      <c r="AH20">
        <v>1</v>
      </c>
      <c r="AI20" t="b">
        <v>0</v>
      </c>
      <c r="AK20" t="b">
        <v>0</v>
      </c>
      <c r="AM20" t="b">
        <v>0</v>
      </c>
      <c r="AN20" t="b">
        <v>0</v>
      </c>
      <c r="AO20" t="b">
        <v>0</v>
      </c>
      <c r="AP20" t="b">
        <v>0</v>
      </c>
      <c r="AQ20" t="b">
        <v>0</v>
      </c>
      <c r="AR20" t="b">
        <v>0</v>
      </c>
      <c r="AS20" t="b">
        <v>0</v>
      </c>
      <c r="AT20" t="s">
        <v>1309</v>
      </c>
      <c r="AU20">
        <v>9882360</v>
      </c>
      <c r="AV20" t="s">
        <v>983</v>
      </c>
      <c r="AW20" t="s">
        <v>1058</v>
      </c>
      <c r="AX20" s="123">
        <v>44509</v>
      </c>
      <c r="AY20" t="s">
        <v>1133</v>
      </c>
      <c r="AZ20" t="s">
        <v>8</v>
      </c>
      <c r="BA20" t="s">
        <v>75</v>
      </c>
      <c r="BB20" t="s">
        <v>52</v>
      </c>
      <c r="BD20" t="s">
        <v>28</v>
      </c>
      <c r="BG20" s="123"/>
      <c r="BH20" t="b">
        <v>0</v>
      </c>
      <c r="BK20" t="s">
        <v>1105</v>
      </c>
      <c r="BL20" t="s">
        <v>1215</v>
      </c>
      <c r="CC20" s="123"/>
      <c r="CE20" s="123"/>
      <c r="CG20" s="123"/>
      <c r="CI20" s="123"/>
      <c r="CK20" s="123"/>
      <c r="CM20" s="123"/>
      <c r="CO20" s="123"/>
      <c r="CT20" s="123"/>
      <c r="CV20" s="123"/>
    </row>
    <row r="21" spans="1:100">
      <c r="A21" t="s">
        <v>1310</v>
      </c>
      <c r="B21" s="123">
        <v>44337</v>
      </c>
      <c r="C21" t="s">
        <v>1311</v>
      </c>
      <c r="D21" t="s">
        <v>352</v>
      </c>
      <c r="E21" t="s">
        <v>1122</v>
      </c>
      <c r="F21" t="s">
        <v>1123</v>
      </c>
      <c r="G21" t="s">
        <v>374</v>
      </c>
      <c r="H21" t="s">
        <v>1207</v>
      </c>
      <c r="I21" t="s">
        <v>354</v>
      </c>
      <c r="J21" t="s">
        <v>1124</v>
      </c>
      <c r="K21" t="s">
        <v>426</v>
      </c>
      <c r="L21" t="s">
        <v>1125</v>
      </c>
      <c r="M21" t="s">
        <v>346</v>
      </c>
      <c r="N21" t="s">
        <v>1312</v>
      </c>
      <c r="O21" t="s">
        <v>1220</v>
      </c>
      <c r="P21" t="s">
        <v>1313</v>
      </c>
      <c r="Q21" s="123">
        <v>44338</v>
      </c>
      <c r="R21" s="123">
        <v>44348</v>
      </c>
      <c r="S21" t="s">
        <v>1314</v>
      </c>
      <c r="T21" s="123">
        <v>44338</v>
      </c>
      <c r="U21">
        <v>0</v>
      </c>
      <c r="V21">
        <v>0</v>
      </c>
      <c r="W21" t="s">
        <v>262</v>
      </c>
      <c r="X21" t="s">
        <v>1315</v>
      </c>
      <c r="AA21" t="s">
        <v>3</v>
      </c>
      <c r="AB21" t="s">
        <v>1315</v>
      </c>
      <c r="AC21" s="123">
        <v>44338</v>
      </c>
      <c r="AD21" t="s">
        <v>349</v>
      </c>
      <c r="AE21" t="s">
        <v>1127</v>
      </c>
      <c r="AF21" t="s">
        <v>1104</v>
      </c>
      <c r="AG21" t="s">
        <v>0</v>
      </c>
      <c r="AH21">
        <v>1</v>
      </c>
      <c r="AI21" t="b">
        <v>0</v>
      </c>
      <c r="AK21" t="b">
        <v>0</v>
      </c>
      <c r="AM21" t="b">
        <v>0</v>
      </c>
      <c r="AN21" t="b">
        <v>0</v>
      </c>
      <c r="AO21" t="b">
        <v>0</v>
      </c>
      <c r="AP21" t="b">
        <v>0</v>
      </c>
      <c r="AQ21" t="b">
        <v>0</v>
      </c>
      <c r="AR21" t="b">
        <v>0</v>
      </c>
      <c r="AS21" t="b">
        <v>0</v>
      </c>
      <c r="AT21" t="s">
        <v>1316</v>
      </c>
      <c r="AU21">
        <v>9882360</v>
      </c>
      <c r="AV21" t="s">
        <v>983</v>
      </c>
      <c r="AW21" t="s">
        <v>1058</v>
      </c>
      <c r="AX21" s="123">
        <v>44509</v>
      </c>
      <c r="AY21" t="s">
        <v>1133</v>
      </c>
      <c r="AZ21" t="s">
        <v>13</v>
      </c>
      <c r="BA21" t="s">
        <v>83</v>
      </c>
      <c r="BB21" t="s">
        <v>52</v>
      </c>
      <c r="BD21" t="s">
        <v>28</v>
      </c>
      <c r="BG21" s="123"/>
      <c r="BH21" t="b">
        <v>0</v>
      </c>
      <c r="BK21" t="s">
        <v>1105</v>
      </c>
      <c r="BL21" t="s">
        <v>1215</v>
      </c>
      <c r="CC21" s="123"/>
      <c r="CE21" s="123"/>
      <c r="CG21" s="123"/>
      <c r="CI21" s="123"/>
      <c r="CK21" s="123"/>
      <c r="CM21" s="123"/>
      <c r="CO21" s="123"/>
      <c r="CT21" s="123"/>
      <c r="CV21" s="123"/>
    </row>
    <row r="22" spans="1:100">
      <c r="A22" t="s">
        <v>1317</v>
      </c>
      <c r="B22" s="123">
        <v>44337</v>
      </c>
      <c r="C22" t="s">
        <v>1318</v>
      </c>
      <c r="D22" t="s">
        <v>352</v>
      </c>
      <c r="E22" t="s">
        <v>1122</v>
      </c>
      <c r="F22" t="s">
        <v>1123</v>
      </c>
      <c r="G22" t="s">
        <v>374</v>
      </c>
      <c r="H22" t="s">
        <v>1207</v>
      </c>
      <c r="I22" t="s">
        <v>354</v>
      </c>
      <c r="J22" t="s">
        <v>1124</v>
      </c>
      <c r="K22" t="s">
        <v>412</v>
      </c>
      <c r="L22" t="s">
        <v>1128</v>
      </c>
      <c r="M22" t="s">
        <v>346</v>
      </c>
      <c r="N22" t="s">
        <v>1319</v>
      </c>
      <c r="O22" t="s">
        <v>1320</v>
      </c>
      <c r="P22" t="s">
        <v>1321</v>
      </c>
      <c r="Q22" s="123">
        <v>44337</v>
      </c>
      <c r="R22" s="123">
        <v>44348</v>
      </c>
      <c r="S22" t="s">
        <v>1322</v>
      </c>
      <c r="T22" s="123">
        <v>44344</v>
      </c>
      <c r="U22">
        <v>0</v>
      </c>
      <c r="V22">
        <v>0</v>
      </c>
      <c r="W22" t="s">
        <v>262</v>
      </c>
      <c r="X22" t="s">
        <v>1323</v>
      </c>
      <c r="AA22" t="s">
        <v>804</v>
      </c>
      <c r="AB22" t="s">
        <v>1323</v>
      </c>
      <c r="AC22" s="123">
        <v>44344</v>
      </c>
      <c r="AD22" t="s">
        <v>349</v>
      </c>
      <c r="AE22" t="s">
        <v>1127</v>
      </c>
      <c r="AF22" t="s">
        <v>1104</v>
      </c>
      <c r="AG22" t="s">
        <v>0</v>
      </c>
      <c r="AH22">
        <v>1</v>
      </c>
      <c r="AI22" t="b">
        <v>0</v>
      </c>
      <c r="AK22" t="b">
        <v>0</v>
      </c>
      <c r="AM22" t="b">
        <v>0</v>
      </c>
      <c r="AN22" t="b">
        <v>0</v>
      </c>
      <c r="AO22" t="b">
        <v>0</v>
      </c>
      <c r="AP22" t="b">
        <v>0</v>
      </c>
      <c r="AQ22" t="b">
        <v>0</v>
      </c>
      <c r="AR22" t="b">
        <v>0</v>
      </c>
      <c r="AS22" t="b">
        <v>0</v>
      </c>
      <c r="AT22" t="s">
        <v>1324</v>
      </c>
      <c r="AU22">
        <v>9882360</v>
      </c>
      <c r="AV22" t="s">
        <v>983</v>
      </c>
      <c r="AW22" t="s">
        <v>1058</v>
      </c>
      <c r="AX22" s="123">
        <v>44509</v>
      </c>
      <c r="AY22" t="s">
        <v>1133</v>
      </c>
      <c r="AZ22" t="s">
        <v>21</v>
      </c>
      <c r="BA22" t="s">
        <v>332</v>
      </c>
      <c r="BB22" t="s">
        <v>38</v>
      </c>
      <c r="BD22" t="s">
        <v>28</v>
      </c>
      <c r="BG22" s="123"/>
      <c r="BH22" t="b">
        <v>0</v>
      </c>
      <c r="BK22" t="s">
        <v>1105</v>
      </c>
      <c r="BL22" t="s">
        <v>1215</v>
      </c>
      <c r="CC22" s="123"/>
      <c r="CE22" s="123"/>
      <c r="CG22" s="123"/>
      <c r="CI22" s="123"/>
      <c r="CK22" s="123"/>
      <c r="CM22" s="123"/>
      <c r="CO22" s="123"/>
      <c r="CT22" s="123"/>
      <c r="CV22" s="123"/>
    </row>
    <row r="23" spans="1:100">
      <c r="A23" t="s">
        <v>1325</v>
      </c>
      <c r="B23" s="123">
        <v>44337</v>
      </c>
      <c r="C23" t="s">
        <v>1326</v>
      </c>
      <c r="D23" t="s">
        <v>352</v>
      </c>
      <c r="E23" t="s">
        <v>1122</v>
      </c>
      <c r="F23" t="s">
        <v>1123</v>
      </c>
      <c r="G23" t="s">
        <v>374</v>
      </c>
      <c r="H23" t="s">
        <v>1207</v>
      </c>
      <c r="I23" t="s">
        <v>354</v>
      </c>
      <c r="J23" t="s">
        <v>1124</v>
      </c>
      <c r="K23" t="s">
        <v>412</v>
      </c>
      <c r="L23" t="s">
        <v>1128</v>
      </c>
      <c r="M23" t="s">
        <v>346</v>
      </c>
      <c r="N23" t="s">
        <v>1327</v>
      </c>
      <c r="O23" t="s">
        <v>1220</v>
      </c>
      <c r="P23" t="s">
        <v>1328</v>
      </c>
      <c r="Q23" s="123">
        <v>44338</v>
      </c>
      <c r="R23" s="123">
        <v>44348</v>
      </c>
      <c r="S23" t="s">
        <v>1329</v>
      </c>
      <c r="T23" s="123">
        <v>44344</v>
      </c>
      <c r="U23">
        <v>0</v>
      </c>
      <c r="V23">
        <v>0</v>
      </c>
      <c r="W23" t="s">
        <v>262</v>
      </c>
      <c r="X23" t="s">
        <v>1330</v>
      </c>
      <c r="AA23" t="s">
        <v>804</v>
      </c>
      <c r="AB23" t="s">
        <v>1330</v>
      </c>
      <c r="AC23" s="123">
        <v>44344</v>
      </c>
      <c r="AD23" t="s">
        <v>349</v>
      </c>
      <c r="AE23" t="s">
        <v>1127</v>
      </c>
      <c r="AF23" t="s">
        <v>1104</v>
      </c>
      <c r="AG23" t="s">
        <v>0</v>
      </c>
      <c r="AH23">
        <v>1</v>
      </c>
      <c r="AI23" t="b">
        <v>0</v>
      </c>
      <c r="AK23" t="b">
        <v>0</v>
      </c>
      <c r="AM23" t="b">
        <v>0</v>
      </c>
      <c r="AN23" t="b">
        <v>0</v>
      </c>
      <c r="AO23" t="b">
        <v>0</v>
      </c>
      <c r="AP23" t="b">
        <v>0</v>
      </c>
      <c r="AQ23" t="b">
        <v>0</v>
      </c>
      <c r="AR23" t="b">
        <v>0</v>
      </c>
      <c r="AS23" t="b">
        <v>0</v>
      </c>
      <c r="AT23" t="s">
        <v>1331</v>
      </c>
      <c r="AU23">
        <v>9882360</v>
      </c>
      <c r="AV23" t="s">
        <v>983</v>
      </c>
      <c r="AW23" t="s">
        <v>1058</v>
      </c>
      <c r="AX23" s="123">
        <v>44509</v>
      </c>
      <c r="AY23" t="s">
        <v>1133</v>
      </c>
      <c r="AZ23" t="s">
        <v>19</v>
      </c>
      <c r="BA23" t="s">
        <v>150</v>
      </c>
      <c r="BB23" t="s">
        <v>38</v>
      </c>
      <c r="BD23" t="s">
        <v>28</v>
      </c>
      <c r="BG23" s="123"/>
      <c r="BH23" t="b">
        <v>0</v>
      </c>
      <c r="BK23" t="s">
        <v>1105</v>
      </c>
      <c r="BL23" t="s">
        <v>1215</v>
      </c>
      <c r="CC23" s="123"/>
      <c r="CE23" s="123"/>
      <c r="CG23" s="123"/>
      <c r="CI23" s="123"/>
      <c r="CK23" s="123"/>
      <c r="CM23" s="123"/>
      <c r="CO23" s="123"/>
      <c r="CT23" s="123"/>
      <c r="CV23" s="123"/>
    </row>
    <row r="24" spans="1:100">
      <c r="A24" t="s">
        <v>1332</v>
      </c>
      <c r="B24" s="123">
        <v>44337</v>
      </c>
      <c r="C24" t="s">
        <v>1333</v>
      </c>
      <c r="D24" t="s">
        <v>352</v>
      </c>
      <c r="E24" t="s">
        <v>1122</v>
      </c>
      <c r="F24" t="s">
        <v>1123</v>
      </c>
      <c r="G24" t="s">
        <v>374</v>
      </c>
      <c r="H24" t="s">
        <v>1207</v>
      </c>
      <c r="I24" t="s">
        <v>354</v>
      </c>
      <c r="J24" t="s">
        <v>1124</v>
      </c>
      <c r="K24" t="s">
        <v>412</v>
      </c>
      <c r="L24" t="s">
        <v>1128</v>
      </c>
      <c r="M24" t="s">
        <v>346</v>
      </c>
      <c r="N24" t="s">
        <v>1334</v>
      </c>
      <c r="O24" t="s">
        <v>1335</v>
      </c>
      <c r="P24" t="s">
        <v>1336</v>
      </c>
      <c r="Q24" s="123">
        <v>44338</v>
      </c>
      <c r="R24" s="123">
        <v>44348</v>
      </c>
      <c r="S24" t="s">
        <v>1337</v>
      </c>
      <c r="T24" s="123">
        <v>44340</v>
      </c>
      <c r="U24">
        <v>0</v>
      </c>
      <c r="V24">
        <v>0</v>
      </c>
      <c r="W24" t="s">
        <v>262</v>
      </c>
      <c r="X24" t="s">
        <v>1338</v>
      </c>
      <c r="AA24" t="s">
        <v>804</v>
      </c>
      <c r="AB24" t="s">
        <v>1338</v>
      </c>
      <c r="AC24" s="123">
        <v>44340</v>
      </c>
      <c r="AD24" t="s">
        <v>349</v>
      </c>
      <c r="AE24" t="s">
        <v>1127</v>
      </c>
      <c r="AF24" t="s">
        <v>1104</v>
      </c>
      <c r="AG24" t="s">
        <v>0</v>
      </c>
      <c r="AH24">
        <v>1</v>
      </c>
      <c r="AI24" t="b">
        <v>0</v>
      </c>
      <c r="AK24" t="b">
        <v>0</v>
      </c>
      <c r="AM24" t="b">
        <v>0</v>
      </c>
      <c r="AN24" t="b">
        <v>0</v>
      </c>
      <c r="AO24" t="b">
        <v>0</v>
      </c>
      <c r="AP24" t="b">
        <v>0</v>
      </c>
      <c r="AQ24" t="b">
        <v>0</v>
      </c>
      <c r="AR24" t="b">
        <v>0</v>
      </c>
      <c r="AS24" t="b">
        <v>0</v>
      </c>
      <c r="AT24" t="s">
        <v>1339</v>
      </c>
      <c r="AU24">
        <v>9882360</v>
      </c>
      <c r="AV24" t="s">
        <v>983</v>
      </c>
      <c r="AW24" t="s">
        <v>1058</v>
      </c>
      <c r="AX24" s="123">
        <v>44509</v>
      </c>
      <c r="AY24" t="s">
        <v>1133</v>
      </c>
      <c r="AZ24" t="s">
        <v>21</v>
      </c>
      <c r="BA24" t="s">
        <v>332</v>
      </c>
      <c r="BB24" t="s">
        <v>38</v>
      </c>
      <c r="BD24" t="s">
        <v>28</v>
      </c>
      <c r="BG24" s="123"/>
      <c r="BH24" t="b">
        <v>0</v>
      </c>
      <c r="BK24" t="s">
        <v>1105</v>
      </c>
      <c r="BL24" t="s">
        <v>1215</v>
      </c>
      <c r="CC24" s="123"/>
      <c r="CE24" s="123"/>
      <c r="CG24" s="123"/>
      <c r="CI24" s="123"/>
      <c r="CK24" s="123"/>
      <c r="CM24" s="123"/>
      <c r="CO24" s="123"/>
      <c r="CT24" s="123"/>
      <c r="CV24" s="123"/>
    </row>
    <row r="25" spans="1:100">
      <c r="A25" t="s">
        <v>1340</v>
      </c>
      <c r="B25" s="123">
        <v>44337</v>
      </c>
      <c r="C25" t="s">
        <v>1341</v>
      </c>
      <c r="D25" t="s">
        <v>352</v>
      </c>
      <c r="E25" t="s">
        <v>1122</v>
      </c>
      <c r="F25" t="s">
        <v>1123</v>
      </c>
      <c r="G25" t="s">
        <v>374</v>
      </c>
      <c r="H25" t="s">
        <v>1207</v>
      </c>
      <c r="I25" t="s">
        <v>354</v>
      </c>
      <c r="J25" t="s">
        <v>1124</v>
      </c>
      <c r="K25" t="s">
        <v>417</v>
      </c>
      <c r="L25" t="s">
        <v>1130</v>
      </c>
      <c r="M25" t="s">
        <v>346</v>
      </c>
      <c r="N25" t="s">
        <v>1342</v>
      </c>
      <c r="O25" t="s">
        <v>1253</v>
      </c>
      <c r="P25" t="s">
        <v>1343</v>
      </c>
      <c r="Q25" s="123">
        <v>44338</v>
      </c>
      <c r="R25" s="123">
        <v>44348</v>
      </c>
      <c r="S25" t="s">
        <v>1344</v>
      </c>
      <c r="T25" s="123">
        <v>44343</v>
      </c>
      <c r="U25">
        <v>0</v>
      </c>
      <c r="V25">
        <v>0</v>
      </c>
      <c r="W25" t="s">
        <v>262</v>
      </c>
      <c r="X25" t="s">
        <v>1345</v>
      </c>
      <c r="AA25" t="s">
        <v>804</v>
      </c>
      <c r="AB25" t="s">
        <v>1345</v>
      </c>
      <c r="AC25" s="123">
        <v>44343</v>
      </c>
      <c r="AD25" t="s">
        <v>349</v>
      </c>
      <c r="AE25" t="s">
        <v>1127</v>
      </c>
      <c r="AF25" t="s">
        <v>1104</v>
      </c>
      <c r="AG25" t="s">
        <v>0</v>
      </c>
      <c r="AH25">
        <v>1</v>
      </c>
      <c r="AI25" t="b">
        <v>0</v>
      </c>
      <c r="AK25" t="b">
        <v>0</v>
      </c>
      <c r="AM25" t="b">
        <v>0</v>
      </c>
      <c r="AN25" t="b">
        <v>0</v>
      </c>
      <c r="AO25" t="b">
        <v>0</v>
      </c>
      <c r="AP25" t="b">
        <v>0</v>
      </c>
      <c r="AQ25" t="b">
        <v>0</v>
      </c>
      <c r="AR25" t="b">
        <v>0</v>
      </c>
      <c r="AS25" t="b">
        <v>0</v>
      </c>
      <c r="AT25" t="s">
        <v>1346</v>
      </c>
      <c r="AU25">
        <v>9882360</v>
      </c>
      <c r="AV25" t="s">
        <v>983</v>
      </c>
      <c r="AW25" t="s">
        <v>1058</v>
      </c>
      <c r="AX25" s="123">
        <v>44509</v>
      </c>
      <c r="AY25" t="s">
        <v>1133</v>
      </c>
      <c r="AZ25" t="s">
        <v>14</v>
      </c>
      <c r="BA25" t="s">
        <v>100</v>
      </c>
      <c r="BB25" t="s">
        <v>43</v>
      </c>
      <c r="BD25" t="s">
        <v>756</v>
      </c>
      <c r="BG25" s="123"/>
      <c r="BH25" t="b">
        <v>0</v>
      </c>
      <c r="BK25" t="s">
        <v>1105</v>
      </c>
      <c r="BL25" t="s">
        <v>1215</v>
      </c>
      <c r="CC25" s="123"/>
      <c r="CE25" s="123"/>
      <c r="CG25" s="123"/>
      <c r="CI25" s="123"/>
      <c r="CK25" s="123"/>
      <c r="CM25" s="123"/>
      <c r="CO25" s="123"/>
      <c r="CT25" s="123"/>
      <c r="CV25" s="123"/>
    </row>
    <row r="26" spans="1:100">
      <c r="A26" t="s">
        <v>1347</v>
      </c>
      <c r="B26" s="123">
        <v>44337</v>
      </c>
      <c r="C26" t="s">
        <v>1348</v>
      </c>
      <c r="D26" t="s">
        <v>352</v>
      </c>
      <c r="E26" t="s">
        <v>1122</v>
      </c>
      <c r="F26" t="s">
        <v>1123</v>
      </c>
      <c r="G26" t="s">
        <v>374</v>
      </c>
      <c r="H26" t="s">
        <v>1207</v>
      </c>
      <c r="I26" t="s">
        <v>354</v>
      </c>
      <c r="J26" t="s">
        <v>1124</v>
      </c>
      <c r="K26" t="s">
        <v>412</v>
      </c>
      <c r="L26" t="s">
        <v>1128</v>
      </c>
      <c r="M26" t="s">
        <v>346</v>
      </c>
      <c r="N26" t="s">
        <v>1349</v>
      </c>
      <c r="O26" t="s">
        <v>1266</v>
      </c>
      <c r="P26" t="s">
        <v>1350</v>
      </c>
      <c r="Q26" s="123">
        <v>44337</v>
      </c>
      <c r="R26" s="123">
        <v>44348</v>
      </c>
      <c r="S26" t="s">
        <v>1351</v>
      </c>
      <c r="T26" s="123">
        <v>44347</v>
      </c>
      <c r="U26">
        <v>0</v>
      </c>
      <c r="V26">
        <v>0</v>
      </c>
      <c r="W26" t="s">
        <v>262</v>
      </c>
      <c r="X26" t="s">
        <v>1352</v>
      </c>
      <c r="AA26" t="s">
        <v>1</v>
      </c>
      <c r="AB26" t="s">
        <v>1352</v>
      </c>
      <c r="AC26" s="123">
        <v>44347</v>
      </c>
      <c r="AD26" t="s">
        <v>349</v>
      </c>
      <c r="AE26" t="s">
        <v>1127</v>
      </c>
      <c r="AF26" t="s">
        <v>1104</v>
      </c>
      <c r="AG26" t="s">
        <v>0</v>
      </c>
      <c r="AH26">
        <v>1</v>
      </c>
      <c r="AI26" t="b">
        <v>0</v>
      </c>
      <c r="AK26" t="b">
        <v>0</v>
      </c>
      <c r="AM26" t="b">
        <v>0</v>
      </c>
      <c r="AN26" t="b">
        <v>0</v>
      </c>
      <c r="AO26" t="b">
        <v>0</v>
      </c>
      <c r="AP26" t="b">
        <v>0</v>
      </c>
      <c r="AQ26" t="b">
        <v>0</v>
      </c>
      <c r="AR26" t="b">
        <v>0</v>
      </c>
      <c r="AS26" t="b">
        <v>0</v>
      </c>
      <c r="AT26" t="s">
        <v>1353</v>
      </c>
      <c r="AU26">
        <v>9882360</v>
      </c>
      <c r="AV26" t="s">
        <v>983</v>
      </c>
      <c r="AW26" t="s">
        <v>1058</v>
      </c>
      <c r="AX26" s="123">
        <v>44509</v>
      </c>
      <c r="AY26" t="s">
        <v>1133</v>
      </c>
      <c r="AZ26" t="s">
        <v>17</v>
      </c>
      <c r="BA26" t="s">
        <v>180</v>
      </c>
      <c r="BB26" t="s">
        <v>38</v>
      </c>
      <c r="BD26" t="s">
        <v>28</v>
      </c>
      <c r="BG26" s="123"/>
      <c r="BH26" t="b">
        <v>0</v>
      </c>
      <c r="BK26" t="s">
        <v>1105</v>
      </c>
      <c r="BL26" t="s">
        <v>1215</v>
      </c>
      <c r="CC26" s="123"/>
      <c r="CE26" s="123"/>
      <c r="CG26" s="123"/>
      <c r="CI26" s="123"/>
      <c r="CK26" s="123"/>
      <c r="CM26" s="123"/>
      <c r="CO26" s="123"/>
      <c r="CT26" s="123"/>
      <c r="CV26" s="123"/>
    </row>
    <row r="27" spans="1:100">
      <c r="A27" t="s">
        <v>1354</v>
      </c>
      <c r="B27" s="123">
        <v>44337</v>
      </c>
      <c r="C27" t="s">
        <v>1355</v>
      </c>
      <c r="D27" t="s">
        <v>352</v>
      </c>
      <c r="E27" t="s">
        <v>1122</v>
      </c>
      <c r="F27" t="s">
        <v>1123</v>
      </c>
      <c r="G27" t="s">
        <v>374</v>
      </c>
      <c r="H27" t="s">
        <v>1207</v>
      </c>
      <c r="I27" t="s">
        <v>354</v>
      </c>
      <c r="J27" t="s">
        <v>1124</v>
      </c>
      <c r="K27" t="s">
        <v>412</v>
      </c>
      <c r="L27" t="s">
        <v>1128</v>
      </c>
      <c r="M27" t="s">
        <v>346</v>
      </c>
      <c r="N27" t="s">
        <v>1356</v>
      </c>
      <c r="O27" t="s">
        <v>1220</v>
      </c>
      <c r="P27" t="s">
        <v>1357</v>
      </c>
      <c r="Q27" s="123">
        <v>44337</v>
      </c>
      <c r="R27" s="123">
        <v>44348</v>
      </c>
      <c r="S27" t="s">
        <v>1358</v>
      </c>
      <c r="T27" s="123">
        <v>44337</v>
      </c>
      <c r="U27">
        <v>0</v>
      </c>
      <c r="V27">
        <v>0</v>
      </c>
      <c r="W27" t="s">
        <v>262</v>
      </c>
      <c r="X27" t="s">
        <v>1359</v>
      </c>
      <c r="AA27" t="s">
        <v>3</v>
      </c>
      <c r="AB27" t="s">
        <v>1359</v>
      </c>
      <c r="AC27" s="123">
        <v>44337</v>
      </c>
      <c r="AD27" t="s">
        <v>349</v>
      </c>
      <c r="AE27" t="s">
        <v>1127</v>
      </c>
      <c r="AF27" t="s">
        <v>1104</v>
      </c>
      <c r="AG27" t="s">
        <v>0</v>
      </c>
      <c r="AH27">
        <v>1</v>
      </c>
      <c r="AI27" t="b">
        <v>0</v>
      </c>
      <c r="AK27" t="b">
        <v>0</v>
      </c>
      <c r="AM27" t="b">
        <v>0</v>
      </c>
      <c r="AN27" t="b">
        <v>0</v>
      </c>
      <c r="AO27" t="b">
        <v>0</v>
      </c>
      <c r="AP27" t="b">
        <v>0</v>
      </c>
      <c r="AQ27" t="b">
        <v>0</v>
      </c>
      <c r="AR27" t="b">
        <v>0</v>
      </c>
      <c r="AS27" t="b">
        <v>0</v>
      </c>
      <c r="AT27" t="s">
        <v>1360</v>
      </c>
      <c r="AU27">
        <v>9882360</v>
      </c>
      <c r="AV27" t="s">
        <v>983</v>
      </c>
      <c r="AW27" t="s">
        <v>1058</v>
      </c>
      <c r="AX27" s="123">
        <v>44509</v>
      </c>
      <c r="AY27" t="s">
        <v>1133</v>
      </c>
      <c r="AZ27" t="s">
        <v>13</v>
      </c>
      <c r="BA27" t="s">
        <v>83</v>
      </c>
      <c r="BB27" t="s">
        <v>38</v>
      </c>
      <c r="BD27" t="s">
        <v>28</v>
      </c>
      <c r="BG27" s="123"/>
      <c r="BH27" t="b">
        <v>0</v>
      </c>
      <c r="BK27" t="s">
        <v>1105</v>
      </c>
      <c r="BL27" t="s">
        <v>1215</v>
      </c>
      <c r="CC27" s="123"/>
      <c r="CE27" s="123"/>
      <c r="CG27" s="123"/>
      <c r="CI27" s="123"/>
      <c r="CK27" s="123"/>
      <c r="CM27" s="123"/>
      <c r="CO27" s="123"/>
      <c r="CT27" s="123"/>
      <c r="CV27" s="123"/>
    </row>
    <row r="28" spans="1:100">
      <c r="A28" t="s">
        <v>1361</v>
      </c>
      <c r="B28" s="123">
        <v>44337</v>
      </c>
      <c r="C28" t="s">
        <v>1362</v>
      </c>
      <c r="D28" t="s">
        <v>352</v>
      </c>
      <c r="E28" t="s">
        <v>1122</v>
      </c>
      <c r="F28" t="s">
        <v>1123</v>
      </c>
      <c r="G28" t="s">
        <v>374</v>
      </c>
      <c r="H28" t="s">
        <v>1207</v>
      </c>
      <c r="I28" t="s">
        <v>354</v>
      </c>
      <c r="J28" t="s">
        <v>1124</v>
      </c>
      <c r="K28" t="s">
        <v>412</v>
      </c>
      <c r="L28" t="s">
        <v>1128</v>
      </c>
      <c r="M28" t="s">
        <v>346</v>
      </c>
      <c r="N28" t="s">
        <v>1363</v>
      </c>
      <c r="O28" t="s">
        <v>1220</v>
      </c>
      <c r="P28" t="s">
        <v>1364</v>
      </c>
      <c r="Q28" s="123">
        <v>44337</v>
      </c>
      <c r="R28" s="123">
        <v>44348</v>
      </c>
      <c r="S28" t="s">
        <v>1365</v>
      </c>
      <c r="T28" s="123">
        <v>44337</v>
      </c>
      <c r="U28">
        <v>0</v>
      </c>
      <c r="V28">
        <v>0</v>
      </c>
      <c r="W28" t="s">
        <v>262</v>
      </c>
      <c r="X28" t="s">
        <v>1364</v>
      </c>
      <c r="AA28" t="s">
        <v>3</v>
      </c>
      <c r="AB28" t="s">
        <v>1364</v>
      </c>
      <c r="AC28" s="123">
        <v>44337</v>
      </c>
      <c r="AD28" t="s">
        <v>349</v>
      </c>
      <c r="AE28" t="s">
        <v>1127</v>
      </c>
      <c r="AF28" t="s">
        <v>1104</v>
      </c>
      <c r="AG28" t="s">
        <v>0</v>
      </c>
      <c r="AH28">
        <v>1</v>
      </c>
      <c r="AI28" t="b">
        <v>0</v>
      </c>
      <c r="AK28" t="b">
        <v>0</v>
      </c>
      <c r="AM28" t="b">
        <v>0</v>
      </c>
      <c r="AN28" t="b">
        <v>0</v>
      </c>
      <c r="AO28" t="b">
        <v>0</v>
      </c>
      <c r="AP28" t="b">
        <v>0</v>
      </c>
      <c r="AQ28" t="b">
        <v>0</v>
      </c>
      <c r="AR28" t="b">
        <v>0</v>
      </c>
      <c r="AS28" t="b">
        <v>0</v>
      </c>
      <c r="AT28" t="s">
        <v>1366</v>
      </c>
      <c r="AU28">
        <v>9882360</v>
      </c>
      <c r="AV28" t="s">
        <v>983</v>
      </c>
      <c r="AW28" t="s">
        <v>1058</v>
      </c>
      <c r="AX28" s="123">
        <v>44509</v>
      </c>
      <c r="AY28" t="s">
        <v>1133</v>
      </c>
      <c r="AZ28" t="s">
        <v>19</v>
      </c>
      <c r="BA28" t="s">
        <v>150</v>
      </c>
      <c r="BB28" t="s">
        <v>38</v>
      </c>
      <c r="BD28" t="s">
        <v>28</v>
      </c>
      <c r="BG28" s="123"/>
      <c r="BH28" t="b">
        <v>0</v>
      </c>
      <c r="BK28" t="s">
        <v>1105</v>
      </c>
      <c r="BL28" t="s">
        <v>1215</v>
      </c>
      <c r="CC28" s="123"/>
      <c r="CE28" s="123"/>
      <c r="CG28" s="123"/>
      <c r="CI28" s="123"/>
      <c r="CK28" s="123"/>
      <c r="CM28" s="123"/>
      <c r="CO28" s="123"/>
      <c r="CT28" s="123"/>
      <c r="CV28" s="123"/>
    </row>
    <row r="29" spans="1:100">
      <c r="A29" t="s">
        <v>1367</v>
      </c>
      <c r="B29" s="123">
        <v>44385</v>
      </c>
      <c r="C29" t="s">
        <v>1368</v>
      </c>
      <c r="D29" t="s">
        <v>358</v>
      </c>
      <c r="E29" t="s">
        <v>1110</v>
      </c>
      <c r="F29" t="s">
        <v>1111</v>
      </c>
      <c r="G29" t="s">
        <v>375</v>
      </c>
      <c r="I29" t="s">
        <v>360</v>
      </c>
      <c r="J29" t="s">
        <v>1112</v>
      </c>
      <c r="K29" t="s">
        <v>402</v>
      </c>
      <c r="L29" t="s">
        <v>1113</v>
      </c>
      <c r="M29" t="s">
        <v>346</v>
      </c>
      <c r="N29" t="s">
        <v>1114</v>
      </c>
      <c r="O29" t="s">
        <v>262</v>
      </c>
      <c r="P29" t="s">
        <v>262</v>
      </c>
      <c r="Q29" s="123"/>
      <c r="R29" s="123">
        <v>44385</v>
      </c>
      <c r="S29" t="s">
        <v>262</v>
      </c>
      <c r="T29" s="123"/>
      <c r="U29">
        <v>0</v>
      </c>
      <c r="V29">
        <v>0</v>
      </c>
      <c r="W29" t="s">
        <v>262</v>
      </c>
      <c r="X29" t="s">
        <v>1109</v>
      </c>
      <c r="AA29" t="s">
        <v>5</v>
      </c>
      <c r="AB29" t="s">
        <v>262</v>
      </c>
      <c r="AC29" s="123">
        <v>44385</v>
      </c>
      <c r="AD29" t="s">
        <v>349</v>
      </c>
      <c r="AE29" t="s">
        <v>1369</v>
      </c>
      <c r="AF29" t="s">
        <v>1104</v>
      </c>
      <c r="AG29" t="s">
        <v>0</v>
      </c>
      <c r="AH29">
        <v>1</v>
      </c>
      <c r="AI29" t="b">
        <v>0</v>
      </c>
      <c r="AK29" t="b">
        <v>0</v>
      </c>
      <c r="AM29" t="b">
        <v>0</v>
      </c>
      <c r="AN29" t="b">
        <v>0</v>
      </c>
      <c r="AO29" t="b">
        <v>0</v>
      </c>
      <c r="AP29" t="b">
        <v>0</v>
      </c>
      <c r="AQ29" t="b">
        <v>0</v>
      </c>
      <c r="AR29" t="b">
        <v>0</v>
      </c>
      <c r="AS29" t="b">
        <v>0</v>
      </c>
      <c r="AT29" t="s">
        <v>1373</v>
      </c>
      <c r="AU29">
        <v>9882360</v>
      </c>
      <c r="AV29" t="s">
        <v>983</v>
      </c>
      <c r="AW29" t="s">
        <v>1058</v>
      </c>
      <c r="AX29" s="123">
        <v>44509</v>
      </c>
      <c r="AY29" t="s">
        <v>1133</v>
      </c>
      <c r="BB29" t="s">
        <v>402</v>
      </c>
      <c r="BC29" t="s">
        <v>262</v>
      </c>
      <c r="BD29" t="s">
        <v>801</v>
      </c>
      <c r="BG29" s="123"/>
      <c r="BH29" t="b">
        <v>0</v>
      </c>
      <c r="BK29" t="s">
        <v>1105</v>
      </c>
      <c r="BL29" t="s">
        <v>1370</v>
      </c>
      <c r="BM29" t="s">
        <v>852</v>
      </c>
      <c r="BN29" t="s">
        <v>1371</v>
      </c>
      <c r="BO29" t="s">
        <v>1371</v>
      </c>
      <c r="BP29" t="s">
        <v>1116</v>
      </c>
      <c r="BQ29" t="s">
        <v>1117</v>
      </c>
      <c r="BR29" s="122">
        <v>203.53274305555556</v>
      </c>
      <c r="BS29" t="s">
        <v>1177</v>
      </c>
      <c r="BT29" t="s">
        <v>1107</v>
      </c>
      <c r="BU29" t="s">
        <v>1372</v>
      </c>
      <c r="BV29" t="s">
        <v>1118</v>
      </c>
      <c r="BW29" t="s">
        <v>1119</v>
      </c>
      <c r="BX29" t="s">
        <v>1120</v>
      </c>
      <c r="BY29" t="s">
        <v>1121</v>
      </c>
      <c r="BZ29" t="s">
        <v>346</v>
      </c>
      <c r="CA29" t="s">
        <v>262</v>
      </c>
      <c r="CB29" t="s">
        <v>1369</v>
      </c>
      <c r="CC29" s="123">
        <v>44385</v>
      </c>
      <c r="CD29" t="s">
        <v>341</v>
      </c>
      <c r="CE29" s="123">
        <v>44385</v>
      </c>
      <c r="CF29" t="s">
        <v>341</v>
      </c>
      <c r="CG29" s="123">
        <v>44385</v>
      </c>
      <c r="CH29" t="s">
        <v>262</v>
      </c>
      <c r="CI29" s="123"/>
      <c r="CJ29" t="s">
        <v>341</v>
      </c>
      <c r="CK29" s="123">
        <v>44385</v>
      </c>
      <c r="CL29" t="s">
        <v>341</v>
      </c>
      <c r="CM29" s="123">
        <v>44385</v>
      </c>
      <c r="CN29" t="s">
        <v>341</v>
      </c>
      <c r="CO29" s="123">
        <v>44385</v>
      </c>
      <c r="CT29" s="123"/>
      <c r="CV29" s="123"/>
    </row>
    <row r="30" spans="1:100">
      <c r="A30" t="s">
        <v>1374</v>
      </c>
      <c r="B30" s="123">
        <v>44386</v>
      </c>
      <c r="C30" t="s">
        <v>1375</v>
      </c>
      <c r="D30" t="s">
        <v>364</v>
      </c>
      <c r="E30" t="s">
        <v>1131</v>
      </c>
      <c r="F30" t="s">
        <v>1132</v>
      </c>
      <c r="G30" t="s">
        <v>390</v>
      </c>
      <c r="H30" t="s">
        <v>1181</v>
      </c>
      <c r="I30" t="s">
        <v>19</v>
      </c>
      <c r="J30" t="s">
        <v>1376</v>
      </c>
      <c r="K30" t="s">
        <v>149</v>
      </c>
      <c r="L30" t="s">
        <v>1377</v>
      </c>
      <c r="M30" t="s">
        <v>346</v>
      </c>
      <c r="N30" t="s">
        <v>1378</v>
      </c>
      <c r="O30" t="s">
        <v>1379</v>
      </c>
      <c r="P30" t="s">
        <v>1380</v>
      </c>
      <c r="Q30" s="123">
        <v>44387</v>
      </c>
      <c r="R30" s="123">
        <v>44476</v>
      </c>
      <c r="S30" t="s">
        <v>1381</v>
      </c>
      <c r="T30" s="123">
        <v>44404</v>
      </c>
      <c r="U30">
        <v>0</v>
      </c>
      <c r="V30">
        <v>0</v>
      </c>
      <c r="W30" t="s">
        <v>262</v>
      </c>
      <c r="X30" t="s">
        <v>1382</v>
      </c>
      <c r="AA30" t="s">
        <v>4</v>
      </c>
      <c r="AB30" t="s">
        <v>1383</v>
      </c>
      <c r="AC30" s="123">
        <v>44404</v>
      </c>
      <c r="AD30" t="s">
        <v>349</v>
      </c>
      <c r="AE30" t="s">
        <v>1127</v>
      </c>
      <c r="AF30" t="s">
        <v>1104</v>
      </c>
      <c r="AG30" t="s">
        <v>0</v>
      </c>
      <c r="AH30">
        <v>1</v>
      </c>
      <c r="AI30" t="b">
        <v>0</v>
      </c>
      <c r="AK30" t="b">
        <v>0</v>
      </c>
      <c r="AM30" t="b">
        <v>1</v>
      </c>
      <c r="AN30" t="b">
        <v>0</v>
      </c>
      <c r="AO30" t="b">
        <v>0</v>
      </c>
      <c r="AP30" t="b">
        <v>0</v>
      </c>
      <c r="AQ30" t="b">
        <v>0</v>
      </c>
      <c r="AR30" t="b">
        <v>0</v>
      </c>
      <c r="AS30" t="b">
        <v>0</v>
      </c>
      <c r="AT30" t="s">
        <v>1384</v>
      </c>
      <c r="AU30">
        <v>9882360</v>
      </c>
      <c r="AV30" t="s">
        <v>983</v>
      </c>
      <c r="AW30" t="s">
        <v>1058</v>
      </c>
      <c r="AX30" s="123">
        <v>44509</v>
      </c>
      <c r="AY30" t="s">
        <v>1133</v>
      </c>
      <c r="AZ30" t="s">
        <v>19</v>
      </c>
      <c r="BA30" t="s">
        <v>149</v>
      </c>
      <c r="BB30" t="s">
        <v>43</v>
      </c>
      <c r="BD30" t="s">
        <v>756</v>
      </c>
      <c r="BG30" s="123"/>
      <c r="BH30" t="b">
        <v>0</v>
      </c>
      <c r="BK30" t="s">
        <v>1105</v>
      </c>
      <c r="CC30" s="123"/>
      <c r="CE30" s="123"/>
      <c r="CG30" s="123"/>
      <c r="CI30" s="123"/>
      <c r="CK30" s="123"/>
      <c r="CM30" s="123"/>
      <c r="CO30" s="123"/>
      <c r="CT30" s="123"/>
      <c r="CV30" s="123"/>
    </row>
    <row r="31" spans="1:100">
      <c r="A31" t="s">
        <v>1385</v>
      </c>
      <c r="B31" s="123">
        <v>44387</v>
      </c>
      <c r="C31" t="s">
        <v>1386</v>
      </c>
      <c r="D31" t="s">
        <v>364</v>
      </c>
      <c r="E31" t="s">
        <v>1131</v>
      </c>
      <c r="F31" t="s">
        <v>1132</v>
      </c>
      <c r="G31" t="s">
        <v>390</v>
      </c>
      <c r="H31" t="s">
        <v>1181</v>
      </c>
      <c r="I31" t="s">
        <v>19</v>
      </c>
      <c r="J31" t="s">
        <v>1376</v>
      </c>
      <c r="K31" t="s">
        <v>149</v>
      </c>
      <c r="L31" t="s">
        <v>1377</v>
      </c>
      <c r="M31" t="s">
        <v>346</v>
      </c>
      <c r="N31" t="s">
        <v>1387</v>
      </c>
      <c r="O31" t="s">
        <v>1388</v>
      </c>
      <c r="P31" t="s">
        <v>1389</v>
      </c>
      <c r="Q31" s="123">
        <v>44387</v>
      </c>
      <c r="R31" s="123">
        <v>44477</v>
      </c>
      <c r="S31" t="s">
        <v>1390</v>
      </c>
      <c r="T31" s="123">
        <v>44392</v>
      </c>
      <c r="U31">
        <v>0</v>
      </c>
      <c r="V31">
        <v>0</v>
      </c>
      <c r="W31" t="s">
        <v>262</v>
      </c>
      <c r="X31" t="s">
        <v>1391</v>
      </c>
      <c r="AA31" t="s">
        <v>4</v>
      </c>
      <c r="AB31" t="s">
        <v>1392</v>
      </c>
      <c r="AC31" s="123">
        <v>44392</v>
      </c>
      <c r="AD31" t="s">
        <v>349</v>
      </c>
      <c r="AE31" t="s">
        <v>1127</v>
      </c>
      <c r="AF31" t="s">
        <v>1104</v>
      </c>
      <c r="AG31" t="s">
        <v>0</v>
      </c>
      <c r="AH31">
        <v>1</v>
      </c>
      <c r="AI31" t="b">
        <v>0</v>
      </c>
      <c r="AK31" t="b">
        <v>0</v>
      </c>
      <c r="AM31" t="b">
        <v>0</v>
      </c>
      <c r="AN31" t="b">
        <v>0</v>
      </c>
      <c r="AO31" t="b">
        <v>0</v>
      </c>
      <c r="AP31" t="b">
        <v>0</v>
      </c>
      <c r="AQ31" t="b">
        <v>0</v>
      </c>
      <c r="AR31" t="b">
        <v>0</v>
      </c>
      <c r="AS31" t="b">
        <v>0</v>
      </c>
      <c r="AT31" t="s">
        <v>1393</v>
      </c>
      <c r="AU31">
        <v>9882360</v>
      </c>
      <c r="AV31" t="s">
        <v>983</v>
      </c>
      <c r="AW31" t="s">
        <v>1058</v>
      </c>
      <c r="AX31" s="123">
        <v>44509</v>
      </c>
      <c r="AY31" t="s">
        <v>1133</v>
      </c>
      <c r="AZ31" t="s">
        <v>19</v>
      </c>
      <c r="BA31" t="s">
        <v>149</v>
      </c>
      <c r="BB31" t="s">
        <v>43</v>
      </c>
      <c r="BD31" t="s">
        <v>756</v>
      </c>
      <c r="BG31" s="123"/>
      <c r="BH31" t="b">
        <v>0</v>
      </c>
      <c r="BK31" t="s">
        <v>1105</v>
      </c>
      <c r="CC31" s="123"/>
      <c r="CE31" s="123"/>
      <c r="CG31" s="123"/>
      <c r="CI31" s="123"/>
      <c r="CK31" s="123"/>
      <c r="CM31" s="123"/>
      <c r="CO31" s="123"/>
      <c r="CT31" s="123"/>
      <c r="CV31" s="123"/>
    </row>
    <row r="32" spans="1:100">
      <c r="A32" t="s">
        <v>1394</v>
      </c>
      <c r="B32" s="123">
        <v>44402</v>
      </c>
      <c r="C32" t="s">
        <v>1395</v>
      </c>
      <c r="D32" t="s">
        <v>364</v>
      </c>
      <c r="E32" t="s">
        <v>1131</v>
      </c>
      <c r="F32" t="s">
        <v>1132</v>
      </c>
      <c r="G32" t="s">
        <v>389</v>
      </c>
      <c r="H32" t="s">
        <v>1396</v>
      </c>
      <c r="I32" t="s">
        <v>8</v>
      </c>
      <c r="J32" t="s">
        <v>1397</v>
      </c>
      <c r="K32" t="s">
        <v>75</v>
      </c>
      <c r="L32" t="s">
        <v>1398</v>
      </c>
      <c r="M32" t="s">
        <v>346</v>
      </c>
      <c r="N32" t="s">
        <v>1399</v>
      </c>
      <c r="O32" t="s">
        <v>1400</v>
      </c>
      <c r="P32" t="s">
        <v>1401</v>
      </c>
      <c r="Q32" s="123">
        <v>44402</v>
      </c>
      <c r="R32" s="123">
        <v>44431</v>
      </c>
      <c r="S32" t="s">
        <v>1402</v>
      </c>
      <c r="T32" s="123">
        <v>44413</v>
      </c>
      <c r="U32">
        <v>0</v>
      </c>
      <c r="V32">
        <v>0</v>
      </c>
      <c r="W32" t="s">
        <v>262</v>
      </c>
      <c r="X32" t="s">
        <v>1403</v>
      </c>
      <c r="AA32" t="s">
        <v>3</v>
      </c>
      <c r="AB32" t="s">
        <v>1403</v>
      </c>
      <c r="AC32" s="123">
        <v>44413</v>
      </c>
      <c r="AD32" t="s">
        <v>349</v>
      </c>
      <c r="AE32" t="s">
        <v>1127</v>
      </c>
      <c r="AF32" t="s">
        <v>1104</v>
      </c>
      <c r="AG32" t="s">
        <v>0</v>
      </c>
      <c r="AH32">
        <v>1</v>
      </c>
      <c r="AI32" t="b">
        <v>0</v>
      </c>
      <c r="AK32" t="b">
        <v>0</v>
      </c>
      <c r="AM32" t="b">
        <v>0</v>
      </c>
      <c r="AN32" t="b">
        <v>0</v>
      </c>
      <c r="AO32" t="b">
        <v>0</v>
      </c>
      <c r="AP32" t="b">
        <v>0</v>
      </c>
      <c r="AQ32" t="b">
        <v>0</v>
      </c>
      <c r="AR32" t="b">
        <v>0</v>
      </c>
      <c r="AS32" t="b">
        <v>0</v>
      </c>
      <c r="AT32" t="s">
        <v>1404</v>
      </c>
      <c r="AU32">
        <v>9882360</v>
      </c>
      <c r="AV32" t="s">
        <v>983</v>
      </c>
      <c r="AW32" t="s">
        <v>1058</v>
      </c>
      <c r="AX32" s="123">
        <v>44509</v>
      </c>
      <c r="AY32" t="s">
        <v>1133</v>
      </c>
      <c r="AZ32" t="s">
        <v>8</v>
      </c>
      <c r="BA32" t="s">
        <v>75</v>
      </c>
      <c r="BB32" t="s">
        <v>38</v>
      </c>
      <c r="BD32" t="s">
        <v>757</v>
      </c>
      <c r="BG32" s="123"/>
      <c r="BH32" t="b">
        <v>0</v>
      </c>
      <c r="BK32" t="s">
        <v>1105</v>
      </c>
      <c r="CC32" s="123"/>
      <c r="CE32" s="123"/>
      <c r="CG32" s="123"/>
      <c r="CI32" s="123"/>
      <c r="CK32" s="123"/>
      <c r="CM32" s="123"/>
      <c r="CO32" s="123"/>
      <c r="CT32" s="123"/>
      <c r="CV32" s="123"/>
    </row>
    <row r="33" spans="1:100">
      <c r="A33" t="s">
        <v>1406</v>
      </c>
      <c r="B33" s="123">
        <v>44463</v>
      </c>
      <c r="C33" t="s">
        <v>1405</v>
      </c>
      <c r="D33" t="s">
        <v>352</v>
      </c>
      <c r="E33" t="s">
        <v>1122</v>
      </c>
      <c r="F33" t="s">
        <v>1123</v>
      </c>
      <c r="G33" t="s">
        <v>374</v>
      </c>
      <c r="H33" t="s">
        <v>1407</v>
      </c>
      <c r="I33" t="s">
        <v>354</v>
      </c>
      <c r="J33" t="s">
        <v>1124</v>
      </c>
      <c r="K33" t="s">
        <v>75</v>
      </c>
      <c r="L33" t="s">
        <v>1398</v>
      </c>
      <c r="M33" t="s">
        <v>346</v>
      </c>
      <c r="N33" t="s">
        <v>1408</v>
      </c>
      <c r="O33" t="s">
        <v>1409</v>
      </c>
      <c r="P33" t="s">
        <v>1410</v>
      </c>
      <c r="Q33" s="123">
        <v>44463</v>
      </c>
      <c r="R33" s="123">
        <v>44499</v>
      </c>
      <c r="S33" t="s">
        <v>1411</v>
      </c>
      <c r="T33" s="123">
        <v>44482</v>
      </c>
      <c r="U33">
        <v>0</v>
      </c>
      <c r="V33">
        <v>0</v>
      </c>
      <c r="W33" t="s">
        <v>262</v>
      </c>
      <c r="X33" t="s">
        <v>1412</v>
      </c>
      <c r="AA33" t="s">
        <v>1</v>
      </c>
      <c r="AB33" t="s">
        <v>1413</v>
      </c>
      <c r="AC33" s="123">
        <v>44482</v>
      </c>
      <c r="AD33" t="s">
        <v>349</v>
      </c>
      <c r="AE33" t="s">
        <v>1127</v>
      </c>
      <c r="AF33" t="s">
        <v>1104</v>
      </c>
      <c r="AG33" t="s">
        <v>0</v>
      </c>
      <c r="AH33">
        <v>1</v>
      </c>
      <c r="AI33" t="b">
        <v>0</v>
      </c>
      <c r="AK33" t="b">
        <v>0</v>
      </c>
      <c r="AM33" t="b">
        <v>0</v>
      </c>
      <c r="AN33" t="b">
        <v>0</v>
      </c>
      <c r="AO33" t="b">
        <v>0</v>
      </c>
      <c r="AP33" t="b">
        <v>0</v>
      </c>
      <c r="AQ33" t="b">
        <v>0</v>
      </c>
      <c r="AR33" t="b">
        <v>0</v>
      </c>
      <c r="AS33" t="b">
        <v>0</v>
      </c>
      <c r="AT33" t="s">
        <v>1415</v>
      </c>
      <c r="AU33">
        <v>9882360</v>
      </c>
      <c r="AV33" t="s">
        <v>983</v>
      </c>
      <c r="AW33" t="s">
        <v>1058</v>
      </c>
      <c r="AX33" s="123">
        <v>44509</v>
      </c>
      <c r="AY33" t="s">
        <v>1133</v>
      </c>
      <c r="AZ33" t="s">
        <v>13</v>
      </c>
      <c r="BA33" t="s">
        <v>83</v>
      </c>
      <c r="BB33" t="s">
        <v>1416</v>
      </c>
      <c r="BD33" t="s">
        <v>757</v>
      </c>
      <c r="BG33" s="123"/>
      <c r="BH33" t="b">
        <v>0</v>
      </c>
      <c r="BK33" t="s">
        <v>1105</v>
      </c>
      <c r="BL33" t="s">
        <v>1414</v>
      </c>
      <c r="CC33" s="123"/>
      <c r="CE33" s="123"/>
      <c r="CG33" s="123"/>
      <c r="CI33" s="123"/>
      <c r="CK33" s="123"/>
      <c r="CM33" s="123"/>
      <c r="CO33" s="123"/>
      <c r="CT33" s="123"/>
      <c r="CV33" s="123"/>
    </row>
    <row r="34" spans="1:100">
      <c r="A34" t="s">
        <v>1418</v>
      </c>
      <c r="B34" s="123">
        <v>44463</v>
      </c>
      <c r="C34" t="s">
        <v>1417</v>
      </c>
      <c r="D34" t="s">
        <v>352</v>
      </c>
      <c r="E34" t="s">
        <v>1122</v>
      </c>
      <c r="F34" t="s">
        <v>1123</v>
      </c>
      <c r="G34" t="s">
        <v>374</v>
      </c>
      <c r="H34" t="s">
        <v>1407</v>
      </c>
      <c r="I34" t="s">
        <v>354</v>
      </c>
      <c r="J34" t="s">
        <v>1124</v>
      </c>
      <c r="K34" t="s">
        <v>412</v>
      </c>
      <c r="L34" t="s">
        <v>1128</v>
      </c>
      <c r="M34" t="s">
        <v>346</v>
      </c>
      <c r="N34" t="s">
        <v>1419</v>
      </c>
      <c r="O34" t="s">
        <v>1420</v>
      </c>
      <c r="P34" t="s">
        <v>1421</v>
      </c>
      <c r="Q34" s="123">
        <v>44463</v>
      </c>
      <c r="R34" s="123">
        <v>44499</v>
      </c>
      <c r="S34" t="s">
        <v>1422</v>
      </c>
      <c r="T34" s="123">
        <v>44476</v>
      </c>
      <c r="U34">
        <v>0</v>
      </c>
      <c r="V34">
        <v>0</v>
      </c>
      <c r="W34" t="s">
        <v>262</v>
      </c>
      <c r="X34" t="s">
        <v>1423</v>
      </c>
      <c r="AA34" t="s">
        <v>1</v>
      </c>
      <c r="AB34" t="s">
        <v>1424</v>
      </c>
      <c r="AC34" s="123">
        <v>44476</v>
      </c>
      <c r="AD34" t="s">
        <v>349</v>
      </c>
      <c r="AE34" t="s">
        <v>1127</v>
      </c>
      <c r="AF34" t="s">
        <v>1104</v>
      </c>
      <c r="AG34" t="s">
        <v>0</v>
      </c>
      <c r="AH34">
        <v>1</v>
      </c>
      <c r="AI34" t="b">
        <v>0</v>
      </c>
      <c r="AK34" t="b">
        <v>0</v>
      </c>
      <c r="AM34" t="b">
        <v>0</v>
      </c>
      <c r="AN34" t="b">
        <v>0</v>
      </c>
      <c r="AO34" t="b">
        <v>0</v>
      </c>
      <c r="AP34" t="b">
        <v>0</v>
      </c>
      <c r="AQ34" t="b">
        <v>0</v>
      </c>
      <c r="AR34" t="b">
        <v>0</v>
      </c>
      <c r="AS34" t="b">
        <v>0</v>
      </c>
      <c r="AT34" t="s">
        <v>1425</v>
      </c>
      <c r="AU34">
        <v>9882360</v>
      </c>
      <c r="AV34" t="s">
        <v>983</v>
      </c>
      <c r="AW34" t="s">
        <v>1058</v>
      </c>
      <c r="AX34" s="123">
        <v>44509</v>
      </c>
      <c r="AY34" t="s">
        <v>1133</v>
      </c>
      <c r="AZ34" t="s">
        <v>13</v>
      </c>
      <c r="BA34" t="s">
        <v>83</v>
      </c>
      <c r="BB34" t="s">
        <v>38</v>
      </c>
      <c r="BD34" t="s">
        <v>757</v>
      </c>
      <c r="BG34" s="123"/>
      <c r="BH34" t="b">
        <v>0</v>
      </c>
      <c r="BK34" t="s">
        <v>1105</v>
      </c>
      <c r="BL34" t="s">
        <v>1414</v>
      </c>
      <c r="CC34" s="123"/>
      <c r="CE34" s="123"/>
      <c r="CG34" s="123"/>
      <c r="CI34" s="123"/>
      <c r="CK34" s="123"/>
      <c r="CM34" s="123"/>
      <c r="CO34" s="123"/>
      <c r="CT34" s="123"/>
      <c r="CV34" s="123"/>
    </row>
    <row r="35" spans="1:100">
      <c r="A35" t="s">
        <v>1427</v>
      </c>
      <c r="B35" s="123">
        <v>44463</v>
      </c>
      <c r="C35" t="s">
        <v>1426</v>
      </c>
      <c r="D35" t="s">
        <v>352</v>
      </c>
      <c r="E35" t="s">
        <v>1122</v>
      </c>
      <c r="F35" t="s">
        <v>1123</v>
      </c>
      <c r="G35" t="s">
        <v>374</v>
      </c>
      <c r="H35" t="s">
        <v>1407</v>
      </c>
      <c r="I35" t="s">
        <v>354</v>
      </c>
      <c r="J35" t="s">
        <v>1124</v>
      </c>
      <c r="K35" t="s">
        <v>170</v>
      </c>
      <c r="L35" t="s">
        <v>1428</v>
      </c>
      <c r="M35" t="s">
        <v>346</v>
      </c>
      <c r="N35" t="s">
        <v>1429</v>
      </c>
      <c r="O35" t="s">
        <v>1266</v>
      </c>
      <c r="P35" t="s">
        <v>1430</v>
      </c>
      <c r="Q35" s="123">
        <v>44463</v>
      </c>
      <c r="R35" s="123">
        <v>44479</v>
      </c>
      <c r="S35" t="s">
        <v>1431</v>
      </c>
      <c r="T35" s="123">
        <v>44463</v>
      </c>
      <c r="U35">
        <v>0</v>
      </c>
      <c r="V35">
        <v>0</v>
      </c>
      <c r="W35" t="s">
        <v>262</v>
      </c>
      <c r="X35" t="s">
        <v>1432</v>
      </c>
      <c r="AA35" t="s">
        <v>804</v>
      </c>
      <c r="AB35" t="s">
        <v>1433</v>
      </c>
      <c r="AC35" s="123">
        <v>44463</v>
      </c>
      <c r="AD35" t="s">
        <v>349</v>
      </c>
      <c r="AE35" t="s">
        <v>1434</v>
      </c>
      <c r="AF35" t="s">
        <v>1104</v>
      </c>
      <c r="AG35" t="s">
        <v>0</v>
      </c>
      <c r="AH35">
        <v>1</v>
      </c>
      <c r="AI35" t="b">
        <v>0</v>
      </c>
      <c r="AK35" t="b">
        <v>0</v>
      </c>
      <c r="AM35" t="b">
        <v>0</v>
      </c>
      <c r="AN35" t="b">
        <v>0</v>
      </c>
      <c r="AO35" t="b">
        <v>0</v>
      </c>
      <c r="AP35" t="b">
        <v>0</v>
      </c>
      <c r="AQ35" t="b">
        <v>0</v>
      </c>
      <c r="AR35" t="b">
        <v>0</v>
      </c>
      <c r="AS35" t="b">
        <v>0</v>
      </c>
      <c r="AT35" t="s">
        <v>1435</v>
      </c>
      <c r="AU35">
        <v>9882360</v>
      </c>
      <c r="AV35" t="s">
        <v>983</v>
      </c>
      <c r="AW35" t="s">
        <v>1058</v>
      </c>
      <c r="AX35" s="123">
        <v>44509</v>
      </c>
      <c r="AY35" t="s">
        <v>1133</v>
      </c>
      <c r="AZ35" t="s">
        <v>13</v>
      </c>
      <c r="BA35" t="s">
        <v>83</v>
      </c>
      <c r="BB35" t="s">
        <v>168</v>
      </c>
      <c r="BD35" t="s">
        <v>28</v>
      </c>
      <c r="BG35" s="123"/>
      <c r="BH35" t="b">
        <v>0</v>
      </c>
      <c r="BK35" t="s">
        <v>1105</v>
      </c>
      <c r="BL35" t="s">
        <v>1414</v>
      </c>
      <c r="CC35" s="123"/>
      <c r="CE35" s="123"/>
      <c r="CG35" s="123"/>
      <c r="CI35" s="123"/>
      <c r="CK35" s="123"/>
      <c r="CM35" s="123"/>
      <c r="CO35" s="123"/>
      <c r="CT35" s="123"/>
      <c r="CV35" s="123"/>
    </row>
    <row r="36" spans="1:100">
      <c r="A36" t="s">
        <v>1437</v>
      </c>
      <c r="B36" s="123">
        <v>44463</v>
      </c>
      <c r="C36" t="s">
        <v>1436</v>
      </c>
      <c r="D36" t="s">
        <v>352</v>
      </c>
      <c r="E36" t="s">
        <v>1122</v>
      </c>
      <c r="F36" t="s">
        <v>1123</v>
      </c>
      <c r="G36" t="s">
        <v>374</v>
      </c>
      <c r="H36" t="s">
        <v>1407</v>
      </c>
      <c r="I36" t="s">
        <v>354</v>
      </c>
      <c r="J36" t="s">
        <v>1124</v>
      </c>
      <c r="K36" t="s">
        <v>170</v>
      </c>
      <c r="L36" t="s">
        <v>1428</v>
      </c>
      <c r="M36" t="s">
        <v>346</v>
      </c>
      <c r="N36" t="s">
        <v>1438</v>
      </c>
      <c r="O36" t="s">
        <v>1439</v>
      </c>
      <c r="P36" t="s">
        <v>1440</v>
      </c>
      <c r="Q36" s="123">
        <v>44463</v>
      </c>
      <c r="R36" s="123">
        <v>44479</v>
      </c>
      <c r="S36" t="s">
        <v>1441</v>
      </c>
      <c r="T36" s="123">
        <v>44463</v>
      </c>
      <c r="U36">
        <v>0</v>
      </c>
      <c r="V36">
        <v>0</v>
      </c>
      <c r="W36" t="s">
        <v>262</v>
      </c>
      <c r="X36" t="s">
        <v>1442</v>
      </c>
      <c r="AA36" t="s">
        <v>804</v>
      </c>
      <c r="AB36" t="s">
        <v>1443</v>
      </c>
      <c r="AC36" s="123">
        <v>44463</v>
      </c>
      <c r="AD36" t="s">
        <v>349</v>
      </c>
      <c r="AE36" t="s">
        <v>1127</v>
      </c>
      <c r="AF36" t="s">
        <v>1104</v>
      </c>
      <c r="AG36" t="s">
        <v>0</v>
      </c>
      <c r="AH36">
        <v>1</v>
      </c>
      <c r="AI36" t="b">
        <v>0</v>
      </c>
      <c r="AK36" t="b">
        <v>0</v>
      </c>
      <c r="AM36" t="b">
        <v>0</v>
      </c>
      <c r="AN36" t="b">
        <v>0</v>
      </c>
      <c r="AO36" t="b">
        <v>0</v>
      </c>
      <c r="AP36" t="b">
        <v>0</v>
      </c>
      <c r="AQ36" t="b">
        <v>0</v>
      </c>
      <c r="AR36" t="b">
        <v>0</v>
      </c>
      <c r="AS36" t="b">
        <v>0</v>
      </c>
      <c r="AT36" t="s">
        <v>1444</v>
      </c>
      <c r="AU36">
        <v>9882360</v>
      </c>
      <c r="AV36" t="s">
        <v>983</v>
      </c>
      <c r="AW36" t="s">
        <v>1058</v>
      </c>
      <c r="AX36" s="123">
        <v>44509</v>
      </c>
      <c r="AY36" t="s">
        <v>1133</v>
      </c>
      <c r="AZ36" t="s">
        <v>13</v>
      </c>
      <c r="BA36" t="s">
        <v>83</v>
      </c>
      <c r="BB36" t="s">
        <v>168</v>
      </c>
      <c r="BD36" t="s">
        <v>28</v>
      </c>
      <c r="BG36" s="123"/>
      <c r="BH36" t="b">
        <v>0</v>
      </c>
      <c r="BK36" t="s">
        <v>1105</v>
      </c>
      <c r="BL36" t="s">
        <v>1414</v>
      </c>
      <c r="CC36" s="123"/>
      <c r="CE36" s="123"/>
      <c r="CG36" s="123"/>
      <c r="CI36" s="123"/>
      <c r="CK36" s="123"/>
      <c r="CM36" s="123"/>
      <c r="CO36" s="123"/>
      <c r="CT36" s="123"/>
      <c r="CV36" s="123"/>
    </row>
    <row r="37" spans="1:100">
      <c r="A37" t="s">
        <v>1446</v>
      </c>
      <c r="B37" s="123">
        <v>44463</v>
      </c>
      <c r="C37" t="s">
        <v>1445</v>
      </c>
      <c r="D37" t="s">
        <v>352</v>
      </c>
      <c r="E37" t="s">
        <v>1122</v>
      </c>
      <c r="F37" t="s">
        <v>1123</v>
      </c>
      <c r="G37" t="s">
        <v>374</v>
      </c>
      <c r="H37" t="s">
        <v>1407</v>
      </c>
      <c r="I37" t="s">
        <v>354</v>
      </c>
      <c r="J37" t="s">
        <v>1124</v>
      </c>
      <c r="K37" t="s">
        <v>414</v>
      </c>
      <c r="L37" t="s">
        <v>1126</v>
      </c>
      <c r="M37" t="s">
        <v>346</v>
      </c>
      <c r="N37" t="s">
        <v>1447</v>
      </c>
      <c r="O37" t="s">
        <v>1448</v>
      </c>
      <c r="P37" t="s">
        <v>1449</v>
      </c>
      <c r="Q37" s="123">
        <v>44463</v>
      </c>
      <c r="R37" s="123">
        <v>44499</v>
      </c>
      <c r="S37" t="s">
        <v>1441</v>
      </c>
      <c r="T37" s="123">
        <v>44463</v>
      </c>
      <c r="U37">
        <v>0</v>
      </c>
      <c r="V37">
        <v>0</v>
      </c>
      <c r="W37" t="s">
        <v>262</v>
      </c>
      <c r="X37" t="s">
        <v>1450</v>
      </c>
      <c r="AA37" t="s">
        <v>804</v>
      </c>
      <c r="AB37" t="s">
        <v>1451</v>
      </c>
      <c r="AC37" s="123">
        <v>44463</v>
      </c>
      <c r="AD37" t="s">
        <v>349</v>
      </c>
      <c r="AE37" t="s">
        <v>1127</v>
      </c>
      <c r="AF37" t="s">
        <v>1104</v>
      </c>
      <c r="AG37" t="s">
        <v>0</v>
      </c>
      <c r="AH37">
        <v>1</v>
      </c>
      <c r="AI37" t="b">
        <v>0</v>
      </c>
      <c r="AK37" t="b">
        <v>0</v>
      </c>
      <c r="AM37" t="b">
        <v>0</v>
      </c>
      <c r="AN37" t="b">
        <v>0</v>
      </c>
      <c r="AO37" t="b">
        <v>0</v>
      </c>
      <c r="AP37" t="b">
        <v>0</v>
      </c>
      <c r="AQ37" t="b">
        <v>0</v>
      </c>
      <c r="AR37" t="b">
        <v>0</v>
      </c>
      <c r="AS37" t="b">
        <v>0</v>
      </c>
      <c r="AT37" t="s">
        <v>1452</v>
      </c>
      <c r="AU37">
        <v>9882360</v>
      </c>
      <c r="AV37" t="s">
        <v>983</v>
      </c>
      <c r="AW37" t="s">
        <v>1058</v>
      </c>
      <c r="AX37" s="123">
        <v>44509</v>
      </c>
      <c r="AY37" t="s">
        <v>1133</v>
      </c>
      <c r="AZ37" t="s">
        <v>584</v>
      </c>
      <c r="BA37" t="s">
        <v>82</v>
      </c>
      <c r="BB37" t="s">
        <v>40</v>
      </c>
      <c r="BD37" t="s">
        <v>30</v>
      </c>
      <c r="BG37" s="123"/>
      <c r="BH37" t="b">
        <v>0</v>
      </c>
      <c r="BK37" t="s">
        <v>1105</v>
      </c>
      <c r="BL37" t="s">
        <v>1414</v>
      </c>
      <c r="CC37" s="123"/>
      <c r="CE37" s="123"/>
      <c r="CG37" s="123"/>
      <c r="CI37" s="123"/>
      <c r="CK37" s="123"/>
      <c r="CM37" s="123"/>
      <c r="CO37" s="123"/>
      <c r="CT37" s="123"/>
      <c r="CV37" s="123"/>
    </row>
    <row r="38" spans="1:100">
      <c r="A38" t="s">
        <v>1454</v>
      </c>
      <c r="B38" s="123">
        <v>44463</v>
      </c>
      <c r="C38" t="s">
        <v>1453</v>
      </c>
      <c r="D38" t="s">
        <v>352</v>
      </c>
      <c r="E38" t="s">
        <v>1122</v>
      </c>
      <c r="F38" t="s">
        <v>1123</v>
      </c>
      <c r="G38" t="s">
        <v>374</v>
      </c>
      <c r="H38" t="s">
        <v>1407</v>
      </c>
      <c r="I38" t="s">
        <v>354</v>
      </c>
      <c r="J38" t="s">
        <v>1124</v>
      </c>
      <c r="K38" t="s">
        <v>414</v>
      </c>
      <c r="L38" t="s">
        <v>1126</v>
      </c>
      <c r="M38" t="s">
        <v>346</v>
      </c>
      <c r="N38" t="s">
        <v>1455</v>
      </c>
      <c r="O38" t="s">
        <v>1456</v>
      </c>
      <c r="P38" t="s">
        <v>1457</v>
      </c>
      <c r="Q38" s="123">
        <v>44463</v>
      </c>
      <c r="R38" s="123">
        <v>44499</v>
      </c>
      <c r="S38" t="s">
        <v>1458</v>
      </c>
      <c r="T38" s="123">
        <v>44476</v>
      </c>
      <c r="U38">
        <v>0</v>
      </c>
      <c r="V38">
        <v>0</v>
      </c>
      <c r="W38" t="s">
        <v>262</v>
      </c>
      <c r="X38" t="s">
        <v>1459</v>
      </c>
      <c r="AA38" t="s">
        <v>1</v>
      </c>
      <c r="AB38" t="s">
        <v>1460</v>
      </c>
      <c r="AC38" s="123">
        <v>44476</v>
      </c>
      <c r="AD38" t="s">
        <v>349</v>
      </c>
      <c r="AE38" t="s">
        <v>1127</v>
      </c>
      <c r="AF38" t="s">
        <v>1104</v>
      </c>
      <c r="AG38" t="s">
        <v>0</v>
      </c>
      <c r="AH38">
        <v>1</v>
      </c>
      <c r="AI38" t="b">
        <v>0</v>
      </c>
      <c r="AK38" t="b">
        <v>0</v>
      </c>
      <c r="AM38" t="b">
        <v>0</v>
      </c>
      <c r="AN38" t="b">
        <v>0</v>
      </c>
      <c r="AO38" t="b">
        <v>0</v>
      </c>
      <c r="AP38" t="b">
        <v>0</v>
      </c>
      <c r="AQ38" t="b">
        <v>0</v>
      </c>
      <c r="AR38" t="b">
        <v>0</v>
      </c>
      <c r="AS38" t="b">
        <v>0</v>
      </c>
      <c r="AT38" t="s">
        <v>1461</v>
      </c>
      <c r="AU38">
        <v>9882360</v>
      </c>
      <c r="AV38" t="s">
        <v>983</v>
      </c>
      <c r="AW38" t="s">
        <v>1058</v>
      </c>
      <c r="AX38" s="123">
        <v>44509</v>
      </c>
      <c r="AY38" t="s">
        <v>1133</v>
      </c>
      <c r="AZ38" t="s">
        <v>13</v>
      </c>
      <c r="BA38" t="s">
        <v>83</v>
      </c>
      <c r="BB38" t="s">
        <v>40</v>
      </c>
      <c r="BD38" t="s">
        <v>757</v>
      </c>
      <c r="BG38" s="123"/>
      <c r="BH38" t="b">
        <v>0</v>
      </c>
      <c r="BK38" t="s">
        <v>1105</v>
      </c>
      <c r="BL38" t="s">
        <v>1414</v>
      </c>
      <c r="CC38" s="123"/>
      <c r="CE38" s="123"/>
      <c r="CG38" s="123"/>
      <c r="CI38" s="123"/>
      <c r="CK38" s="123"/>
      <c r="CM38" s="123"/>
      <c r="CO38" s="123"/>
      <c r="CT38" s="123"/>
      <c r="CV38" s="123"/>
    </row>
    <row r="39" spans="1:100">
      <c r="A39" t="s">
        <v>1463</v>
      </c>
      <c r="B39" s="123">
        <v>44463</v>
      </c>
      <c r="C39" t="s">
        <v>1462</v>
      </c>
      <c r="D39" t="s">
        <v>352</v>
      </c>
      <c r="E39" t="s">
        <v>1122</v>
      </c>
      <c r="F39" t="s">
        <v>1123</v>
      </c>
      <c r="G39" t="s">
        <v>374</v>
      </c>
      <c r="H39" t="s">
        <v>1407</v>
      </c>
      <c r="I39" t="s">
        <v>354</v>
      </c>
      <c r="J39" t="s">
        <v>1124</v>
      </c>
      <c r="K39" t="s">
        <v>414</v>
      </c>
      <c r="L39" t="s">
        <v>1126</v>
      </c>
      <c r="M39" t="s">
        <v>346</v>
      </c>
      <c r="N39" t="s">
        <v>1464</v>
      </c>
      <c r="O39" t="s">
        <v>1465</v>
      </c>
      <c r="P39" t="s">
        <v>1466</v>
      </c>
      <c r="Q39" s="123">
        <v>44463</v>
      </c>
      <c r="R39" s="123">
        <v>44479</v>
      </c>
      <c r="S39" t="s">
        <v>1467</v>
      </c>
      <c r="T39" s="123">
        <v>44477</v>
      </c>
      <c r="U39">
        <v>0</v>
      </c>
      <c r="V39">
        <v>0</v>
      </c>
      <c r="W39" t="s">
        <v>262</v>
      </c>
      <c r="X39" t="s">
        <v>1468</v>
      </c>
      <c r="AA39" t="s">
        <v>804</v>
      </c>
      <c r="AB39" t="s">
        <v>1468</v>
      </c>
      <c r="AC39" s="123">
        <v>44477</v>
      </c>
      <c r="AD39" t="s">
        <v>349</v>
      </c>
      <c r="AE39" t="s">
        <v>1127</v>
      </c>
      <c r="AF39" t="s">
        <v>1104</v>
      </c>
      <c r="AG39" t="s">
        <v>0</v>
      </c>
      <c r="AH39">
        <v>1</v>
      </c>
      <c r="AI39" t="b">
        <v>0</v>
      </c>
      <c r="AK39" t="b">
        <v>0</v>
      </c>
      <c r="AM39" t="b">
        <v>0</v>
      </c>
      <c r="AN39" t="b">
        <v>0</v>
      </c>
      <c r="AO39" t="b">
        <v>0</v>
      </c>
      <c r="AP39" t="b">
        <v>0</v>
      </c>
      <c r="AQ39" t="b">
        <v>0</v>
      </c>
      <c r="AR39" t="b">
        <v>0</v>
      </c>
      <c r="AS39" t="b">
        <v>0</v>
      </c>
      <c r="AT39" t="s">
        <v>1469</v>
      </c>
      <c r="AU39">
        <v>9882360</v>
      </c>
      <c r="AV39" t="s">
        <v>983</v>
      </c>
      <c r="AW39" t="s">
        <v>1058</v>
      </c>
      <c r="AX39" s="123">
        <v>44509</v>
      </c>
      <c r="AY39" t="s">
        <v>1133</v>
      </c>
      <c r="AZ39" t="s">
        <v>582</v>
      </c>
      <c r="BA39" t="s">
        <v>66</v>
      </c>
      <c r="BB39" t="s">
        <v>40</v>
      </c>
      <c r="BD39" t="s">
        <v>30</v>
      </c>
      <c r="BG39" s="123"/>
      <c r="BH39" t="b">
        <v>0</v>
      </c>
      <c r="BK39" t="s">
        <v>1105</v>
      </c>
      <c r="BL39" t="s">
        <v>1414</v>
      </c>
      <c r="CC39" s="123"/>
      <c r="CE39" s="123"/>
      <c r="CG39" s="123"/>
      <c r="CI39" s="123"/>
      <c r="CK39" s="123"/>
      <c r="CM39" s="123"/>
      <c r="CO39" s="123"/>
      <c r="CT39" s="123"/>
      <c r="CV39" s="123"/>
    </row>
    <row r="40" spans="1:100">
      <c r="A40" t="s">
        <v>1471</v>
      </c>
      <c r="B40" s="123">
        <v>44463</v>
      </c>
      <c r="C40" t="s">
        <v>1470</v>
      </c>
      <c r="D40" t="s">
        <v>352</v>
      </c>
      <c r="E40" t="s">
        <v>1122</v>
      </c>
      <c r="F40" t="s">
        <v>1123</v>
      </c>
      <c r="G40" t="s">
        <v>374</v>
      </c>
      <c r="H40" t="s">
        <v>1407</v>
      </c>
      <c r="I40" t="s">
        <v>354</v>
      </c>
      <c r="J40" t="s">
        <v>1124</v>
      </c>
      <c r="K40" t="s">
        <v>416</v>
      </c>
      <c r="L40" t="s">
        <v>1472</v>
      </c>
      <c r="M40" t="s">
        <v>346</v>
      </c>
      <c r="N40" t="s">
        <v>1473</v>
      </c>
      <c r="O40" t="s">
        <v>1220</v>
      </c>
      <c r="P40" t="s">
        <v>1474</v>
      </c>
      <c r="Q40" s="123">
        <v>44464</v>
      </c>
      <c r="R40" s="123">
        <v>44499</v>
      </c>
      <c r="S40" t="s">
        <v>1475</v>
      </c>
      <c r="T40" s="123">
        <v>44490</v>
      </c>
      <c r="U40">
        <v>0</v>
      </c>
      <c r="V40">
        <v>0</v>
      </c>
      <c r="W40" t="s">
        <v>262</v>
      </c>
      <c r="X40" t="s">
        <v>1476</v>
      </c>
      <c r="AA40" t="s">
        <v>1</v>
      </c>
      <c r="AB40" t="s">
        <v>1476</v>
      </c>
      <c r="AC40" s="123">
        <v>44490</v>
      </c>
      <c r="AD40" t="s">
        <v>349</v>
      </c>
      <c r="AE40" t="s">
        <v>1127</v>
      </c>
      <c r="AF40" t="s">
        <v>1104</v>
      </c>
      <c r="AG40" t="s">
        <v>0</v>
      </c>
      <c r="AH40">
        <v>1</v>
      </c>
      <c r="AI40" t="b">
        <v>0</v>
      </c>
      <c r="AK40" t="b">
        <v>0</v>
      </c>
      <c r="AM40" t="b">
        <v>0</v>
      </c>
      <c r="AN40" t="b">
        <v>0</v>
      </c>
      <c r="AO40" t="b">
        <v>0</v>
      </c>
      <c r="AP40" t="b">
        <v>0</v>
      </c>
      <c r="AQ40" t="b">
        <v>0</v>
      </c>
      <c r="AR40" t="b">
        <v>0</v>
      </c>
      <c r="AS40" t="b">
        <v>0</v>
      </c>
      <c r="AT40" t="s">
        <v>1477</v>
      </c>
      <c r="AU40">
        <v>9882360</v>
      </c>
      <c r="AV40" t="s">
        <v>983</v>
      </c>
      <c r="AW40" t="s">
        <v>1058</v>
      </c>
      <c r="AX40" s="123">
        <v>44509</v>
      </c>
      <c r="AY40" t="s">
        <v>1133</v>
      </c>
      <c r="AZ40" t="s">
        <v>581</v>
      </c>
      <c r="BA40" t="s">
        <v>173</v>
      </c>
      <c r="BB40" t="s">
        <v>42</v>
      </c>
      <c r="BD40" t="s">
        <v>31</v>
      </c>
      <c r="BG40" s="123"/>
      <c r="BH40" t="b">
        <v>0</v>
      </c>
      <c r="BK40" t="s">
        <v>1105</v>
      </c>
      <c r="BL40" t="s">
        <v>1414</v>
      </c>
      <c r="CC40" s="123"/>
      <c r="CE40" s="123"/>
      <c r="CG40" s="123"/>
      <c r="CI40" s="123"/>
      <c r="CK40" s="123"/>
      <c r="CM40" s="123"/>
      <c r="CO40" s="123"/>
      <c r="CT40" s="123"/>
      <c r="CV40" s="123"/>
    </row>
    <row r="41" spans="1:100">
      <c r="A41" t="s">
        <v>1479</v>
      </c>
      <c r="B41" s="123">
        <v>44463</v>
      </c>
      <c r="C41" t="s">
        <v>1478</v>
      </c>
      <c r="D41" t="s">
        <v>352</v>
      </c>
      <c r="E41" t="s">
        <v>1122</v>
      </c>
      <c r="F41" t="s">
        <v>1123</v>
      </c>
      <c r="G41" t="s">
        <v>374</v>
      </c>
      <c r="H41" t="s">
        <v>1407</v>
      </c>
      <c r="I41" t="s">
        <v>354</v>
      </c>
      <c r="J41" t="s">
        <v>1124</v>
      </c>
      <c r="K41" t="s">
        <v>414</v>
      </c>
      <c r="L41" t="s">
        <v>1126</v>
      </c>
      <c r="M41" t="s">
        <v>346</v>
      </c>
      <c r="N41" t="s">
        <v>1480</v>
      </c>
      <c r="O41" t="s">
        <v>1481</v>
      </c>
      <c r="P41" t="s">
        <v>1482</v>
      </c>
      <c r="Q41" s="123">
        <v>44464</v>
      </c>
      <c r="R41" s="123">
        <v>44530</v>
      </c>
      <c r="S41" t="s">
        <v>1483</v>
      </c>
      <c r="T41" s="123">
        <v>44476</v>
      </c>
      <c r="U41">
        <v>0</v>
      </c>
      <c r="V41">
        <v>0</v>
      </c>
      <c r="W41" t="s">
        <v>262</v>
      </c>
      <c r="X41" t="s">
        <v>1484</v>
      </c>
      <c r="AA41" t="s">
        <v>1</v>
      </c>
      <c r="AB41" t="s">
        <v>1484</v>
      </c>
      <c r="AC41" s="123">
        <v>44476</v>
      </c>
      <c r="AD41" t="s">
        <v>349</v>
      </c>
      <c r="AE41" t="s">
        <v>1127</v>
      </c>
      <c r="AF41" t="s">
        <v>1104</v>
      </c>
      <c r="AG41" t="s">
        <v>0</v>
      </c>
      <c r="AH41">
        <v>1</v>
      </c>
      <c r="AI41" t="b">
        <v>0</v>
      </c>
      <c r="AK41" t="b">
        <v>0</v>
      </c>
      <c r="AM41" t="b">
        <v>0</v>
      </c>
      <c r="AN41" t="b">
        <v>0</v>
      </c>
      <c r="AO41" t="b">
        <v>0</v>
      </c>
      <c r="AP41" t="b">
        <v>0</v>
      </c>
      <c r="AQ41" t="b">
        <v>0</v>
      </c>
      <c r="AR41" t="b">
        <v>0</v>
      </c>
      <c r="AS41" t="b">
        <v>0</v>
      </c>
      <c r="AT41" t="s">
        <v>1485</v>
      </c>
      <c r="AU41">
        <v>9882360</v>
      </c>
      <c r="AV41" t="s">
        <v>983</v>
      </c>
      <c r="AW41" t="s">
        <v>1058</v>
      </c>
      <c r="AX41" s="123">
        <v>44509</v>
      </c>
      <c r="AY41" t="s">
        <v>1133</v>
      </c>
      <c r="AZ41" t="s">
        <v>582</v>
      </c>
      <c r="BA41" t="s">
        <v>69</v>
      </c>
      <c r="BB41" t="s">
        <v>40</v>
      </c>
      <c r="BD41" t="s">
        <v>30</v>
      </c>
      <c r="BG41" s="123"/>
      <c r="BH41" t="b">
        <v>0</v>
      </c>
      <c r="BK41" t="s">
        <v>1105</v>
      </c>
      <c r="BL41" t="s">
        <v>1414</v>
      </c>
      <c r="CC41" s="123"/>
      <c r="CE41" s="123"/>
      <c r="CG41" s="123"/>
      <c r="CI41" s="123"/>
      <c r="CK41" s="123"/>
      <c r="CM41" s="123"/>
      <c r="CO41" s="123"/>
      <c r="CT41" s="123"/>
      <c r="CV41" s="123"/>
    </row>
    <row r="42" spans="1:100">
      <c r="A42" t="s">
        <v>1487</v>
      </c>
      <c r="B42" s="123">
        <v>44463</v>
      </c>
      <c r="C42" t="s">
        <v>1486</v>
      </c>
      <c r="D42" t="s">
        <v>352</v>
      </c>
      <c r="E42" t="s">
        <v>1122</v>
      </c>
      <c r="F42" t="s">
        <v>1123</v>
      </c>
      <c r="G42" t="s">
        <v>374</v>
      </c>
      <c r="H42" t="s">
        <v>1407</v>
      </c>
      <c r="I42" t="s">
        <v>354</v>
      </c>
      <c r="J42" t="s">
        <v>1124</v>
      </c>
      <c r="K42" t="s">
        <v>412</v>
      </c>
      <c r="L42" t="s">
        <v>1128</v>
      </c>
      <c r="M42" t="s">
        <v>346</v>
      </c>
      <c r="N42" t="s">
        <v>1488</v>
      </c>
      <c r="O42" t="s">
        <v>1489</v>
      </c>
      <c r="P42" t="s">
        <v>1490</v>
      </c>
      <c r="Q42" s="123">
        <v>44484</v>
      </c>
      <c r="R42" s="123">
        <v>44530</v>
      </c>
      <c r="S42" t="s">
        <v>1491</v>
      </c>
      <c r="T42" s="123">
        <v>44484</v>
      </c>
      <c r="U42">
        <v>0</v>
      </c>
      <c r="V42">
        <v>0</v>
      </c>
      <c r="W42" t="s">
        <v>262</v>
      </c>
      <c r="X42" t="s">
        <v>1492</v>
      </c>
      <c r="AA42" t="s">
        <v>167</v>
      </c>
      <c r="AB42" t="s">
        <v>1493</v>
      </c>
      <c r="AC42" s="123">
        <v>44484</v>
      </c>
      <c r="AD42" t="s">
        <v>349</v>
      </c>
      <c r="AE42" t="s">
        <v>1127</v>
      </c>
      <c r="AF42" t="s">
        <v>1104</v>
      </c>
      <c r="AG42" t="s">
        <v>0</v>
      </c>
      <c r="AH42">
        <v>1</v>
      </c>
      <c r="AI42" t="b">
        <v>0</v>
      </c>
      <c r="AK42" t="b">
        <v>0</v>
      </c>
      <c r="AM42" t="b">
        <v>0</v>
      </c>
      <c r="AN42" t="b">
        <v>0</v>
      </c>
      <c r="AO42" t="b">
        <v>0</v>
      </c>
      <c r="AP42" t="b">
        <v>0</v>
      </c>
      <c r="AQ42" t="b">
        <v>0</v>
      </c>
      <c r="AR42" t="b">
        <v>0</v>
      </c>
      <c r="AS42" t="b">
        <v>0</v>
      </c>
      <c r="AT42" t="s">
        <v>1494</v>
      </c>
      <c r="AU42">
        <v>9882360</v>
      </c>
      <c r="AV42" t="s">
        <v>983</v>
      </c>
      <c r="AW42" t="s">
        <v>1058</v>
      </c>
      <c r="AX42" s="123">
        <v>44509</v>
      </c>
      <c r="AY42" t="s">
        <v>1133</v>
      </c>
      <c r="AZ42" t="s">
        <v>19</v>
      </c>
      <c r="BA42" t="s">
        <v>147</v>
      </c>
      <c r="BB42" t="s">
        <v>38</v>
      </c>
      <c r="BD42" t="s">
        <v>756</v>
      </c>
      <c r="BG42" s="123"/>
      <c r="BH42" t="b">
        <v>0</v>
      </c>
      <c r="BK42" t="s">
        <v>1105</v>
      </c>
      <c r="BL42" t="s">
        <v>1414</v>
      </c>
      <c r="CC42" s="123"/>
      <c r="CE42" s="123"/>
      <c r="CG42" s="123"/>
      <c r="CI42" s="123"/>
      <c r="CK42" s="123"/>
      <c r="CM42" s="123"/>
      <c r="CO42" s="123"/>
      <c r="CT42" s="123"/>
      <c r="CV42" s="123"/>
    </row>
    <row r="43" spans="1:100">
      <c r="A43" t="s">
        <v>1496</v>
      </c>
      <c r="B43" s="123">
        <v>44463</v>
      </c>
      <c r="C43" t="s">
        <v>1495</v>
      </c>
      <c r="D43" t="s">
        <v>352</v>
      </c>
      <c r="E43" t="s">
        <v>1122</v>
      </c>
      <c r="F43" t="s">
        <v>1123</v>
      </c>
      <c r="G43" t="s">
        <v>374</v>
      </c>
      <c r="H43" t="s">
        <v>1407</v>
      </c>
      <c r="I43" t="s">
        <v>354</v>
      </c>
      <c r="J43" t="s">
        <v>1124</v>
      </c>
      <c r="K43" t="s">
        <v>417</v>
      </c>
      <c r="L43" t="s">
        <v>1130</v>
      </c>
      <c r="M43" t="s">
        <v>346</v>
      </c>
      <c r="N43" t="s">
        <v>1497</v>
      </c>
      <c r="O43" t="s">
        <v>1498</v>
      </c>
      <c r="P43" t="s">
        <v>1499</v>
      </c>
      <c r="Q43" s="123">
        <v>44463</v>
      </c>
      <c r="R43" s="123">
        <v>44479</v>
      </c>
      <c r="S43" t="s">
        <v>1491</v>
      </c>
      <c r="T43" s="123">
        <v>44476</v>
      </c>
      <c r="U43">
        <v>0</v>
      </c>
      <c r="V43">
        <v>0</v>
      </c>
      <c r="W43" t="s">
        <v>262</v>
      </c>
      <c r="X43" t="s">
        <v>1500</v>
      </c>
      <c r="AA43" t="s">
        <v>804</v>
      </c>
      <c r="AB43" t="s">
        <v>1501</v>
      </c>
      <c r="AC43" s="123">
        <v>44476</v>
      </c>
      <c r="AD43" t="s">
        <v>349</v>
      </c>
      <c r="AE43" t="s">
        <v>1127</v>
      </c>
      <c r="AF43" t="s">
        <v>1104</v>
      </c>
      <c r="AG43" t="s">
        <v>0</v>
      </c>
      <c r="AH43">
        <v>1</v>
      </c>
      <c r="AI43" t="b">
        <v>0</v>
      </c>
      <c r="AK43" t="b">
        <v>0</v>
      </c>
      <c r="AM43" t="b">
        <v>0</v>
      </c>
      <c r="AN43" t="b">
        <v>0</v>
      </c>
      <c r="AO43" t="b">
        <v>0</v>
      </c>
      <c r="AP43" t="b">
        <v>0</v>
      </c>
      <c r="AQ43" t="b">
        <v>0</v>
      </c>
      <c r="AR43" t="b">
        <v>0</v>
      </c>
      <c r="AS43" t="b">
        <v>0</v>
      </c>
      <c r="AT43" t="s">
        <v>1502</v>
      </c>
      <c r="AU43">
        <v>9882360</v>
      </c>
      <c r="AV43" t="s">
        <v>983</v>
      </c>
      <c r="AW43" t="s">
        <v>1058</v>
      </c>
      <c r="AX43" s="123">
        <v>44509</v>
      </c>
      <c r="AY43" t="s">
        <v>1133</v>
      </c>
      <c r="AZ43" t="s">
        <v>19</v>
      </c>
      <c r="BA43" t="s">
        <v>144</v>
      </c>
      <c r="BB43" t="s">
        <v>43</v>
      </c>
      <c r="BD43" t="s">
        <v>756</v>
      </c>
      <c r="BG43" s="123"/>
      <c r="BH43" t="b">
        <v>0</v>
      </c>
      <c r="BK43" t="s">
        <v>1105</v>
      </c>
      <c r="BL43" t="s">
        <v>1414</v>
      </c>
      <c r="CC43" s="123"/>
      <c r="CE43" s="123"/>
      <c r="CG43" s="123"/>
      <c r="CI43" s="123"/>
      <c r="CK43" s="123"/>
      <c r="CM43" s="123"/>
      <c r="CO43" s="123"/>
      <c r="CT43" s="123"/>
      <c r="CV43" s="123"/>
    </row>
    <row r="44" spans="1:100">
      <c r="A44" t="s">
        <v>1504</v>
      </c>
      <c r="B44" s="123">
        <v>44463</v>
      </c>
      <c r="C44" t="s">
        <v>1503</v>
      </c>
      <c r="D44" t="s">
        <v>352</v>
      </c>
      <c r="E44" t="s">
        <v>1122</v>
      </c>
      <c r="F44" t="s">
        <v>1123</v>
      </c>
      <c r="G44" t="s">
        <v>374</v>
      </c>
      <c r="H44" t="s">
        <v>1407</v>
      </c>
      <c r="I44" t="s">
        <v>354</v>
      </c>
      <c r="J44" t="s">
        <v>1124</v>
      </c>
      <c r="K44" t="s">
        <v>408</v>
      </c>
      <c r="L44" t="s">
        <v>1129</v>
      </c>
      <c r="M44" t="s">
        <v>346</v>
      </c>
      <c r="N44" t="s">
        <v>1505</v>
      </c>
      <c r="O44" t="s">
        <v>1506</v>
      </c>
      <c r="P44" t="s">
        <v>1507</v>
      </c>
      <c r="Q44" s="123">
        <v>44483</v>
      </c>
      <c r="R44" s="123">
        <v>44530</v>
      </c>
      <c r="S44" t="s">
        <v>1491</v>
      </c>
      <c r="T44" s="123">
        <v>44483</v>
      </c>
      <c r="U44">
        <v>0</v>
      </c>
      <c r="V44">
        <v>0</v>
      </c>
      <c r="W44" t="s">
        <v>262</v>
      </c>
      <c r="X44" t="s">
        <v>1508</v>
      </c>
      <c r="AB44" t="s">
        <v>1508</v>
      </c>
      <c r="AC44" s="123">
        <v>44483</v>
      </c>
      <c r="AD44" t="s">
        <v>349</v>
      </c>
      <c r="AE44" t="s">
        <v>1434</v>
      </c>
      <c r="AF44" t="s">
        <v>1104</v>
      </c>
      <c r="AG44" t="s">
        <v>0</v>
      </c>
      <c r="AH44">
        <v>1</v>
      </c>
      <c r="AI44" t="b">
        <v>0</v>
      </c>
      <c r="AK44" t="b">
        <v>0</v>
      </c>
      <c r="AM44" t="b">
        <v>0</v>
      </c>
      <c r="AN44" t="b">
        <v>0</v>
      </c>
      <c r="AO44" t="b">
        <v>0</v>
      </c>
      <c r="AP44" t="b">
        <v>0</v>
      </c>
      <c r="AQ44" t="b">
        <v>0</v>
      </c>
      <c r="AR44" t="b">
        <v>0</v>
      </c>
      <c r="AS44" t="b">
        <v>0</v>
      </c>
      <c r="AT44" t="s">
        <v>1509</v>
      </c>
      <c r="AU44">
        <v>9882360</v>
      </c>
      <c r="AV44" t="s">
        <v>983</v>
      </c>
      <c r="AW44" t="s">
        <v>1058</v>
      </c>
      <c r="AX44" s="123">
        <v>44509</v>
      </c>
      <c r="AY44" t="s">
        <v>1133</v>
      </c>
      <c r="AZ44" t="s">
        <v>11</v>
      </c>
      <c r="BA44" t="s">
        <v>81</v>
      </c>
      <c r="BB44" t="s">
        <v>35</v>
      </c>
      <c r="BD44" t="s">
        <v>28</v>
      </c>
      <c r="BG44" s="123"/>
      <c r="BH44" t="b">
        <v>0</v>
      </c>
      <c r="BK44" t="s">
        <v>1105</v>
      </c>
      <c r="BL44" t="s">
        <v>1414</v>
      </c>
      <c r="CC44" s="123"/>
      <c r="CE44" s="123"/>
      <c r="CG44" s="123"/>
      <c r="CI44" s="123"/>
      <c r="CK44" s="123"/>
      <c r="CM44" s="123"/>
      <c r="CO44" s="123"/>
      <c r="CT44" s="123"/>
      <c r="CV44" s="123"/>
    </row>
    <row r="45" spans="1:100">
      <c r="A45" t="s">
        <v>1511</v>
      </c>
      <c r="B45" s="123">
        <v>44463</v>
      </c>
      <c r="C45" t="s">
        <v>1510</v>
      </c>
      <c r="D45" t="s">
        <v>352</v>
      </c>
      <c r="E45" t="s">
        <v>1122</v>
      </c>
      <c r="F45" t="s">
        <v>1123</v>
      </c>
      <c r="G45" t="s">
        <v>374</v>
      </c>
      <c r="H45" t="s">
        <v>1407</v>
      </c>
      <c r="I45" t="s">
        <v>354</v>
      </c>
      <c r="J45" t="s">
        <v>1124</v>
      </c>
      <c r="K45" t="s">
        <v>417</v>
      </c>
      <c r="L45" t="s">
        <v>1130</v>
      </c>
      <c r="M45" t="s">
        <v>346</v>
      </c>
      <c r="N45" t="s">
        <v>1512</v>
      </c>
      <c r="O45" t="s">
        <v>1266</v>
      </c>
      <c r="P45" t="s">
        <v>1513</v>
      </c>
      <c r="Q45" s="123">
        <v>44490</v>
      </c>
      <c r="R45" s="123">
        <v>44530</v>
      </c>
      <c r="S45" t="s">
        <v>1491</v>
      </c>
      <c r="T45" s="123">
        <v>44490</v>
      </c>
      <c r="U45">
        <v>0</v>
      </c>
      <c r="V45">
        <v>0</v>
      </c>
      <c r="W45" t="s">
        <v>262</v>
      </c>
      <c r="X45" t="s">
        <v>1514</v>
      </c>
      <c r="AB45" t="s">
        <v>1514</v>
      </c>
      <c r="AC45" s="123">
        <v>44490</v>
      </c>
      <c r="AD45" t="s">
        <v>349</v>
      </c>
      <c r="AE45" t="s">
        <v>1434</v>
      </c>
      <c r="AF45" t="s">
        <v>1104</v>
      </c>
      <c r="AG45" t="s">
        <v>0</v>
      </c>
      <c r="AH45">
        <v>1</v>
      </c>
      <c r="AI45" t="b">
        <v>0</v>
      </c>
      <c r="AK45" t="b">
        <v>0</v>
      </c>
      <c r="AM45" t="b">
        <v>0</v>
      </c>
      <c r="AN45" t="b">
        <v>0</v>
      </c>
      <c r="AO45" t="b">
        <v>0</v>
      </c>
      <c r="AP45" t="b">
        <v>0</v>
      </c>
      <c r="AQ45" t="b">
        <v>0</v>
      </c>
      <c r="AR45" t="b">
        <v>0</v>
      </c>
      <c r="AS45" t="b">
        <v>0</v>
      </c>
      <c r="AT45" t="s">
        <v>1515</v>
      </c>
      <c r="AU45">
        <v>9882360</v>
      </c>
      <c r="AV45" t="s">
        <v>983</v>
      </c>
      <c r="AW45" t="s">
        <v>1058</v>
      </c>
      <c r="AX45" s="123">
        <v>44509</v>
      </c>
      <c r="AY45" t="s">
        <v>1133</v>
      </c>
      <c r="AZ45" t="s">
        <v>19</v>
      </c>
      <c r="BA45" t="s">
        <v>149</v>
      </c>
      <c r="BB45" t="s">
        <v>43</v>
      </c>
      <c r="BD45" t="s">
        <v>756</v>
      </c>
      <c r="BG45" s="123"/>
      <c r="BH45" t="b">
        <v>0</v>
      </c>
      <c r="BK45" t="s">
        <v>1105</v>
      </c>
      <c r="BL45" t="s">
        <v>1414</v>
      </c>
      <c r="CC45" s="123"/>
      <c r="CE45" s="123"/>
      <c r="CG45" s="123"/>
      <c r="CI45" s="123"/>
      <c r="CK45" s="123"/>
      <c r="CM45" s="123"/>
      <c r="CO45" s="123"/>
      <c r="CT45" s="123"/>
      <c r="CV45" s="123"/>
    </row>
    <row r="46" spans="1:100" ht="182">
      <c r="A46" t="s">
        <v>1517</v>
      </c>
      <c r="B46" s="123">
        <v>44463</v>
      </c>
      <c r="C46" t="s">
        <v>1516</v>
      </c>
      <c r="D46" t="s">
        <v>352</v>
      </c>
      <c r="E46" t="s">
        <v>1122</v>
      </c>
      <c r="F46" t="s">
        <v>1123</v>
      </c>
      <c r="G46" t="s">
        <v>374</v>
      </c>
      <c r="H46" t="s">
        <v>1407</v>
      </c>
      <c r="I46" t="s">
        <v>354</v>
      </c>
      <c r="J46" t="s">
        <v>1124</v>
      </c>
      <c r="K46" t="s">
        <v>412</v>
      </c>
      <c r="L46" t="s">
        <v>1128</v>
      </c>
      <c r="M46" t="s">
        <v>346</v>
      </c>
      <c r="N46" t="s">
        <v>1518</v>
      </c>
      <c r="O46" t="s">
        <v>1519</v>
      </c>
      <c r="P46" t="s">
        <v>1520</v>
      </c>
      <c r="Q46" s="123">
        <v>44490</v>
      </c>
      <c r="R46" s="123">
        <v>44553</v>
      </c>
      <c r="S46" t="s">
        <v>1566</v>
      </c>
      <c r="T46" s="123">
        <v>44555</v>
      </c>
      <c r="U46">
        <v>0</v>
      </c>
      <c r="V46">
        <v>0</v>
      </c>
      <c r="W46" t="s">
        <v>262</v>
      </c>
      <c r="X46" s="99" t="s">
        <v>1567</v>
      </c>
      <c r="AA46" t="s">
        <v>3</v>
      </c>
      <c r="AB46" t="s">
        <v>1568</v>
      </c>
      <c r="AC46" s="123">
        <v>44555</v>
      </c>
      <c r="AD46" t="s">
        <v>349</v>
      </c>
      <c r="AE46" t="s">
        <v>1127</v>
      </c>
      <c r="AF46" t="s">
        <v>1104</v>
      </c>
      <c r="AG46" t="s">
        <v>0</v>
      </c>
      <c r="AH46">
        <v>1</v>
      </c>
      <c r="AI46" t="b">
        <v>0</v>
      </c>
      <c r="AK46" t="b">
        <v>0</v>
      </c>
      <c r="AM46" t="b">
        <v>0</v>
      </c>
      <c r="AN46" t="b">
        <v>0</v>
      </c>
      <c r="AO46" t="b">
        <v>0</v>
      </c>
      <c r="AP46" t="b">
        <v>0</v>
      </c>
      <c r="AQ46" t="b">
        <v>0</v>
      </c>
      <c r="AR46" t="b">
        <v>0</v>
      </c>
      <c r="AS46" t="b">
        <v>0</v>
      </c>
      <c r="AT46" t="s">
        <v>1573</v>
      </c>
      <c r="AU46">
        <v>9882360</v>
      </c>
      <c r="AV46" t="s">
        <v>983</v>
      </c>
      <c r="AW46" t="s">
        <v>1058</v>
      </c>
      <c r="AX46" s="123">
        <v>44567</v>
      </c>
      <c r="AY46" t="s">
        <v>1133</v>
      </c>
      <c r="AZ46" t="s">
        <v>583</v>
      </c>
      <c r="BA46" t="s">
        <v>143</v>
      </c>
      <c r="BB46" t="s">
        <v>38</v>
      </c>
      <c r="BD46" t="s">
        <v>756</v>
      </c>
      <c r="BF46" t="s">
        <v>574</v>
      </c>
      <c r="BG46" s="123">
        <v>44561</v>
      </c>
      <c r="BH46" t="b">
        <v>0</v>
      </c>
      <c r="BJ46" t="s">
        <v>1569</v>
      </c>
      <c r="BK46" t="s">
        <v>1565</v>
      </c>
      <c r="BL46" t="s">
        <v>1414</v>
      </c>
      <c r="CC46" s="123"/>
      <c r="CE46" s="123"/>
      <c r="CG46" s="123"/>
      <c r="CI46" s="123"/>
      <c r="CK46" s="123"/>
      <c r="CM46" s="123"/>
      <c r="CO46" s="123"/>
      <c r="CT46" s="123"/>
      <c r="CV46" s="123"/>
    </row>
    <row r="47" spans="1:100">
      <c r="A47" t="s">
        <v>1522</v>
      </c>
      <c r="B47" s="123">
        <v>44463</v>
      </c>
      <c r="C47" t="s">
        <v>1521</v>
      </c>
      <c r="D47" t="s">
        <v>352</v>
      </c>
      <c r="E47" t="s">
        <v>1122</v>
      </c>
      <c r="F47" t="s">
        <v>1123</v>
      </c>
      <c r="G47" t="s">
        <v>374</v>
      </c>
      <c r="H47" t="s">
        <v>1407</v>
      </c>
      <c r="I47" t="s">
        <v>354</v>
      </c>
      <c r="J47" t="s">
        <v>1124</v>
      </c>
      <c r="K47" t="s">
        <v>417</v>
      </c>
      <c r="L47" t="s">
        <v>1130</v>
      </c>
      <c r="M47" t="s">
        <v>346</v>
      </c>
      <c r="N47" t="s">
        <v>1523</v>
      </c>
      <c r="O47" t="s">
        <v>1524</v>
      </c>
      <c r="P47" t="s">
        <v>1525</v>
      </c>
      <c r="Q47" s="123">
        <v>44475</v>
      </c>
      <c r="R47" s="123">
        <v>44530</v>
      </c>
      <c r="S47" t="s">
        <v>1491</v>
      </c>
      <c r="T47" s="123">
        <v>44475</v>
      </c>
      <c r="U47">
        <v>0</v>
      </c>
      <c r="V47">
        <v>0</v>
      </c>
      <c r="W47" t="s">
        <v>262</v>
      </c>
      <c r="X47" t="s">
        <v>1526</v>
      </c>
      <c r="AA47" t="s">
        <v>1</v>
      </c>
      <c r="AB47" t="s">
        <v>1526</v>
      </c>
      <c r="AC47" s="123">
        <v>44475</v>
      </c>
      <c r="AD47" t="s">
        <v>349</v>
      </c>
      <c r="AE47" t="s">
        <v>1127</v>
      </c>
      <c r="AF47" t="s">
        <v>1104</v>
      </c>
      <c r="AG47" t="s">
        <v>0</v>
      </c>
      <c r="AH47">
        <v>1</v>
      </c>
      <c r="AI47" t="b">
        <v>0</v>
      </c>
      <c r="AK47" t="b">
        <v>0</v>
      </c>
      <c r="AM47" t="b">
        <v>0</v>
      </c>
      <c r="AN47" t="b">
        <v>0</v>
      </c>
      <c r="AO47" t="b">
        <v>0</v>
      </c>
      <c r="AP47" t="b">
        <v>0</v>
      </c>
      <c r="AQ47" t="b">
        <v>0</v>
      </c>
      <c r="AR47" t="b">
        <v>0</v>
      </c>
      <c r="AS47" t="b">
        <v>0</v>
      </c>
      <c r="AT47" t="s">
        <v>1528</v>
      </c>
      <c r="AU47">
        <v>9882360</v>
      </c>
      <c r="AV47" t="s">
        <v>983</v>
      </c>
      <c r="AW47" t="s">
        <v>1058</v>
      </c>
      <c r="AX47" s="123">
        <v>44537</v>
      </c>
      <c r="AY47" t="s">
        <v>1133</v>
      </c>
      <c r="AZ47" t="s">
        <v>15</v>
      </c>
      <c r="BA47" t="s">
        <v>104</v>
      </c>
      <c r="BB47" t="s">
        <v>43</v>
      </c>
      <c r="BD47" t="s">
        <v>756</v>
      </c>
      <c r="BG47" s="123"/>
      <c r="BH47" t="b">
        <v>0</v>
      </c>
      <c r="BI47" t="s">
        <v>1527</v>
      </c>
      <c r="BK47" t="s">
        <v>1105</v>
      </c>
      <c r="BL47" t="s">
        <v>1414</v>
      </c>
      <c r="CC47" s="123"/>
      <c r="CE47" s="123"/>
      <c r="CG47" s="123"/>
      <c r="CI47" s="123"/>
      <c r="CK47" s="123"/>
      <c r="CM47" s="123"/>
      <c r="CO47" s="123"/>
      <c r="CT47" s="123"/>
      <c r="CV47" s="123"/>
    </row>
    <row r="48" spans="1:100" ht="409.5">
      <c r="A48" t="s">
        <v>1529</v>
      </c>
      <c r="B48" s="123">
        <v>44463</v>
      </c>
      <c r="C48" t="s">
        <v>1530</v>
      </c>
      <c r="D48" t="s">
        <v>337</v>
      </c>
      <c r="E48" t="s">
        <v>1101</v>
      </c>
      <c r="F48" t="s">
        <v>1102</v>
      </c>
      <c r="G48" t="s">
        <v>369</v>
      </c>
      <c r="H48" t="s">
        <v>1532</v>
      </c>
      <c r="I48" t="s">
        <v>339</v>
      </c>
      <c r="J48" t="s">
        <v>1103</v>
      </c>
      <c r="K48" t="s">
        <v>755</v>
      </c>
      <c r="L48" t="s">
        <v>1556</v>
      </c>
      <c r="M48" t="s">
        <v>346</v>
      </c>
      <c r="N48" s="99" t="s">
        <v>1548</v>
      </c>
      <c r="O48" t="s">
        <v>1534</v>
      </c>
      <c r="Q48" s="123"/>
      <c r="R48" s="123"/>
      <c r="T48" s="123"/>
      <c r="U48">
        <v>0</v>
      </c>
      <c r="V48">
        <v>0</v>
      </c>
      <c r="W48" t="s">
        <v>262</v>
      </c>
      <c r="X48" s="99" t="s">
        <v>1549</v>
      </c>
      <c r="AA48" t="s">
        <v>804</v>
      </c>
      <c r="AB48" s="99" t="s">
        <v>1552</v>
      </c>
      <c r="AC48" s="123">
        <v>44469</v>
      </c>
      <c r="AD48" t="s">
        <v>349</v>
      </c>
      <c r="AE48" t="s">
        <v>1543</v>
      </c>
      <c r="AF48" t="s">
        <v>1104</v>
      </c>
      <c r="AG48" t="s">
        <v>0</v>
      </c>
      <c r="AH48">
        <v>1</v>
      </c>
      <c r="AI48" t="b">
        <v>0</v>
      </c>
      <c r="AK48" t="b">
        <v>0</v>
      </c>
      <c r="AM48" t="b">
        <v>0</v>
      </c>
      <c r="AN48" t="b">
        <v>0</v>
      </c>
      <c r="AO48" t="b">
        <v>0</v>
      </c>
      <c r="AP48" t="b">
        <v>0</v>
      </c>
      <c r="AQ48" t="b">
        <v>0</v>
      </c>
      <c r="AR48" t="b">
        <v>0</v>
      </c>
      <c r="AS48" t="b">
        <v>0</v>
      </c>
      <c r="AT48" t="s">
        <v>1553</v>
      </c>
      <c r="AU48">
        <v>9882360</v>
      </c>
      <c r="AV48" t="s">
        <v>983</v>
      </c>
      <c r="AW48" t="s">
        <v>1058</v>
      </c>
      <c r="AX48" s="123">
        <v>44537</v>
      </c>
      <c r="AY48" t="s">
        <v>1133</v>
      </c>
      <c r="AZ48" t="s">
        <v>8</v>
      </c>
      <c r="BA48" t="s">
        <v>75</v>
      </c>
      <c r="BB48" t="s">
        <v>44</v>
      </c>
      <c r="BD48" t="s">
        <v>755</v>
      </c>
      <c r="BE48">
        <v>4.1900000000000004</v>
      </c>
      <c r="BG48" s="123"/>
      <c r="BH48" t="b">
        <v>0</v>
      </c>
      <c r="BK48" t="s">
        <v>1105</v>
      </c>
      <c r="BL48" t="s">
        <v>1531</v>
      </c>
      <c r="BN48" t="s">
        <v>1540</v>
      </c>
      <c r="BO48" t="s">
        <v>1541</v>
      </c>
      <c r="BP48" t="s">
        <v>1106</v>
      </c>
      <c r="BQ48" t="s">
        <v>1542</v>
      </c>
      <c r="BS48" t="s">
        <v>1537</v>
      </c>
      <c r="BT48" t="s">
        <v>1538</v>
      </c>
      <c r="BU48" t="s">
        <v>1539</v>
      </c>
      <c r="CC48" s="123"/>
      <c r="CE48" s="123"/>
      <c r="CG48" s="123"/>
      <c r="CI48" s="123"/>
      <c r="CK48" s="123"/>
      <c r="CM48" s="123"/>
      <c r="CO48" s="123"/>
      <c r="CP48" t="s">
        <v>796</v>
      </c>
      <c r="CQ48" t="s">
        <v>1535</v>
      </c>
      <c r="CR48" t="s">
        <v>1536</v>
      </c>
      <c r="CS48">
        <v>2</v>
      </c>
      <c r="CT48" s="123"/>
      <c r="CU48" t="s">
        <v>1543</v>
      </c>
      <c r="CV48" s="123"/>
    </row>
    <row r="49" spans="1:100" ht="409.5">
      <c r="A49" t="s">
        <v>1544</v>
      </c>
      <c r="B49" s="123">
        <v>44463</v>
      </c>
      <c r="C49" t="s">
        <v>1545</v>
      </c>
      <c r="D49" t="s">
        <v>337</v>
      </c>
      <c r="E49" t="s">
        <v>1101</v>
      </c>
      <c r="F49" t="s">
        <v>1102</v>
      </c>
      <c r="G49" t="s">
        <v>369</v>
      </c>
      <c r="H49" t="s">
        <v>1532</v>
      </c>
      <c r="I49" t="s">
        <v>339</v>
      </c>
      <c r="J49" t="s">
        <v>1103</v>
      </c>
      <c r="K49" t="s">
        <v>28</v>
      </c>
      <c r="L49" t="s">
        <v>1168</v>
      </c>
      <c r="M49" t="s">
        <v>346</v>
      </c>
      <c r="N49" s="99" t="s">
        <v>1550</v>
      </c>
      <c r="O49" t="s">
        <v>1547</v>
      </c>
      <c r="Q49" s="123"/>
      <c r="R49" s="123"/>
      <c r="T49" s="123"/>
      <c r="U49">
        <v>0</v>
      </c>
      <c r="V49">
        <v>0</v>
      </c>
      <c r="W49" t="s">
        <v>262</v>
      </c>
      <c r="X49" s="99" t="s">
        <v>1551</v>
      </c>
      <c r="AA49" t="s">
        <v>804</v>
      </c>
      <c r="AB49" s="99" t="s">
        <v>1554</v>
      </c>
      <c r="AC49" s="123">
        <v>44469</v>
      </c>
      <c r="AD49" t="s">
        <v>349</v>
      </c>
      <c r="AE49" t="s">
        <v>1543</v>
      </c>
      <c r="AF49" t="s">
        <v>1104</v>
      </c>
      <c r="AG49" t="s">
        <v>0</v>
      </c>
      <c r="AH49">
        <v>1</v>
      </c>
      <c r="AI49" t="b">
        <v>0</v>
      </c>
      <c r="AK49" t="b">
        <v>0</v>
      </c>
      <c r="AM49" t="b">
        <v>0</v>
      </c>
      <c r="AN49" t="b">
        <v>0</v>
      </c>
      <c r="AO49" t="b">
        <v>0</v>
      </c>
      <c r="AP49" t="b">
        <v>0</v>
      </c>
      <c r="AQ49" t="b">
        <v>0</v>
      </c>
      <c r="AR49" t="b">
        <v>0</v>
      </c>
      <c r="AS49" t="b">
        <v>0</v>
      </c>
      <c r="AT49" t="s">
        <v>1555</v>
      </c>
      <c r="AU49">
        <v>9882360</v>
      </c>
      <c r="AV49" t="s">
        <v>983</v>
      </c>
      <c r="AW49" t="s">
        <v>1058</v>
      </c>
      <c r="AX49" s="123">
        <v>44537</v>
      </c>
      <c r="AY49" t="s">
        <v>1133</v>
      </c>
      <c r="AZ49" t="s">
        <v>11</v>
      </c>
      <c r="BA49" t="s">
        <v>81</v>
      </c>
      <c r="BB49" t="s">
        <v>35</v>
      </c>
      <c r="BD49" t="s">
        <v>28</v>
      </c>
      <c r="BE49">
        <v>5.29</v>
      </c>
      <c r="BG49" s="123"/>
      <c r="BH49" t="b">
        <v>0</v>
      </c>
      <c r="BK49" t="s">
        <v>1105</v>
      </c>
      <c r="BL49" t="s">
        <v>1531</v>
      </c>
      <c r="BN49" t="s">
        <v>1540</v>
      </c>
      <c r="BO49" t="s">
        <v>1541</v>
      </c>
      <c r="BP49" t="s">
        <v>1106</v>
      </c>
      <c r="BQ49" t="s">
        <v>1542</v>
      </c>
      <c r="BS49" t="s">
        <v>1537</v>
      </c>
      <c r="BT49" t="s">
        <v>1538</v>
      </c>
      <c r="BU49" t="s">
        <v>1539</v>
      </c>
      <c r="CC49" s="123"/>
      <c r="CE49" s="123"/>
      <c r="CG49" s="123"/>
      <c r="CI49" s="123"/>
      <c r="CK49" s="123"/>
      <c r="CM49" s="123"/>
      <c r="CO49" s="123"/>
      <c r="CP49" t="s">
        <v>796</v>
      </c>
      <c r="CQ49" t="s">
        <v>1535</v>
      </c>
      <c r="CR49" t="s">
        <v>1536</v>
      </c>
      <c r="CS49">
        <v>8</v>
      </c>
      <c r="CT49" s="123"/>
      <c r="CU49" t="s">
        <v>1543</v>
      </c>
      <c r="CV49" s="123"/>
    </row>
    <row r="50" spans="1:100" ht="409.5">
      <c r="A50" t="s">
        <v>1557</v>
      </c>
      <c r="B50" s="123">
        <v>44508</v>
      </c>
      <c r="C50" t="s">
        <v>1558</v>
      </c>
      <c r="D50" t="s">
        <v>364</v>
      </c>
      <c r="E50" t="s">
        <v>1131</v>
      </c>
      <c r="F50" t="s">
        <v>1132</v>
      </c>
      <c r="G50" t="s">
        <v>390</v>
      </c>
      <c r="H50" t="s">
        <v>1559</v>
      </c>
      <c r="I50" t="s">
        <v>17</v>
      </c>
      <c r="J50" t="s">
        <v>1182</v>
      </c>
      <c r="K50" t="s">
        <v>133</v>
      </c>
      <c r="L50" t="s">
        <v>1574</v>
      </c>
      <c r="M50" t="s">
        <v>346</v>
      </c>
      <c r="N50" s="99" t="s">
        <v>1560</v>
      </c>
      <c r="O50" t="s">
        <v>1561</v>
      </c>
      <c r="P50" s="99" t="s">
        <v>1562</v>
      </c>
      <c r="Q50" s="123">
        <v>44509</v>
      </c>
      <c r="R50" s="123">
        <v>44598</v>
      </c>
      <c r="S50" t="s">
        <v>1563</v>
      </c>
      <c r="T50" s="123">
        <v>44542</v>
      </c>
      <c r="U50">
        <v>0</v>
      </c>
      <c r="V50">
        <v>0</v>
      </c>
      <c r="W50" t="s">
        <v>262</v>
      </c>
      <c r="X50" t="s">
        <v>1570</v>
      </c>
      <c r="AA50" t="s">
        <v>3</v>
      </c>
      <c r="AB50" t="s">
        <v>1571</v>
      </c>
      <c r="AC50" s="123">
        <v>44542</v>
      </c>
      <c r="AD50" t="s">
        <v>349</v>
      </c>
      <c r="AE50" t="s">
        <v>1127</v>
      </c>
      <c r="AF50" t="s">
        <v>1104</v>
      </c>
      <c r="AG50" t="s">
        <v>0</v>
      </c>
      <c r="AH50">
        <v>1</v>
      </c>
      <c r="AI50" t="b">
        <v>0</v>
      </c>
      <c r="AK50" t="b">
        <v>0</v>
      </c>
      <c r="AM50" t="b">
        <v>1</v>
      </c>
      <c r="AN50" t="b">
        <v>0</v>
      </c>
      <c r="AO50" t="b">
        <v>0</v>
      </c>
      <c r="AP50" t="b">
        <v>0</v>
      </c>
      <c r="AQ50" t="b">
        <v>0</v>
      </c>
      <c r="AR50" t="b">
        <v>0</v>
      </c>
      <c r="AS50" t="b">
        <v>0</v>
      </c>
      <c r="AT50" t="s">
        <v>1572</v>
      </c>
      <c r="AU50">
        <v>9882360</v>
      </c>
      <c r="AV50" t="s">
        <v>983</v>
      </c>
      <c r="AW50" t="s">
        <v>1058</v>
      </c>
      <c r="AX50" s="123">
        <v>44567</v>
      </c>
      <c r="AY50" t="s">
        <v>1133</v>
      </c>
      <c r="AZ50" t="s">
        <v>17</v>
      </c>
      <c r="BA50" t="s">
        <v>133</v>
      </c>
      <c r="BB50" t="s">
        <v>43</v>
      </c>
      <c r="BD50" t="s">
        <v>756</v>
      </c>
      <c r="BG50" s="123"/>
      <c r="BH50" t="b">
        <v>0</v>
      </c>
      <c r="BI50" t="s">
        <v>1564</v>
      </c>
      <c r="BK50" t="s">
        <v>1105</v>
      </c>
      <c r="CC50" s="123"/>
      <c r="CE50" s="123"/>
      <c r="CG50" s="123"/>
      <c r="CI50" s="123"/>
      <c r="CK50" s="123"/>
      <c r="CM50" s="123"/>
      <c r="CO50" s="123"/>
      <c r="CT50" s="123"/>
      <c r="CV50" s="123"/>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zoomScaleNormal="100" workbookViewId="0">
      <selection activeCell="A8" sqref="A8"/>
    </sheetView>
  </sheetViews>
  <sheetFormatPr defaultColWidth="9.453125" defaultRowHeight="15" customHeight="1"/>
  <cols>
    <col min="1" max="1" width="12.453125" style="52" customWidth="1"/>
    <col min="2" max="2" width="27" style="53" customWidth="1"/>
    <col min="3" max="5" width="23.08984375" style="53" customWidth="1"/>
    <col min="6" max="6" width="13.26953125" style="53" customWidth="1"/>
    <col min="7" max="7" width="24.6328125" style="53" customWidth="1"/>
    <col min="8" max="8" width="16.453125" style="53" customWidth="1"/>
    <col min="9" max="9" width="12.26953125" style="53" customWidth="1"/>
    <col min="10" max="16384" width="9.453125" style="53"/>
  </cols>
  <sheetData>
    <row r="1" spans="1:10" ht="29">
      <c r="A1" s="106" t="s">
        <v>1042</v>
      </c>
      <c r="B1" s="106" t="s">
        <v>1031</v>
      </c>
      <c r="C1" s="106" t="s">
        <v>1032</v>
      </c>
      <c r="D1" s="106" t="s">
        <v>1038</v>
      </c>
      <c r="E1" s="106" t="s">
        <v>1037</v>
      </c>
      <c r="F1" s="106" t="s">
        <v>1036</v>
      </c>
      <c r="G1" s="106" t="s">
        <v>1033</v>
      </c>
      <c r="H1" s="106" t="s">
        <v>1034</v>
      </c>
      <c r="I1" s="106" t="s">
        <v>1035</v>
      </c>
    </row>
    <row r="2" spans="1:10" ht="72.5">
      <c r="A2" s="105" t="s">
        <v>992</v>
      </c>
      <c r="B2" s="105" t="s">
        <v>993</v>
      </c>
      <c r="C2" s="105" t="s">
        <v>994</v>
      </c>
      <c r="D2" s="104" t="s">
        <v>1039</v>
      </c>
      <c r="E2" s="104" t="s">
        <v>1040</v>
      </c>
      <c r="F2" s="105" t="s">
        <v>995</v>
      </c>
      <c r="G2" s="105" t="s">
        <v>996</v>
      </c>
      <c r="H2" s="105" t="s">
        <v>997</v>
      </c>
      <c r="I2" s="105" t="s">
        <v>998</v>
      </c>
    </row>
    <row r="3" spans="1:10" ht="116">
      <c r="A3" s="105" t="s">
        <v>999</v>
      </c>
      <c r="B3" s="105" t="s">
        <v>1000</v>
      </c>
      <c r="C3" s="105" t="s">
        <v>1001</v>
      </c>
      <c r="D3" s="104" t="s">
        <v>1021</v>
      </c>
      <c r="E3" s="105" t="s">
        <v>1002</v>
      </c>
      <c r="F3" s="104" t="s">
        <v>1022</v>
      </c>
      <c r="G3" s="105" t="s">
        <v>996</v>
      </c>
      <c r="H3" s="104" t="s">
        <v>1023</v>
      </c>
      <c r="I3" s="105" t="s">
        <v>998</v>
      </c>
    </row>
    <row r="4" spans="1:10" ht="87">
      <c r="A4" s="105" t="s">
        <v>1003</v>
      </c>
      <c r="B4" s="104" t="s">
        <v>1024</v>
      </c>
      <c r="C4" s="105" t="s">
        <v>1004</v>
      </c>
      <c r="D4" s="104" t="s">
        <v>1041</v>
      </c>
      <c r="E4" s="104" t="s">
        <v>1025</v>
      </c>
      <c r="F4" s="104" t="s">
        <v>1026</v>
      </c>
      <c r="G4" s="105" t="s">
        <v>1005</v>
      </c>
      <c r="H4" s="104" t="s">
        <v>1027</v>
      </c>
      <c r="I4" s="105" t="s">
        <v>1006</v>
      </c>
    </row>
    <row r="5" spans="1:10" ht="101.5">
      <c r="A5" s="105" t="s">
        <v>1007</v>
      </c>
      <c r="B5" s="105" t="s">
        <v>1008</v>
      </c>
      <c r="C5" s="104" t="s">
        <v>1028</v>
      </c>
      <c r="D5" s="104" t="s">
        <v>1019</v>
      </c>
      <c r="E5" s="104" t="s">
        <v>1029</v>
      </c>
      <c r="F5" s="104" t="s">
        <v>1020</v>
      </c>
      <c r="G5" s="105" t="s">
        <v>1009</v>
      </c>
      <c r="H5" s="105" t="s">
        <v>1010</v>
      </c>
      <c r="I5" s="105" t="s">
        <v>1011</v>
      </c>
    </row>
    <row r="6" spans="1:10" ht="43.5">
      <c r="A6" s="105" t="s">
        <v>1012</v>
      </c>
      <c r="B6" s="105" t="s">
        <v>1013</v>
      </c>
      <c r="C6" s="105" t="s">
        <v>1014</v>
      </c>
      <c r="D6" s="104" t="s">
        <v>1030</v>
      </c>
      <c r="E6" s="105" t="s">
        <v>1015</v>
      </c>
      <c r="F6" s="105" t="s">
        <v>1016</v>
      </c>
      <c r="G6" s="105" t="s">
        <v>1017</v>
      </c>
      <c r="H6" s="105" t="s">
        <v>1010</v>
      </c>
      <c r="I6" s="105" t="s">
        <v>1018</v>
      </c>
    </row>
    <row r="7" spans="1:10" ht="15" customHeight="1">
      <c r="B7" s="103"/>
      <c r="C7" s="103"/>
      <c r="D7" s="103"/>
      <c r="E7" s="103"/>
      <c r="F7" s="103"/>
      <c r="G7" s="103"/>
      <c r="H7" s="103"/>
      <c r="I7" s="103"/>
      <c r="J7" s="10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70" workbookViewId="0">
      <selection activeCell="P98" sqref="P98"/>
    </sheetView>
  </sheetViews>
  <sheetFormatPr defaultColWidth="9" defaultRowHeight="14"/>
  <cols>
    <col min="1" max="2" width="9" style="14"/>
    <col min="3" max="3" width="12.453125" style="14" customWidth="1"/>
    <col min="4" max="4" width="11.08984375" style="14" bestFit="1" customWidth="1"/>
    <col min="5" max="6" width="9" style="14"/>
    <col min="7" max="7" width="22" style="14" bestFit="1" customWidth="1"/>
    <col min="8" max="8" width="7.90625" style="14" customWidth="1"/>
    <col min="9" max="9" width="40.26953125" style="14" bestFit="1" customWidth="1"/>
    <col min="10" max="10" width="9" style="14"/>
    <col min="11" max="11" width="47.90625" style="14" bestFit="1" customWidth="1"/>
    <col min="12" max="12" width="9" style="14"/>
    <col min="13" max="13" width="14.08984375" style="14" bestFit="1" customWidth="1"/>
    <col min="14" max="14" width="21.6328125" style="14" customWidth="1"/>
    <col min="15" max="15" width="11.90625" style="14" customWidth="1"/>
    <col min="16" max="16" width="10.08984375" style="14" customWidth="1"/>
    <col min="17" max="17" width="11.453125" style="14" customWidth="1"/>
    <col min="18" max="26" width="9" style="14"/>
    <col min="27" max="27" width="19.453125" style="14" customWidth="1"/>
    <col min="28" max="36" width="9" style="14"/>
    <col min="37" max="37" width="36.08984375" style="14" bestFit="1" customWidth="1"/>
    <col min="38" max="38" width="9.90625" style="14" customWidth="1"/>
    <col min="39" max="39" width="17.26953125" style="14" customWidth="1"/>
    <col min="40" max="42" width="9" style="14"/>
    <col min="43" max="43" width="12.453125" style="14" customWidth="1"/>
    <col min="44" max="44" width="9" style="14"/>
    <col min="45" max="45" width="12.90625" style="14" customWidth="1"/>
    <col min="46" max="49" width="9" style="14"/>
    <col min="50" max="50" width="28.90625" style="14" customWidth="1"/>
    <col min="51" max="51" width="16.6328125" style="14" customWidth="1"/>
    <col min="52" max="16384" width="9" style="14"/>
  </cols>
  <sheetData>
    <row r="1" spans="1:54" s="27" customFormat="1" ht="82.5" customHeight="1" thickBot="1">
      <c r="A1" s="25" t="s">
        <v>302</v>
      </c>
      <c r="B1" s="25" t="s">
        <v>303</v>
      </c>
      <c r="C1" s="25" t="s">
        <v>304</v>
      </c>
      <c r="D1" s="25" t="s">
        <v>305</v>
      </c>
      <c r="E1" s="25"/>
      <c r="F1" s="25"/>
      <c r="G1" s="25" t="s">
        <v>306</v>
      </c>
      <c r="H1" s="25" t="s">
        <v>307</v>
      </c>
      <c r="I1" s="25" t="s">
        <v>308</v>
      </c>
      <c r="J1" s="25"/>
      <c r="K1" s="25" t="s">
        <v>309</v>
      </c>
      <c r="L1" s="25"/>
      <c r="M1" s="25" t="s">
        <v>310</v>
      </c>
      <c r="N1" s="25" t="s">
        <v>311</v>
      </c>
      <c r="O1" s="25" t="s">
        <v>312</v>
      </c>
      <c r="P1" s="25" t="s">
        <v>313</v>
      </c>
      <c r="Q1" s="25" t="s">
        <v>314</v>
      </c>
      <c r="R1" s="25" t="s">
        <v>315</v>
      </c>
      <c r="S1" s="25" t="s">
        <v>316</v>
      </c>
      <c r="T1" s="25" t="s">
        <v>317</v>
      </c>
      <c r="U1" s="25" t="s">
        <v>318</v>
      </c>
      <c r="V1" s="25" t="s">
        <v>319</v>
      </c>
      <c r="W1" s="25" t="s">
        <v>320</v>
      </c>
      <c r="X1" s="26" t="s">
        <v>321</v>
      </c>
      <c r="Y1" s="26" t="s">
        <v>322</v>
      </c>
      <c r="Z1" s="26" t="s">
        <v>6</v>
      </c>
      <c r="AA1" s="26" t="s">
        <v>323</v>
      </c>
      <c r="AB1" s="26" t="s">
        <v>324</v>
      </c>
      <c r="AC1" s="26" t="s">
        <v>325</v>
      </c>
      <c r="AD1" s="26" t="s">
        <v>326</v>
      </c>
      <c r="AE1" s="26" t="s">
        <v>327</v>
      </c>
      <c r="AG1" s="3" t="s">
        <v>326</v>
      </c>
      <c r="AH1" s="28" t="s">
        <v>505</v>
      </c>
      <c r="AK1" s="27" t="s">
        <v>580</v>
      </c>
    </row>
    <row r="2" spans="1:54" ht="16.5" customHeight="1">
      <c r="D2" s="29" t="s">
        <v>337</v>
      </c>
      <c r="E2" s="30"/>
      <c r="F2" s="30"/>
      <c r="G2" s="29" t="s">
        <v>338</v>
      </c>
      <c r="I2" s="29" t="s">
        <v>339</v>
      </c>
      <c r="J2" s="30"/>
      <c r="K2" s="29" t="s">
        <v>340</v>
      </c>
      <c r="L2" s="30"/>
      <c r="M2" s="14" t="s">
        <v>341</v>
      </c>
      <c r="W2" s="14" t="s">
        <v>262</v>
      </c>
      <c r="Y2" s="14" t="s">
        <v>342</v>
      </c>
      <c r="AA2" s="8" t="s">
        <v>1</v>
      </c>
      <c r="AB2" s="9"/>
      <c r="AD2" s="14" t="s">
        <v>261</v>
      </c>
      <c r="AK2" s="29" t="s">
        <v>340</v>
      </c>
      <c r="AM2" s="14" t="s">
        <v>628</v>
      </c>
      <c r="AN2" s="14" t="s">
        <v>627</v>
      </c>
      <c r="AQ2" s="14" t="s">
        <v>763</v>
      </c>
      <c r="AS2" s="29" t="s">
        <v>370</v>
      </c>
      <c r="AU2" s="14" t="s">
        <v>805</v>
      </c>
      <c r="AX2" s="14" t="s">
        <v>841</v>
      </c>
      <c r="AY2" s="31">
        <v>5</v>
      </c>
      <c r="BA2" s="98" t="s">
        <v>966</v>
      </c>
    </row>
    <row r="3" spans="1:54" ht="16.5" customHeight="1" thickBot="1">
      <c r="D3" s="30" t="s">
        <v>343</v>
      </c>
      <c r="E3" s="32"/>
      <c r="F3" s="32"/>
      <c r="G3" s="29" t="s">
        <v>344</v>
      </c>
      <c r="I3" s="30" t="s">
        <v>345</v>
      </c>
      <c r="J3" s="32"/>
      <c r="K3" s="29" t="s">
        <v>26</v>
      </c>
      <c r="L3" s="30"/>
      <c r="M3" s="14" t="s">
        <v>346</v>
      </c>
      <c r="W3" s="14" t="s">
        <v>347</v>
      </c>
      <c r="Y3" s="14" t="s">
        <v>348</v>
      </c>
      <c r="AA3" s="8" t="s">
        <v>2</v>
      </c>
      <c r="AB3" s="9"/>
      <c r="AD3" s="14" t="s">
        <v>349</v>
      </c>
      <c r="AH3" s="28" t="s">
        <v>574</v>
      </c>
      <c r="AK3" s="29" t="s">
        <v>26</v>
      </c>
      <c r="AM3" s="14" t="s">
        <v>630</v>
      </c>
      <c r="AN3" s="14" t="s">
        <v>629</v>
      </c>
      <c r="AQ3" s="14" t="s">
        <v>765</v>
      </c>
      <c r="AS3" s="29" t="s">
        <v>370</v>
      </c>
      <c r="AU3" s="14" t="s">
        <v>806</v>
      </c>
      <c r="AX3" s="14" t="s">
        <v>842</v>
      </c>
      <c r="AY3" s="33">
        <v>4</v>
      </c>
      <c r="BA3" s="98" t="s">
        <v>1096</v>
      </c>
    </row>
    <row r="4" spans="1:54" ht="15.5" thickBot="1">
      <c r="B4" s="110" t="s">
        <v>350</v>
      </c>
      <c r="C4" s="14" t="s">
        <v>351</v>
      </c>
      <c r="D4" s="32" t="s">
        <v>352</v>
      </c>
      <c r="E4" s="34"/>
      <c r="F4" s="34"/>
      <c r="G4" s="29" t="s">
        <v>353</v>
      </c>
      <c r="I4" s="32" t="s">
        <v>354</v>
      </c>
      <c r="J4" s="34"/>
      <c r="K4" s="29" t="s">
        <v>27</v>
      </c>
      <c r="L4" s="30"/>
      <c r="N4" s="80" t="s">
        <v>956</v>
      </c>
      <c r="O4" s="81" t="s">
        <v>957</v>
      </c>
      <c r="P4" s="81" t="s">
        <v>958</v>
      </c>
      <c r="Q4" t="s">
        <v>959</v>
      </c>
      <c r="W4" s="14" t="s">
        <v>355</v>
      </c>
      <c r="AA4" s="8" t="s">
        <v>3</v>
      </c>
      <c r="AB4" s="9"/>
      <c r="AH4" s="28" t="s">
        <v>575</v>
      </c>
      <c r="AK4" s="29" t="s">
        <v>27</v>
      </c>
      <c r="AM4" s="14" t="s">
        <v>632</v>
      </c>
      <c r="AN4" s="14" t="s">
        <v>631</v>
      </c>
      <c r="AQ4" s="14" t="s">
        <v>764</v>
      </c>
      <c r="AS4" s="29" t="s">
        <v>370</v>
      </c>
      <c r="AU4" s="14" t="s">
        <v>807</v>
      </c>
      <c r="AX4" s="14" t="s">
        <v>843</v>
      </c>
      <c r="AY4" s="33">
        <v>3</v>
      </c>
    </row>
    <row r="5" spans="1:54" ht="15.5" thickBot="1">
      <c r="B5" s="110" t="s">
        <v>356</v>
      </c>
      <c r="C5" s="14" t="s">
        <v>357</v>
      </c>
      <c r="D5" s="35" t="s">
        <v>358</v>
      </c>
      <c r="G5" s="29" t="s">
        <v>359</v>
      </c>
      <c r="I5" s="35" t="s">
        <v>360</v>
      </c>
      <c r="J5" s="34"/>
      <c r="K5" s="29" t="s">
        <v>755</v>
      </c>
      <c r="L5" s="30"/>
      <c r="N5" s="80" t="s">
        <v>628</v>
      </c>
      <c r="O5" s="81">
        <v>9655420</v>
      </c>
      <c r="P5" s="81" t="s">
        <v>627</v>
      </c>
      <c r="Q5" s="81" t="s">
        <v>911</v>
      </c>
      <c r="AA5" s="8" t="s">
        <v>804</v>
      </c>
      <c r="AB5" s="9"/>
      <c r="AH5" s="28" t="s">
        <v>572</v>
      </c>
      <c r="AK5" s="29" t="s">
        <v>800</v>
      </c>
      <c r="AM5" s="14" t="s">
        <v>677</v>
      </c>
      <c r="AN5" s="14" t="s">
        <v>676</v>
      </c>
      <c r="AQ5" s="14" t="s">
        <v>766</v>
      </c>
      <c r="AS5" s="29" t="s">
        <v>362</v>
      </c>
      <c r="AU5" s="14" t="s">
        <v>808</v>
      </c>
      <c r="AX5" s="14" t="s">
        <v>844</v>
      </c>
      <c r="AY5" s="36">
        <v>2</v>
      </c>
    </row>
    <row r="6" spans="1:54" s="45" customFormat="1" ht="29" thickBot="1">
      <c r="B6" s="111" t="s">
        <v>263</v>
      </c>
      <c r="C6" s="45" t="s">
        <v>264</v>
      </c>
      <c r="D6" s="46" t="s">
        <v>361</v>
      </c>
      <c r="G6" s="47" t="s">
        <v>362</v>
      </c>
      <c r="I6" s="46" t="s">
        <v>363</v>
      </c>
      <c r="J6" s="48"/>
      <c r="K6" s="47" t="s">
        <v>28</v>
      </c>
      <c r="L6" s="49"/>
      <c r="N6" s="80" t="s">
        <v>630</v>
      </c>
      <c r="O6" s="115">
        <v>9566473</v>
      </c>
      <c r="P6" s="80" t="s">
        <v>629</v>
      </c>
      <c r="Q6" s="80" t="s">
        <v>909</v>
      </c>
      <c r="AA6" s="50" t="s">
        <v>167</v>
      </c>
      <c r="AB6" s="51"/>
      <c r="AH6" s="45" t="s">
        <v>573</v>
      </c>
      <c r="AK6" s="47" t="s">
        <v>28</v>
      </c>
      <c r="AM6" s="45" t="s">
        <v>679</v>
      </c>
      <c r="AN6" s="45" t="s">
        <v>678</v>
      </c>
      <c r="AQ6" s="45" t="s">
        <v>767</v>
      </c>
      <c r="AS6" s="47" t="s">
        <v>359</v>
      </c>
      <c r="AU6" s="45" t="s">
        <v>809</v>
      </c>
      <c r="AX6" s="45" t="s">
        <v>845</v>
      </c>
      <c r="AY6" s="23">
        <v>1</v>
      </c>
    </row>
    <row r="7" spans="1:54" ht="15">
      <c r="B7" s="110" t="s">
        <v>204</v>
      </c>
      <c r="C7" s="14" t="s">
        <v>203</v>
      </c>
      <c r="D7" s="34" t="s">
        <v>364</v>
      </c>
      <c r="G7" s="29" t="s">
        <v>365</v>
      </c>
      <c r="I7" s="38" t="s">
        <v>366</v>
      </c>
      <c r="J7" s="34"/>
      <c r="K7" s="29" t="s">
        <v>29</v>
      </c>
      <c r="L7" s="30"/>
      <c r="N7" s="80" t="s">
        <v>632</v>
      </c>
      <c r="O7" s="80">
        <v>9667746</v>
      </c>
      <c r="P7" s="80" t="s">
        <v>631</v>
      </c>
      <c r="Q7" s="80" t="s">
        <v>910</v>
      </c>
      <c r="AA7" s="8" t="s">
        <v>4</v>
      </c>
      <c r="AB7" s="9"/>
      <c r="AH7" s="28" t="s">
        <v>486</v>
      </c>
      <c r="AK7" s="29" t="s">
        <v>29</v>
      </c>
      <c r="AM7" s="14" t="s">
        <v>711</v>
      </c>
      <c r="AN7" s="14" t="s">
        <v>710</v>
      </c>
      <c r="AQ7" s="45" t="s">
        <v>1057</v>
      </c>
      <c r="AR7" s="45"/>
      <c r="AS7" s="29" t="s">
        <v>370</v>
      </c>
      <c r="AU7" s="14" t="s">
        <v>810</v>
      </c>
      <c r="AX7" s="14" t="s">
        <v>846</v>
      </c>
    </row>
    <row r="8" spans="1:54" ht="15">
      <c r="B8" s="110" t="s">
        <v>367</v>
      </c>
      <c r="C8" s="14" t="s">
        <v>281</v>
      </c>
      <c r="D8" s="38" t="s">
        <v>368</v>
      </c>
      <c r="G8" s="29" t="s">
        <v>369</v>
      </c>
      <c r="H8" s="17"/>
      <c r="I8" s="34" t="s">
        <v>7</v>
      </c>
      <c r="J8" s="34"/>
      <c r="K8" s="29" t="s">
        <v>576</v>
      </c>
      <c r="L8" s="30"/>
      <c r="N8" s="80" t="s">
        <v>677</v>
      </c>
      <c r="O8" s="80">
        <v>9372327</v>
      </c>
      <c r="P8" s="80" t="s">
        <v>676</v>
      </c>
      <c r="Q8" s="80" t="s">
        <v>931</v>
      </c>
      <c r="AA8" s="8" t="s">
        <v>5</v>
      </c>
      <c r="AB8" s="9"/>
      <c r="AH8" s="14" t="s">
        <v>571</v>
      </c>
      <c r="AK8" s="29" t="s">
        <v>576</v>
      </c>
      <c r="AM8" s="14" t="s">
        <v>634</v>
      </c>
      <c r="AN8" s="14" t="s">
        <v>633</v>
      </c>
      <c r="AQ8" s="14" t="s">
        <v>769</v>
      </c>
      <c r="AS8" s="29" t="s">
        <v>370</v>
      </c>
      <c r="AU8" s="14" t="s">
        <v>811</v>
      </c>
      <c r="AX8" s="14" t="s">
        <v>847</v>
      </c>
      <c r="BB8" s="14" t="s">
        <v>854</v>
      </c>
    </row>
    <row r="9" spans="1:54" ht="15">
      <c r="B9" s="110" t="s">
        <v>265</v>
      </c>
      <c r="C9" s="14" t="s">
        <v>266</v>
      </c>
      <c r="G9" s="29" t="s">
        <v>370</v>
      </c>
      <c r="H9" s="17"/>
      <c r="I9" s="34" t="s">
        <v>581</v>
      </c>
      <c r="J9" s="34"/>
      <c r="K9" s="29" t="s">
        <v>30</v>
      </c>
      <c r="L9" s="30"/>
      <c r="N9" s="80" t="s">
        <v>679</v>
      </c>
      <c r="O9" s="80">
        <v>9539169</v>
      </c>
      <c r="P9" s="80" t="s">
        <v>678</v>
      </c>
      <c r="Q9" s="80" t="s">
        <v>1087</v>
      </c>
      <c r="AK9" s="29" t="s">
        <v>30</v>
      </c>
      <c r="AM9" s="14" t="s">
        <v>636</v>
      </c>
      <c r="AN9" s="14" t="s">
        <v>635</v>
      </c>
      <c r="AQ9" s="14" t="s">
        <v>768</v>
      </c>
      <c r="AS9" s="29" t="s">
        <v>353</v>
      </c>
      <c r="AU9" s="14" t="s">
        <v>812</v>
      </c>
      <c r="AX9" s="14" t="s">
        <v>848</v>
      </c>
    </row>
    <row r="10" spans="1:54" ht="15">
      <c r="B10" s="110" t="s">
        <v>234</v>
      </c>
      <c r="C10" s="14" t="s">
        <v>233</v>
      </c>
      <c r="G10" s="29"/>
      <c r="H10" s="17"/>
      <c r="I10" s="34" t="s">
        <v>582</v>
      </c>
      <c r="J10" s="34"/>
      <c r="K10" s="29" t="s">
        <v>31</v>
      </c>
      <c r="L10" s="30"/>
      <c r="N10" s="80" t="s">
        <v>711</v>
      </c>
      <c r="O10" s="81">
        <v>9382061</v>
      </c>
      <c r="P10" s="81" t="s">
        <v>710</v>
      </c>
      <c r="Q10" s="81" t="s">
        <v>949</v>
      </c>
      <c r="AK10" s="29" t="s">
        <v>31</v>
      </c>
      <c r="AM10" s="14" t="s">
        <v>694</v>
      </c>
      <c r="AN10" s="14" t="s">
        <v>693</v>
      </c>
      <c r="AQ10" s="14" t="s">
        <v>770</v>
      </c>
      <c r="AS10" s="29" t="s">
        <v>370</v>
      </c>
      <c r="AU10" s="14" t="s">
        <v>813</v>
      </c>
      <c r="AX10" s="14" t="s">
        <v>849</v>
      </c>
    </row>
    <row r="11" spans="1:54" ht="15">
      <c r="B11" s="110" t="s">
        <v>269</v>
      </c>
      <c r="C11" s="14" t="s">
        <v>272</v>
      </c>
      <c r="G11" s="30" t="s">
        <v>371</v>
      </c>
      <c r="H11" s="17"/>
      <c r="I11" s="34" t="s">
        <v>8</v>
      </c>
      <c r="J11" s="34"/>
      <c r="K11" s="29" t="s">
        <v>756</v>
      </c>
      <c r="L11" s="30"/>
      <c r="N11" s="80" t="s">
        <v>1069</v>
      </c>
      <c r="O11" s="80">
        <v>9894478</v>
      </c>
      <c r="P11" s="80" t="s">
        <v>1070</v>
      </c>
      <c r="Q11" s="80" t="s">
        <v>1071</v>
      </c>
      <c r="AK11" s="29" t="s">
        <v>577</v>
      </c>
      <c r="AM11" s="14" t="s">
        <v>696</v>
      </c>
      <c r="AN11" s="14" t="s">
        <v>695</v>
      </c>
      <c r="AQ11" s="14" t="s">
        <v>771</v>
      </c>
      <c r="AS11" s="29" t="s">
        <v>370</v>
      </c>
      <c r="AU11" s="14" t="s">
        <v>814</v>
      </c>
      <c r="AX11" s="14" t="s">
        <v>850</v>
      </c>
    </row>
    <row r="12" spans="1:54" ht="15">
      <c r="B12" s="110" t="s">
        <v>282</v>
      </c>
      <c r="C12" s="14" t="s">
        <v>283</v>
      </c>
      <c r="G12" s="30" t="s">
        <v>372</v>
      </c>
      <c r="H12" s="17"/>
      <c r="I12" s="34" t="s">
        <v>9</v>
      </c>
      <c r="J12" s="34"/>
      <c r="K12" s="29" t="s">
        <v>757</v>
      </c>
      <c r="L12" s="30"/>
      <c r="N12" s="80" t="s">
        <v>1072</v>
      </c>
      <c r="O12" s="80">
        <v>9894466</v>
      </c>
      <c r="P12" s="80" t="s">
        <v>1073</v>
      </c>
      <c r="Q12" s="80" t="s">
        <v>1074</v>
      </c>
      <c r="AK12" s="29" t="s">
        <v>578</v>
      </c>
      <c r="AM12" s="14" t="s">
        <v>713</v>
      </c>
      <c r="AN12" s="14" t="s">
        <v>712</v>
      </c>
      <c r="AQ12" s="14" t="s">
        <v>772</v>
      </c>
      <c r="AS12" s="29" t="s">
        <v>370</v>
      </c>
      <c r="AU12" s="14" t="s">
        <v>815</v>
      </c>
      <c r="AX12" s="14" t="s">
        <v>851</v>
      </c>
    </row>
    <row r="13" spans="1:54" ht="15">
      <c r="B13" s="110" t="s">
        <v>222</v>
      </c>
      <c r="C13" s="14" t="s">
        <v>221</v>
      </c>
      <c r="G13" s="30" t="s">
        <v>373</v>
      </c>
      <c r="H13" s="17"/>
      <c r="I13" s="34" t="s">
        <v>10</v>
      </c>
      <c r="J13" s="34"/>
      <c r="K13" s="29" t="s">
        <v>579</v>
      </c>
      <c r="L13" s="30"/>
      <c r="N13" s="80" t="s">
        <v>634</v>
      </c>
      <c r="O13" s="80">
        <v>9696785</v>
      </c>
      <c r="P13" s="80" t="s">
        <v>633</v>
      </c>
      <c r="Q13" s="80" t="s">
        <v>912</v>
      </c>
      <c r="AK13" s="29" t="s">
        <v>579</v>
      </c>
      <c r="AM13" s="14" t="s">
        <v>715</v>
      </c>
      <c r="AN13" s="14" t="s">
        <v>714</v>
      </c>
      <c r="AQ13" s="14" t="s">
        <v>773</v>
      </c>
      <c r="AS13" s="29" t="s">
        <v>370</v>
      </c>
      <c r="AU13" s="14" t="s">
        <v>816</v>
      </c>
      <c r="AX13" s="14" t="s">
        <v>852</v>
      </c>
    </row>
    <row r="14" spans="1:54" ht="15">
      <c r="B14" s="110" t="s">
        <v>273</v>
      </c>
      <c r="C14" s="14" t="s">
        <v>274</v>
      </c>
      <c r="G14" s="32" t="s">
        <v>374</v>
      </c>
      <c r="H14" s="17"/>
      <c r="I14" s="34" t="s">
        <v>11</v>
      </c>
      <c r="J14" s="34"/>
      <c r="K14" s="29" t="s">
        <v>801</v>
      </c>
      <c r="L14" s="32"/>
      <c r="N14" s="80" t="s">
        <v>636</v>
      </c>
      <c r="O14" s="80">
        <v>9622813</v>
      </c>
      <c r="P14" s="80" t="s">
        <v>635</v>
      </c>
      <c r="Q14" s="80" t="s">
        <v>913</v>
      </c>
      <c r="AK14" s="29" t="s">
        <v>376</v>
      </c>
      <c r="AM14" s="14" t="s">
        <v>717</v>
      </c>
      <c r="AN14" s="14" t="s">
        <v>716</v>
      </c>
      <c r="AQ14" s="14" t="s">
        <v>775</v>
      </c>
      <c r="AS14" s="29" t="s">
        <v>338</v>
      </c>
      <c r="AU14" s="14" t="s">
        <v>817</v>
      </c>
      <c r="AX14" s="14" t="s">
        <v>853</v>
      </c>
    </row>
    <row r="15" spans="1:54" ht="15">
      <c r="B15" s="110" t="s">
        <v>230</v>
      </c>
      <c r="C15" s="14" t="s">
        <v>229</v>
      </c>
      <c r="G15" s="35" t="s">
        <v>375</v>
      </c>
      <c r="H15" s="17"/>
      <c r="I15" s="34" t="s">
        <v>12</v>
      </c>
      <c r="J15" s="34"/>
      <c r="K15" s="30" t="s">
        <v>378</v>
      </c>
      <c r="L15" s="32"/>
      <c r="N15" s="80" t="s">
        <v>694</v>
      </c>
      <c r="O15" s="81">
        <v>9405083</v>
      </c>
      <c r="P15" s="81" t="s">
        <v>693</v>
      </c>
      <c r="Q15" s="81" t="s">
        <v>934</v>
      </c>
      <c r="AM15" s="14" t="s">
        <v>681</v>
      </c>
      <c r="AN15" s="14" t="s">
        <v>680</v>
      </c>
      <c r="AQ15" s="14" t="s">
        <v>774</v>
      </c>
      <c r="AS15" s="29" t="s">
        <v>370</v>
      </c>
      <c r="AU15" s="14" t="s">
        <v>818</v>
      </c>
    </row>
    <row r="16" spans="1:54" ht="15">
      <c r="B16" s="110" t="s">
        <v>228</v>
      </c>
      <c r="C16" s="14" t="s">
        <v>227</v>
      </c>
      <c r="G16" s="35" t="s">
        <v>377</v>
      </c>
      <c r="H16" s="17"/>
      <c r="I16" s="34" t="s">
        <v>584</v>
      </c>
      <c r="J16" s="34"/>
      <c r="K16" s="30" t="s">
        <v>380</v>
      </c>
      <c r="L16" s="32"/>
      <c r="N16" s="80" t="s">
        <v>696</v>
      </c>
      <c r="O16" s="81">
        <v>9398307</v>
      </c>
      <c r="P16" s="81" t="s">
        <v>695</v>
      </c>
      <c r="Q16" s="81" t="s">
        <v>281</v>
      </c>
      <c r="AM16" s="14" t="s">
        <v>638</v>
      </c>
      <c r="AN16" s="14" t="s">
        <v>637</v>
      </c>
      <c r="AQ16" s="14" t="s">
        <v>776</v>
      </c>
      <c r="AS16" s="29" t="s">
        <v>370</v>
      </c>
      <c r="AU16" s="14" t="s">
        <v>819</v>
      </c>
    </row>
    <row r="17" spans="2:47" ht="15">
      <c r="B17" s="110" t="s">
        <v>275</v>
      </c>
      <c r="C17" s="14" t="s">
        <v>276</v>
      </c>
      <c r="G17" s="35" t="s">
        <v>379</v>
      </c>
      <c r="H17" s="17"/>
      <c r="I17" s="34" t="s">
        <v>13</v>
      </c>
      <c r="J17" s="34"/>
      <c r="K17" s="30" t="s">
        <v>382</v>
      </c>
      <c r="L17" s="32"/>
      <c r="N17" s="80" t="s">
        <v>713</v>
      </c>
      <c r="O17" s="81">
        <v>9367736</v>
      </c>
      <c r="P17" s="81" t="s">
        <v>712</v>
      </c>
      <c r="Q17" s="81" t="s">
        <v>278</v>
      </c>
      <c r="AM17" s="14" t="s">
        <v>719</v>
      </c>
      <c r="AN17" s="14" t="s">
        <v>718</v>
      </c>
      <c r="AQ17" s="14" t="s">
        <v>777</v>
      </c>
      <c r="AS17" s="29" t="s">
        <v>370</v>
      </c>
      <c r="AU17" s="14" t="s">
        <v>820</v>
      </c>
    </row>
    <row r="18" spans="2:47" ht="15">
      <c r="B18" s="110" t="s">
        <v>236</v>
      </c>
      <c r="C18" s="14" t="s">
        <v>235</v>
      </c>
      <c r="G18" s="35"/>
      <c r="H18" s="17"/>
      <c r="I18" s="34" t="s">
        <v>14</v>
      </c>
      <c r="J18" s="34"/>
      <c r="K18" s="30" t="s">
        <v>758</v>
      </c>
      <c r="L18" s="32"/>
      <c r="N18" s="80" t="s">
        <v>715</v>
      </c>
      <c r="O18" s="81">
        <v>9367724</v>
      </c>
      <c r="P18" s="81" t="s">
        <v>714</v>
      </c>
      <c r="Q18" s="81" t="s">
        <v>271</v>
      </c>
      <c r="AM18" s="14" t="s">
        <v>721</v>
      </c>
      <c r="AN18" s="14" t="s">
        <v>720</v>
      </c>
      <c r="AQ18" s="14" t="s">
        <v>778</v>
      </c>
      <c r="AS18" s="29" t="s">
        <v>370</v>
      </c>
      <c r="AU18" s="14" t="s">
        <v>821</v>
      </c>
    </row>
    <row r="19" spans="2:47" ht="15">
      <c r="B19" s="110" t="s">
        <v>384</v>
      </c>
      <c r="C19" s="14" t="s">
        <v>198</v>
      </c>
      <c r="G19" s="37" t="s">
        <v>381</v>
      </c>
      <c r="H19" s="17"/>
      <c r="I19" s="34" t="s">
        <v>15</v>
      </c>
      <c r="J19" s="34"/>
      <c r="K19" s="30" t="s">
        <v>386</v>
      </c>
      <c r="L19" s="32"/>
      <c r="N19" s="80" t="s">
        <v>265</v>
      </c>
      <c r="O19" s="81">
        <v>9347310</v>
      </c>
      <c r="P19" s="81" t="s">
        <v>904</v>
      </c>
      <c r="Q19" s="81" t="s">
        <v>266</v>
      </c>
      <c r="AM19" s="14" t="s">
        <v>723</v>
      </c>
      <c r="AN19" s="14" t="s">
        <v>722</v>
      </c>
      <c r="AQ19" s="14" t="s">
        <v>779</v>
      </c>
      <c r="AS19" s="29" t="s">
        <v>370</v>
      </c>
      <c r="AU19" s="14" t="s">
        <v>822</v>
      </c>
    </row>
    <row r="20" spans="2:47" ht="15">
      <c r="B20" s="110" t="s">
        <v>238</v>
      </c>
      <c r="C20" s="14" t="s">
        <v>237</v>
      </c>
      <c r="G20" s="37" t="s">
        <v>383</v>
      </c>
      <c r="H20" s="17"/>
      <c r="I20" s="34" t="s">
        <v>16</v>
      </c>
      <c r="J20" s="34"/>
      <c r="K20" s="30" t="s">
        <v>388</v>
      </c>
      <c r="L20" s="32"/>
      <c r="N20" s="100" t="s">
        <v>717</v>
      </c>
      <c r="O20" s="14">
        <v>9788605</v>
      </c>
      <c r="P20" s="14" t="s">
        <v>716</v>
      </c>
      <c r="Q20" s="14" t="s">
        <v>965</v>
      </c>
      <c r="AM20" s="14" t="s">
        <v>725</v>
      </c>
      <c r="AN20" s="14" t="s">
        <v>724</v>
      </c>
      <c r="AQ20" s="14" t="s">
        <v>780</v>
      </c>
      <c r="AS20" s="29" t="s">
        <v>370</v>
      </c>
      <c r="AU20" s="14" t="s">
        <v>823</v>
      </c>
    </row>
    <row r="21" spans="2:47" ht="15">
      <c r="B21" s="110" t="s">
        <v>240</v>
      </c>
      <c r="C21" s="14" t="s">
        <v>239</v>
      </c>
      <c r="G21" s="37" t="s">
        <v>385</v>
      </c>
      <c r="H21" s="17"/>
      <c r="I21" s="34" t="s">
        <v>17</v>
      </c>
      <c r="J21" s="34"/>
      <c r="K21" s="30" t="s">
        <v>762</v>
      </c>
      <c r="L21" s="32"/>
      <c r="N21" s="80" t="s">
        <v>681</v>
      </c>
      <c r="O21" s="80">
        <v>9182356</v>
      </c>
      <c r="P21" s="80" t="s">
        <v>680</v>
      </c>
      <c r="Q21" s="80" t="s">
        <v>221</v>
      </c>
      <c r="AM21" s="14" t="s">
        <v>698</v>
      </c>
      <c r="AN21" s="14" t="s">
        <v>697</v>
      </c>
      <c r="AQ21" s="14" t="s">
        <v>781</v>
      </c>
      <c r="AS21" s="29" t="s">
        <v>370</v>
      </c>
      <c r="AU21" s="14" t="s">
        <v>824</v>
      </c>
    </row>
    <row r="22" spans="2:47" ht="15">
      <c r="B22" s="110" t="s">
        <v>242</v>
      </c>
      <c r="C22" s="14" t="s">
        <v>241</v>
      </c>
      <c r="G22" s="37" t="s">
        <v>387</v>
      </c>
      <c r="H22" s="17"/>
      <c r="I22" s="34" t="s">
        <v>391</v>
      </c>
      <c r="J22" s="34"/>
      <c r="K22" s="30" t="s">
        <v>392</v>
      </c>
      <c r="L22" s="32"/>
      <c r="N22" s="80" t="s">
        <v>638</v>
      </c>
      <c r="O22" s="80">
        <v>9591973</v>
      </c>
      <c r="P22" s="80" t="s">
        <v>637</v>
      </c>
      <c r="Q22" s="80" t="s">
        <v>914</v>
      </c>
      <c r="AM22" s="14" t="s">
        <v>236</v>
      </c>
      <c r="AN22" s="14" t="s">
        <v>726</v>
      </c>
      <c r="AQ22" s="14" t="s">
        <v>782</v>
      </c>
      <c r="AS22" s="29" t="s">
        <v>370</v>
      </c>
      <c r="AU22" s="14" t="s">
        <v>825</v>
      </c>
    </row>
    <row r="23" spans="2:47" ht="15">
      <c r="B23" s="110" t="s">
        <v>248</v>
      </c>
      <c r="C23" s="14" t="s">
        <v>247</v>
      </c>
      <c r="G23" s="37"/>
      <c r="H23" s="17"/>
      <c r="I23" s="34" t="s">
        <v>18</v>
      </c>
      <c r="J23" s="34"/>
      <c r="K23" s="30" t="s">
        <v>394</v>
      </c>
      <c r="L23" s="32"/>
      <c r="N23" s="80" t="s">
        <v>719</v>
      </c>
      <c r="O23" s="81">
        <v>9812743</v>
      </c>
      <c r="P23" s="81" t="s">
        <v>718</v>
      </c>
      <c r="Q23" s="81" t="s">
        <v>939</v>
      </c>
      <c r="AM23" s="14" t="s">
        <v>700</v>
      </c>
      <c r="AN23" s="14" t="s">
        <v>699</v>
      </c>
      <c r="AQ23" s="14" t="s">
        <v>783</v>
      </c>
      <c r="AS23" s="29" t="s">
        <v>370</v>
      </c>
      <c r="AU23" s="14" t="s">
        <v>826</v>
      </c>
    </row>
    <row r="24" spans="2:47" ht="15">
      <c r="B24" s="110" t="s">
        <v>285</v>
      </c>
      <c r="C24" s="14" t="s">
        <v>286</v>
      </c>
      <c r="G24" s="34" t="s">
        <v>389</v>
      </c>
      <c r="H24" s="17"/>
      <c r="I24" s="34" t="s">
        <v>583</v>
      </c>
      <c r="J24" s="34"/>
      <c r="K24" s="30" t="s">
        <v>761</v>
      </c>
      <c r="L24" s="32"/>
      <c r="N24" s="80" t="s">
        <v>721</v>
      </c>
      <c r="O24" s="81">
        <v>9812755</v>
      </c>
      <c r="P24" s="81" t="s">
        <v>720</v>
      </c>
      <c r="Q24" s="81" t="s">
        <v>940</v>
      </c>
      <c r="AM24" s="14" t="s">
        <v>240</v>
      </c>
      <c r="AN24" s="14" t="s">
        <v>727</v>
      </c>
      <c r="AQ24" s="14" t="s">
        <v>784</v>
      </c>
      <c r="AS24" s="29" t="s">
        <v>370</v>
      </c>
      <c r="AU24" s="14" t="s">
        <v>827</v>
      </c>
    </row>
    <row r="25" spans="2:47" ht="15">
      <c r="B25" s="110" t="s">
        <v>287</v>
      </c>
      <c r="C25" s="14" t="s">
        <v>288</v>
      </c>
      <c r="G25" s="34" t="s">
        <v>390</v>
      </c>
      <c r="H25" s="17"/>
      <c r="I25" s="34" t="s">
        <v>19</v>
      </c>
      <c r="J25" s="34"/>
      <c r="K25" s="30" t="s">
        <v>760</v>
      </c>
      <c r="L25" s="32"/>
      <c r="N25" s="80" t="s">
        <v>723</v>
      </c>
      <c r="O25" s="81">
        <v>9433810</v>
      </c>
      <c r="P25" s="81" t="s">
        <v>722</v>
      </c>
      <c r="Q25" s="81" t="s">
        <v>941</v>
      </c>
      <c r="AM25" s="14" t="s">
        <v>640</v>
      </c>
      <c r="AN25" s="14" t="s">
        <v>639</v>
      </c>
      <c r="AQ25" s="14" t="s">
        <v>785</v>
      </c>
      <c r="AS25" s="29" t="s">
        <v>365</v>
      </c>
      <c r="AU25" s="14" t="s">
        <v>828</v>
      </c>
    </row>
    <row r="26" spans="2:47" ht="15">
      <c r="B26" s="110" t="s">
        <v>250</v>
      </c>
      <c r="C26" s="14" t="s">
        <v>249</v>
      </c>
      <c r="G26" s="34"/>
      <c r="H26" s="17"/>
      <c r="I26" s="34" t="s">
        <v>20</v>
      </c>
      <c r="J26" s="34"/>
      <c r="K26" s="30" t="s">
        <v>759</v>
      </c>
      <c r="L26" s="32"/>
      <c r="N26" s="80" t="s">
        <v>725</v>
      </c>
      <c r="O26" s="81">
        <v>9387255</v>
      </c>
      <c r="P26" s="81" t="s">
        <v>724</v>
      </c>
      <c r="Q26" s="81" t="s">
        <v>276</v>
      </c>
      <c r="AM26" s="14" t="s">
        <v>750</v>
      </c>
      <c r="AN26" s="14" t="s">
        <v>728</v>
      </c>
      <c r="AQ26" s="14" t="s">
        <v>786</v>
      </c>
      <c r="AS26" s="29" t="s">
        <v>370</v>
      </c>
      <c r="AU26" s="14" t="s">
        <v>829</v>
      </c>
    </row>
    <row r="27" spans="2:47" ht="15">
      <c r="B27" s="110" t="s">
        <v>293</v>
      </c>
      <c r="C27" s="14" t="s">
        <v>294</v>
      </c>
      <c r="G27" s="38" t="s">
        <v>393</v>
      </c>
      <c r="H27" s="17"/>
      <c r="I27" s="34" t="s">
        <v>21</v>
      </c>
      <c r="J27" s="34"/>
      <c r="K27" s="30" t="s">
        <v>802</v>
      </c>
      <c r="L27" s="32"/>
      <c r="N27" s="80" t="s">
        <v>698</v>
      </c>
      <c r="O27" s="81">
        <v>9838008</v>
      </c>
      <c r="P27" s="81" t="s">
        <v>697</v>
      </c>
      <c r="Q27" s="81" t="s">
        <v>935</v>
      </c>
      <c r="AM27" s="14" t="s">
        <v>730</v>
      </c>
      <c r="AN27" s="14" t="s">
        <v>729</v>
      </c>
      <c r="AQ27" s="14" t="s">
        <v>787</v>
      </c>
      <c r="AS27" s="29" t="s">
        <v>370</v>
      </c>
      <c r="AU27" s="14" t="s">
        <v>830</v>
      </c>
    </row>
    <row r="28" spans="2:47" ht="15">
      <c r="B28" s="110" t="s">
        <v>252</v>
      </c>
      <c r="C28" s="14" t="s">
        <v>251</v>
      </c>
      <c r="G28" s="38" t="s">
        <v>395</v>
      </c>
      <c r="H28" s="17"/>
      <c r="I28" s="34" t="s">
        <v>22</v>
      </c>
      <c r="J28" s="34"/>
      <c r="K28" s="35" t="s">
        <v>336</v>
      </c>
      <c r="L28" s="32"/>
      <c r="N28" s="80" t="s">
        <v>236</v>
      </c>
      <c r="O28" s="81">
        <v>9337901</v>
      </c>
      <c r="P28" s="81" t="s">
        <v>726</v>
      </c>
      <c r="Q28" s="81" t="s">
        <v>235</v>
      </c>
      <c r="AM28" s="14" t="s">
        <v>732</v>
      </c>
      <c r="AN28" s="14" t="s">
        <v>731</v>
      </c>
      <c r="AQ28" s="14" t="s">
        <v>788</v>
      </c>
      <c r="AS28" s="29" t="s">
        <v>370</v>
      </c>
      <c r="AU28" s="14" t="s">
        <v>831</v>
      </c>
    </row>
    <row r="29" spans="2:47" ht="15">
      <c r="B29" s="110" t="s">
        <v>254</v>
      </c>
      <c r="C29" s="14" t="s">
        <v>253</v>
      </c>
      <c r="G29" s="38" t="s">
        <v>396</v>
      </c>
      <c r="H29" s="17"/>
      <c r="I29" s="34" t="s">
        <v>23</v>
      </c>
      <c r="K29" s="35" t="s">
        <v>32</v>
      </c>
      <c r="L29" s="32"/>
      <c r="N29" s="80" t="s">
        <v>982</v>
      </c>
      <c r="O29" s="81">
        <v>9882358</v>
      </c>
      <c r="P29" s="81" t="s">
        <v>989</v>
      </c>
      <c r="Q29" s="81" t="s">
        <v>1052</v>
      </c>
      <c r="AM29" s="14" t="s">
        <v>642</v>
      </c>
      <c r="AN29" s="14" t="s">
        <v>641</v>
      </c>
      <c r="AQ29" s="14" t="s">
        <v>789</v>
      </c>
      <c r="AS29" s="29" t="s">
        <v>370</v>
      </c>
      <c r="AU29" s="14" t="s">
        <v>832</v>
      </c>
    </row>
    <row r="30" spans="2:47" ht="15">
      <c r="B30" s="110" t="s">
        <v>256</v>
      </c>
      <c r="C30" s="14" t="s">
        <v>255</v>
      </c>
      <c r="G30" s="38" t="s">
        <v>397</v>
      </c>
      <c r="H30" s="17"/>
      <c r="I30" s="34" t="s">
        <v>24</v>
      </c>
      <c r="K30" s="35" t="s">
        <v>168</v>
      </c>
      <c r="L30" s="32"/>
      <c r="N30" s="80" t="s">
        <v>983</v>
      </c>
      <c r="O30" s="81">
        <v>9882360</v>
      </c>
      <c r="P30" s="81" t="s">
        <v>990</v>
      </c>
      <c r="Q30" s="81" t="s">
        <v>1058</v>
      </c>
      <c r="AM30" s="14" t="s">
        <v>644</v>
      </c>
      <c r="AN30" s="14" t="s">
        <v>643</v>
      </c>
      <c r="AQ30" s="14" t="s">
        <v>790</v>
      </c>
      <c r="AS30" s="29" t="s">
        <v>370</v>
      </c>
      <c r="AU30" s="14" t="s">
        <v>833</v>
      </c>
    </row>
    <row r="31" spans="2:47" ht="15">
      <c r="B31" s="110" t="s">
        <v>212</v>
      </c>
      <c r="C31" s="14" t="s">
        <v>211</v>
      </c>
      <c r="H31" s="17"/>
      <c r="I31" s="34" t="s">
        <v>169</v>
      </c>
      <c r="K31" s="35" t="s">
        <v>33</v>
      </c>
      <c r="L31" s="32"/>
      <c r="N31" s="80" t="s">
        <v>980</v>
      </c>
      <c r="O31" s="81">
        <v>9882346</v>
      </c>
      <c r="P31" s="81" t="s">
        <v>987</v>
      </c>
      <c r="Q31" s="81" t="s">
        <v>1051</v>
      </c>
      <c r="AM31" s="14" t="s">
        <v>683</v>
      </c>
      <c r="AN31" s="14" t="s">
        <v>682</v>
      </c>
      <c r="AQ31" s="14" t="s">
        <v>794</v>
      </c>
      <c r="AS31" s="29" t="s">
        <v>370</v>
      </c>
      <c r="AU31" s="14" t="s">
        <v>834</v>
      </c>
    </row>
    <row r="32" spans="2:47" ht="15">
      <c r="B32" s="110" t="s">
        <v>220</v>
      </c>
      <c r="C32" s="14" t="s">
        <v>219</v>
      </c>
      <c r="H32" s="17"/>
      <c r="I32" s="34" t="s">
        <v>25</v>
      </c>
      <c r="K32" s="35" t="s">
        <v>34</v>
      </c>
      <c r="L32" s="32"/>
      <c r="N32" s="80" t="s">
        <v>700</v>
      </c>
      <c r="O32" s="102">
        <v>9855484</v>
      </c>
      <c r="P32" s="81" t="s">
        <v>699</v>
      </c>
      <c r="Q32" s="81" t="s">
        <v>968</v>
      </c>
      <c r="AM32" s="14" t="s">
        <v>646</v>
      </c>
      <c r="AN32" s="14" t="s">
        <v>645</v>
      </c>
      <c r="AQ32" s="14" t="s">
        <v>791</v>
      </c>
      <c r="AS32" s="29" t="s">
        <v>344</v>
      </c>
      <c r="AU32" s="14" t="s">
        <v>835</v>
      </c>
    </row>
    <row r="33" spans="2:47" ht="15">
      <c r="B33" s="110" t="s">
        <v>277</v>
      </c>
      <c r="C33" s="14" t="s">
        <v>278</v>
      </c>
      <c r="I33" s="34"/>
      <c r="K33" s="35" t="s">
        <v>35</v>
      </c>
      <c r="L33" s="32"/>
      <c r="N33" s="80" t="s">
        <v>973</v>
      </c>
      <c r="O33" s="81">
        <v>9882334</v>
      </c>
      <c r="P33" s="81" t="s">
        <v>974</v>
      </c>
      <c r="Q33" s="81" t="s">
        <v>991</v>
      </c>
      <c r="AM33" s="14" t="s">
        <v>734</v>
      </c>
      <c r="AN33" s="14" t="s">
        <v>733</v>
      </c>
      <c r="AQ33" s="14" t="s">
        <v>792</v>
      </c>
      <c r="AS33" s="29" t="s">
        <v>370</v>
      </c>
      <c r="AU33" s="14" t="s">
        <v>836</v>
      </c>
    </row>
    <row r="34" spans="2:47" ht="15">
      <c r="B34" s="110" t="s">
        <v>270</v>
      </c>
      <c r="C34" s="14" t="s">
        <v>271</v>
      </c>
      <c r="K34" s="35" t="s">
        <v>36</v>
      </c>
      <c r="L34" s="32"/>
      <c r="N34" s="80" t="s">
        <v>238</v>
      </c>
      <c r="O34" s="81">
        <v>9296810</v>
      </c>
      <c r="P34" s="81" t="s">
        <v>905</v>
      </c>
      <c r="Q34" s="81" t="s">
        <v>237</v>
      </c>
      <c r="AM34" s="14" t="s">
        <v>736</v>
      </c>
      <c r="AN34" s="14" t="s">
        <v>735</v>
      </c>
      <c r="AQ34" s="14" t="s">
        <v>793</v>
      </c>
      <c r="AS34" s="29" t="s">
        <v>370</v>
      </c>
      <c r="AU34" s="14" t="s">
        <v>837</v>
      </c>
    </row>
    <row r="35" spans="2:47" ht="15">
      <c r="B35" s="110" t="s">
        <v>200</v>
      </c>
      <c r="C35" s="14" t="s">
        <v>199</v>
      </c>
      <c r="K35" s="35" t="s">
        <v>37</v>
      </c>
      <c r="L35" s="32"/>
      <c r="N35" s="80" t="s">
        <v>240</v>
      </c>
      <c r="O35" s="81">
        <v>9310850</v>
      </c>
      <c r="P35" s="81" t="s">
        <v>727</v>
      </c>
      <c r="Q35" s="81" t="s">
        <v>239</v>
      </c>
      <c r="AM35" s="14" t="s">
        <v>738</v>
      </c>
      <c r="AN35" s="14" t="s">
        <v>737</v>
      </c>
      <c r="AQ35" s="14" t="s">
        <v>795</v>
      </c>
      <c r="AS35" s="29" t="s">
        <v>370</v>
      </c>
      <c r="AU35" s="14" t="s">
        <v>838</v>
      </c>
    </row>
    <row r="36" spans="2:47" ht="15">
      <c r="B36" s="110" t="s">
        <v>267</v>
      </c>
      <c r="C36" s="14" t="s">
        <v>398</v>
      </c>
      <c r="I36" s="34" t="s">
        <v>169</v>
      </c>
      <c r="K36" s="35" t="s">
        <v>38</v>
      </c>
      <c r="L36" s="32"/>
      <c r="N36" s="80" t="s">
        <v>640</v>
      </c>
      <c r="O36" s="80">
        <v>9725445</v>
      </c>
      <c r="P36" s="80" t="s">
        <v>639</v>
      </c>
      <c r="Q36" s="80" t="s">
        <v>915</v>
      </c>
      <c r="AM36" s="14" t="s">
        <v>751</v>
      </c>
      <c r="AN36" s="14" t="s">
        <v>647</v>
      </c>
      <c r="AQ36" s="14" t="s">
        <v>796</v>
      </c>
      <c r="AS36" s="29" t="s">
        <v>369</v>
      </c>
      <c r="AU36" s="14" t="s">
        <v>839</v>
      </c>
    </row>
    <row r="37" spans="2:47" ht="15">
      <c r="B37" s="110" t="s">
        <v>214</v>
      </c>
      <c r="C37" s="14" t="s">
        <v>213</v>
      </c>
      <c r="E37" s="17"/>
      <c r="F37" s="17"/>
      <c r="I37" s="34" t="s">
        <v>25</v>
      </c>
      <c r="K37" s="35" t="s">
        <v>39</v>
      </c>
      <c r="L37" s="39"/>
      <c r="N37" s="80" t="s">
        <v>750</v>
      </c>
      <c r="O37" s="81">
        <v>9222651</v>
      </c>
      <c r="P37" s="81" t="s">
        <v>728</v>
      </c>
      <c r="Q37" s="81" t="s">
        <v>942</v>
      </c>
      <c r="AM37" s="14" t="s">
        <v>685</v>
      </c>
      <c r="AN37" s="14" t="s">
        <v>684</v>
      </c>
      <c r="AQ37" s="14" t="s">
        <v>797</v>
      </c>
      <c r="AS37" s="29" t="s">
        <v>370</v>
      </c>
      <c r="AU37" s="14" t="s">
        <v>840</v>
      </c>
    </row>
    <row r="38" spans="2:47" ht="15">
      <c r="B38" s="110" t="s">
        <v>289</v>
      </c>
      <c r="C38" s="14" t="s">
        <v>290</v>
      </c>
      <c r="E38" s="17"/>
      <c r="F38" s="17"/>
      <c r="K38" s="35" t="s">
        <v>40</v>
      </c>
      <c r="L38" s="39"/>
      <c r="N38" s="80" t="s">
        <v>730</v>
      </c>
      <c r="O38" s="81">
        <v>9228291</v>
      </c>
      <c r="P38" s="81" t="s">
        <v>729</v>
      </c>
      <c r="Q38" s="81" t="s">
        <v>951</v>
      </c>
      <c r="AM38" s="14" t="s">
        <v>252</v>
      </c>
      <c r="AN38" s="14" t="s">
        <v>648</v>
      </c>
      <c r="AQ38" s="14" t="s">
        <v>798</v>
      </c>
      <c r="AS38" s="29" t="s">
        <v>370</v>
      </c>
    </row>
    <row r="39" spans="2:47" ht="15">
      <c r="B39" s="110" t="s">
        <v>291</v>
      </c>
      <c r="C39" s="14" t="s">
        <v>292</v>
      </c>
      <c r="E39" s="17"/>
      <c r="F39" s="17"/>
      <c r="K39" s="35" t="s">
        <v>41</v>
      </c>
      <c r="L39" s="39"/>
      <c r="N39" s="80" t="s">
        <v>732</v>
      </c>
      <c r="O39" s="81">
        <v>9254252</v>
      </c>
      <c r="P39" s="81" t="s">
        <v>731</v>
      </c>
      <c r="Q39" s="81" t="s">
        <v>950</v>
      </c>
      <c r="AM39" s="14" t="s">
        <v>650</v>
      </c>
      <c r="AN39" s="14" t="s">
        <v>649</v>
      </c>
    </row>
    <row r="40" spans="2:47" ht="15">
      <c r="B40" s="110" t="s">
        <v>216</v>
      </c>
      <c r="C40" s="14" t="s">
        <v>215</v>
      </c>
      <c r="E40" s="17"/>
      <c r="K40" s="35" t="s">
        <v>42</v>
      </c>
      <c r="L40" s="39"/>
      <c r="N40" s="80" t="s">
        <v>642</v>
      </c>
      <c r="O40" s="80">
        <v>9687746</v>
      </c>
      <c r="P40" s="80" t="s">
        <v>641</v>
      </c>
      <c r="Q40" s="80" t="s">
        <v>916</v>
      </c>
      <c r="AM40" s="14" t="s">
        <v>652</v>
      </c>
      <c r="AN40" s="14" t="s">
        <v>651</v>
      </c>
    </row>
    <row r="41" spans="2:47" ht="15">
      <c r="B41" s="110" t="s">
        <v>218</v>
      </c>
      <c r="C41" s="14" t="s">
        <v>217</v>
      </c>
      <c r="E41" s="17"/>
      <c r="G41" s="17"/>
      <c r="K41" s="35" t="s">
        <v>43</v>
      </c>
      <c r="L41" s="39"/>
      <c r="N41" s="80" t="s">
        <v>644</v>
      </c>
      <c r="O41" s="80">
        <v>9565053</v>
      </c>
      <c r="P41" s="80" t="s">
        <v>643</v>
      </c>
      <c r="Q41" s="80" t="s">
        <v>294</v>
      </c>
      <c r="AM41" s="14" t="s">
        <v>654</v>
      </c>
      <c r="AN41" s="14" t="s">
        <v>653</v>
      </c>
    </row>
    <row r="42" spans="2:47" ht="15">
      <c r="B42" s="110" t="s">
        <v>258</v>
      </c>
      <c r="C42" s="14" t="s">
        <v>257</v>
      </c>
      <c r="E42" s="17"/>
      <c r="G42" s="17"/>
      <c r="K42" s="35" t="s">
        <v>44</v>
      </c>
      <c r="L42" s="39"/>
      <c r="N42" s="80" t="s">
        <v>683</v>
      </c>
      <c r="O42" s="80">
        <v>9561277</v>
      </c>
      <c r="P42" s="80" t="s">
        <v>682</v>
      </c>
      <c r="Q42" s="80" t="s">
        <v>932</v>
      </c>
      <c r="AM42" s="14" t="s">
        <v>656</v>
      </c>
      <c r="AN42" s="14" t="s">
        <v>655</v>
      </c>
    </row>
    <row r="43" spans="2:47" ht="15">
      <c r="B43" s="110" t="s">
        <v>210</v>
      </c>
      <c r="C43" s="14" t="s">
        <v>209</v>
      </c>
      <c r="E43" s="17"/>
      <c r="G43" s="17"/>
      <c r="K43" s="35" t="s">
        <v>45</v>
      </c>
      <c r="L43" s="39"/>
      <c r="N43" s="80" t="s">
        <v>646</v>
      </c>
      <c r="O43" s="80">
        <v>9547001</v>
      </c>
      <c r="P43" s="80" t="s">
        <v>645</v>
      </c>
      <c r="Q43" s="80" t="s">
        <v>953</v>
      </c>
      <c r="AM43" s="14" t="s">
        <v>254</v>
      </c>
      <c r="AN43" s="14" t="s">
        <v>657</v>
      </c>
    </row>
    <row r="44" spans="2:47" ht="15">
      <c r="B44" s="110" t="s">
        <v>226</v>
      </c>
      <c r="C44" s="14" t="s">
        <v>225</v>
      </c>
      <c r="E44" s="17"/>
      <c r="K44" s="35" t="s">
        <v>46</v>
      </c>
      <c r="L44" s="39"/>
      <c r="N44" s="80" t="s">
        <v>1088</v>
      </c>
      <c r="O44" s="80">
        <v>9902093</v>
      </c>
      <c r="P44" s="80" t="s">
        <v>1089</v>
      </c>
      <c r="Q44" s="80" t="s">
        <v>1090</v>
      </c>
      <c r="AM44" s="14" t="s">
        <v>675</v>
      </c>
      <c r="AN44" s="14" t="s">
        <v>674</v>
      </c>
    </row>
    <row r="45" spans="2:47" ht="15">
      <c r="B45" s="110" t="s">
        <v>399</v>
      </c>
      <c r="C45" s="14" t="s">
        <v>284</v>
      </c>
      <c r="E45" s="17"/>
      <c r="K45" s="35" t="s">
        <v>47</v>
      </c>
      <c r="L45" s="39"/>
      <c r="N45" s="80" t="s">
        <v>734</v>
      </c>
      <c r="O45" s="81">
        <v>9830288</v>
      </c>
      <c r="P45" s="81" t="s">
        <v>733</v>
      </c>
      <c r="Q45" s="81" t="s">
        <v>943</v>
      </c>
      <c r="AM45" s="14" t="s">
        <v>659</v>
      </c>
      <c r="AN45" s="14" t="s">
        <v>658</v>
      </c>
    </row>
    <row r="46" spans="2:47" ht="15">
      <c r="B46" s="110" t="s">
        <v>232</v>
      </c>
      <c r="C46" s="14" t="s">
        <v>231</v>
      </c>
      <c r="E46" s="17"/>
      <c r="K46" s="35" t="s">
        <v>48</v>
      </c>
      <c r="L46" s="39"/>
      <c r="N46" s="80" t="s">
        <v>736</v>
      </c>
      <c r="O46" s="81">
        <v>9426283</v>
      </c>
      <c r="P46" s="81" t="s">
        <v>735</v>
      </c>
      <c r="Q46" s="81" t="s">
        <v>286</v>
      </c>
      <c r="AM46" s="14" t="s">
        <v>687</v>
      </c>
      <c r="AN46" s="14" t="s">
        <v>686</v>
      </c>
    </row>
    <row r="47" spans="2:47" ht="15">
      <c r="B47" s="110" t="s">
        <v>260</v>
      </c>
      <c r="C47" s="14" t="s">
        <v>259</v>
      </c>
      <c r="E47" s="17"/>
      <c r="K47" s="35" t="s">
        <v>49</v>
      </c>
      <c r="L47" s="39"/>
      <c r="N47" s="80" t="s">
        <v>738</v>
      </c>
      <c r="O47" s="81">
        <v>9830290</v>
      </c>
      <c r="P47" s="81" t="s">
        <v>737</v>
      </c>
      <c r="Q47" s="81" t="s">
        <v>944</v>
      </c>
      <c r="AM47" s="14" t="s">
        <v>702</v>
      </c>
      <c r="AN47" s="14" t="s">
        <v>701</v>
      </c>
    </row>
    <row r="48" spans="2:47">
      <c r="B48" s="110" t="s">
        <v>202</v>
      </c>
      <c r="C48" s="14" t="s">
        <v>201</v>
      </c>
      <c r="E48" s="17"/>
      <c r="K48" s="35" t="s">
        <v>50</v>
      </c>
      <c r="L48" s="39"/>
      <c r="N48" s="14" t="s">
        <v>1048</v>
      </c>
      <c r="O48" s="14">
        <v>9863223</v>
      </c>
      <c r="P48" s="14" t="s">
        <v>1049</v>
      </c>
      <c r="Q48" s="14" t="s">
        <v>1050</v>
      </c>
      <c r="AM48" s="14" t="s">
        <v>661</v>
      </c>
      <c r="AN48" s="14" t="s">
        <v>660</v>
      </c>
    </row>
    <row r="49" spans="2:40" ht="15">
      <c r="B49" s="110" t="s">
        <v>197</v>
      </c>
      <c r="C49" s="14" t="s">
        <v>196</v>
      </c>
      <c r="E49" s="17"/>
      <c r="K49" s="35" t="s">
        <v>51</v>
      </c>
      <c r="L49" s="39"/>
      <c r="N49" s="80" t="s">
        <v>1075</v>
      </c>
      <c r="O49" s="80">
        <v>9442524</v>
      </c>
      <c r="P49" s="80" t="s">
        <v>1076</v>
      </c>
      <c r="Q49" s="80" t="s">
        <v>1077</v>
      </c>
      <c r="AM49" s="14" t="s">
        <v>689</v>
      </c>
      <c r="AN49" s="14" t="s">
        <v>688</v>
      </c>
    </row>
    <row r="50" spans="2:40" ht="15">
      <c r="B50" s="110" t="s">
        <v>224</v>
      </c>
      <c r="C50" s="14" t="s">
        <v>223</v>
      </c>
      <c r="E50" s="17"/>
      <c r="K50" s="35" t="s">
        <v>52</v>
      </c>
      <c r="L50" s="39"/>
      <c r="N50" s="80" t="s">
        <v>899</v>
      </c>
      <c r="O50" s="80">
        <v>9774862</v>
      </c>
      <c r="P50" s="80" t="s">
        <v>647</v>
      </c>
      <c r="Q50" s="80" t="s">
        <v>917</v>
      </c>
      <c r="AM50" s="14" t="s">
        <v>663</v>
      </c>
      <c r="AN50" s="14" t="s">
        <v>662</v>
      </c>
    </row>
    <row r="51" spans="2:40" ht="15">
      <c r="B51" s="110" t="s">
        <v>400</v>
      </c>
      <c r="C51" s="14" t="s">
        <v>401</v>
      </c>
      <c r="E51" s="17"/>
      <c r="K51" s="35" t="s">
        <v>402</v>
      </c>
      <c r="L51" s="39"/>
      <c r="N51" s="80" t="s">
        <v>1078</v>
      </c>
      <c r="O51" s="80">
        <v>9760471</v>
      </c>
      <c r="P51" s="80" t="s">
        <v>1079</v>
      </c>
      <c r="Q51" s="80" t="s">
        <v>1080</v>
      </c>
      <c r="AM51" s="14" t="s">
        <v>740</v>
      </c>
      <c r="AN51" s="14" t="s">
        <v>739</v>
      </c>
    </row>
    <row r="52" spans="2:40" ht="15">
      <c r="B52" s="110" t="s">
        <v>206</v>
      </c>
      <c r="C52" s="14" t="s">
        <v>205</v>
      </c>
      <c r="E52" s="17"/>
      <c r="K52" s="32" t="s">
        <v>335</v>
      </c>
      <c r="L52" s="39"/>
      <c r="N52" s="80" t="s">
        <v>685</v>
      </c>
      <c r="O52" s="80">
        <v>9403217</v>
      </c>
      <c r="P52" s="80" t="s">
        <v>684</v>
      </c>
      <c r="Q52" s="80" t="s">
        <v>933</v>
      </c>
      <c r="AM52" s="14" t="s">
        <v>742</v>
      </c>
      <c r="AN52" s="14" t="s">
        <v>741</v>
      </c>
    </row>
    <row r="53" spans="2:40" ht="15">
      <c r="B53" s="110" t="s">
        <v>403</v>
      </c>
      <c r="C53" s="14" t="s">
        <v>404</v>
      </c>
      <c r="E53" s="17"/>
      <c r="K53" s="32" t="s">
        <v>405</v>
      </c>
      <c r="L53" s="39"/>
      <c r="N53" s="80" t="s">
        <v>252</v>
      </c>
      <c r="O53" s="80">
        <v>9236066</v>
      </c>
      <c r="P53" s="80" t="s">
        <v>648</v>
      </c>
      <c r="Q53" s="80" t="s">
        <v>251</v>
      </c>
      <c r="AM53" s="14" t="s">
        <v>665</v>
      </c>
      <c r="AN53" s="14" t="s">
        <v>664</v>
      </c>
    </row>
    <row r="54" spans="2:40" ht="15">
      <c r="B54" s="110" t="s">
        <v>246</v>
      </c>
      <c r="C54" s="14" t="s">
        <v>245</v>
      </c>
      <c r="E54" s="17"/>
      <c r="K54" s="32" t="s">
        <v>170</v>
      </c>
      <c r="L54" s="39"/>
      <c r="N54" s="80" t="s">
        <v>650</v>
      </c>
      <c r="O54" s="80">
        <v>9424106</v>
      </c>
      <c r="P54" s="80" t="s">
        <v>649</v>
      </c>
      <c r="Q54" s="80" t="s">
        <v>918</v>
      </c>
      <c r="AM54" s="14" t="s">
        <v>667</v>
      </c>
      <c r="AN54" s="14" t="s">
        <v>666</v>
      </c>
    </row>
    <row r="55" spans="2:40" ht="15">
      <c r="B55" s="110" t="s">
        <v>195</v>
      </c>
      <c r="C55" s="14" t="s">
        <v>194</v>
      </c>
      <c r="E55" s="17"/>
      <c r="K55" s="32" t="s">
        <v>406</v>
      </c>
      <c r="L55" s="39"/>
      <c r="N55" s="80" t="s">
        <v>652</v>
      </c>
      <c r="O55" s="80">
        <v>9276767</v>
      </c>
      <c r="P55" s="80" t="s">
        <v>651</v>
      </c>
      <c r="Q55" s="80" t="s">
        <v>919</v>
      </c>
      <c r="AM55" s="14" t="s">
        <v>258</v>
      </c>
      <c r="AN55" s="14" t="s">
        <v>690</v>
      </c>
    </row>
    <row r="56" spans="2:40" ht="15">
      <c r="B56" s="110" t="s">
        <v>193</v>
      </c>
      <c r="C56" s="14" t="s">
        <v>192</v>
      </c>
      <c r="E56" s="17"/>
      <c r="K56" s="32" t="s">
        <v>407</v>
      </c>
      <c r="L56" s="39"/>
      <c r="N56" s="80" t="s">
        <v>654</v>
      </c>
      <c r="O56" s="80">
        <v>9310006</v>
      </c>
      <c r="P56" s="80" t="s">
        <v>653</v>
      </c>
      <c r="Q56" s="80" t="s">
        <v>920</v>
      </c>
      <c r="AM56" s="14" t="s">
        <v>669</v>
      </c>
      <c r="AN56" s="14" t="s">
        <v>668</v>
      </c>
    </row>
    <row r="57" spans="2:40" ht="15">
      <c r="B57" s="110" t="s">
        <v>244</v>
      </c>
      <c r="C57" s="14" t="s">
        <v>243</v>
      </c>
      <c r="E57" s="17"/>
      <c r="K57" s="32" t="s">
        <v>408</v>
      </c>
      <c r="L57" s="39"/>
      <c r="N57" s="80" t="s">
        <v>656</v>
      </c>
      <c r="O57" s="80">
        <v>9246293</v>
      </c>
      <c r="P57" s="80" t="s">
        <v>906</v>
      </c>
      <c r="Q57" s="80" t="s">
        <v>908</v>
      </c>
      <c r="AM57" s="14" t="s">
        <v>744</v>
      </c>
      <c r="AN57" s="14" t="s">
        <v>743</v>
      </c>
    </row>
    <row r="58" spans="2:40" ht="15">
      <c r="B58" s="110" t="s">
        <v>208</v>
      </c>
      <c r="C58" s="14" t="s">
        <v>207</v>
      </c>
      <c r="E58" s="17"/>
      <c r="K58" s="32" t="s">
        <v>409</v>
      </c>
      <c r="L58" s="39"/>
      <c r="N58" s="80" t="s">
        <v>254</v>
      </c>
      <c r="O58" s="80">
        <v>9156759</v>
      </c>
      <c r="P58" s="80" t="s">
        <v>657</v>
      </c>
      <c r="Q58" s="80" t="s">
        <v>253</v>
      </c>
      <c r="AM58" s="14" t="s">
        <v>692</v>
      </c>
      <c r="AN58" s="14" t="s">
        <v>691</v>
      </c>
    </row>
    <row r="59" spans="2:40" ht="15">
      <c r="B59" s="110" t="s">
        <v>279</v>
      </c>
      <c r="C59" s="14" t="s">
        <v>280</v>
      </c>
      <c r="E59" s="17"/>
      <c r="K59" s="32" t="s">
        <v>410</v>
      </c>
      <c r="L59" s="39"/>
      <c r="N59" s="80" t="s">
        <v>675</v>
      </c>
      <c r="O59" s="80">
        <v>9316945</v>
      </c>
      <c r="P59" s="80" t="s">
        <v>674</v>
      </c>
      <c r="Q59" s="80" t="s">
        <v>921</v>
      </c>
      <c r="AM59" s="14" t="s">
        <v>671</v>
      </c>
      <c r="AN59" s="14" t="s">
        <v>670</v>
      </c>
    </row>
    <row r="60" spans="2:40" ht="15">
      <c r="B60" s="110" t="s">
        <v>411</v>
      </c>
      <c r="C60" s="14" t="s">
        <v>268</v>
      </c>
      <c r="E60" s="17"/>
      <c r="K60" s="32" t="s">
        <v>412</v>
      </c>
      <c r="L60" s="39"/>
      <c r="N60" s="80" t="s">
        <v>900</v>
      </c>
      <c r="O60" s="80">
        <v>9788679</v>
      </c>
      <c r="P60" s="80" t="s">
        <v>901</v>
      </c>
      <c r="Q60" s="80" t="s">
        <v>922</v>
      </c>
      <c r="AM60" s="14" t="s">
        <v>673</v>
      </c>
      <c r="AN60" s="14" t="s">
        <v>672</v>
      </c>
    </row>
    <row r="61" spans="2:40" ht="15">
      <c r="K61" s="32" t="s">
        <v>413</v>
      </c>
      <c r="L61" s="39"/>
      <c r="N61" s="80" t="s">
        <v>902</v>
      </c>
      <c r="O61" s="80">
        <v>9788681</v>
      </c>
      <c r="P61" s="80" t="s">
        <v>903</v>
      </c>
      <c r="Q61" s="80" t="s">
        <v>923</v>
      </c>
      <c r="AM61" s="14" t="s">
        <v>260</v>
      </c>
      <c r="AN61" s="14" t="s">
        <v>747</v>
      </c>
    </row>
    <row r="62" spans="2:40" ht="15">
      <c r="K62" s="32" t="s">
        <v>414</v>
      </c>
      <c r="L62" s="39"/>
      <c r="N62" s="80" t="s">
        <v>659</v>
      </c>
      <c r="O62" s="80">
        <v>9668051</v>
      </c>
      <c r="P62" s="80" t="s">
        <v>658</v>
      </c>
      <c r="Q62" s="80" t="s">
        <v>924</v>
      </c>
      <c r="AM62" s="14" t="s">
        <v>749</v>
      </c>
      <c r="AN62" s="14" t="s">
        <v>748</v>
      </c>
    </row>
    <row r="63" spans="2:40" ht="15">
      <c r="K63" s="32" t="s">
        <v>415</v>
      </c>
      <c r="L63" s="39"/>
      <c r="N63" s="80" t="s">
        <v>687</v>
      </c>
      <c r="O63" s="80">
        <v>9110107</v>
      </c>
      <c r="P63" s="80" t="s">
        <v>686</v>
      </c>
      <c r="Q63" s="80" t="s">
        <v>219</v>
      </c>
      <c r="AM63" s="14" t="s">
        <v>752</v>
      </c>
      <c r="AN63" s="14" t="s">
        <v>745</v>
      </c>
    </row>
    <row r="64" spans="2:40" ht="15">
      <c r="K64" s="32" t="s">
        <v>416</v>
      </c>
      <c r="L64" s="39"/>
      <c r="N64" s="80" t="s">
        <v>702</v>
      </c>
      <c r="O64" s="81">
        <v>9760782</v>
      </c>
      <c r="P64" s="81" t="s">
        <v>701</v>
      </c>
      <c r="Q64" s="81" t="s">
        <v>936</v>
      </c>
      <c r="AM64" s="14" t="s">
        <v>753</v>
      </c>
      <c r="AN64" s="14" t="s">
        <v>746</v>
      </c>
    </row>
    <row r="65" spans="5:40">
      <c r="K65" s="32" t="s">
        <v>417</v>
      </c>
      <c r="L65" s="39"/>
      <c r="N65" s="14" t="s">
        <v>1061</v>
      </c>
      <c r="O65" s="14">
        <v>9520376</v>
      </c>
      <c r="P65" s="14" t="s">
        <v>1062</v>
      </c>
      <c r="Q65" s="14" t="s">
        <v>1063</v>
      </c>
      <c r="AM65" s="14" t="s">
        <v>246</v>
      </c>
      <c r="AN65" s="14" t="s">
        <v>703</v>
      </c>
    </row>
    <row r="66" spans="5:40">
      <c r="K66" s="32" t="s">
        <v>418</v>
      </c>
      <c r="L66" s="39"/>
      <c r="N66" s="14" t="s">
        <v>1065</v>
      </c>
      <c r="O66" s="14">
        <v>9425277</v>
      </c>
      <c r="P66" s="14" t="s">
        <v>1064</v>
      </c>
      <c r="Q66" s="14" t="s">
        <v>1066</v>
      </c>
      <c r="AM66" s="14" t="s">
        <v>705</v>
      </c>
      <c r="AN66" s="14" t="s">
        <v>704</v>
      </c>
    </row>
    <row r="67" spans="5:40" ht="15">
      <c r="E67" s="17"/>
      <c r="K67" s="32" t="s">
        <v>419</v>
      </c>
      <c r="L67" s="39"/>
      <c r="N67" s="80" t="s">
        <v>661</v>
      </c>
      <c r="O67" s="80">
        <v>9696797</v>
      </c>
      <c r="P67" s="80" t="s">
        <v>660</v>
      </c>
      <c r="Q67" s="80" t="s">
        <v>925</v>
      </c>
      <c r="AM67" s="14" t="s">
        <v>707</v>
      </c>
      <c r="AN67" s="14" t="s">
        <v>706</v>
      </c>
    </row>
    <row r="68" spans="5:40" ht="15">
      <c r="E68" s="17"/>
      <c r="K68" s="32" t="s">
        <v>420</v>
      </c>
      <c r="L68" s="39"/>
      <c r="N68" s="80" t="s">
        <v>689</v>
      </c>
      <c r="O68" s="80">
        <v>9460887</v>
      </c>
      <c r="P68" s="80" t="s">
        <v>688</v>
      </c>
      <c r="Q68" s="80" t="s">
        <v>284</v>
      </c>
      <c r="AM68" s="14" t="s">
        <v>244</v>
      </c>
      <c r="AN68" s="14" t="s">
        <v>708</v>
      </c>
    </row>
    <row r="69" spans="5:40" ht="15">
      <c r="E69" s="17"/>
      <c r="K69" s="32" t="s">
        <v>421</v>
      </c>
      <c r="L69" s="39"/>
      <c r="N69" s="80" t="s">
        <v>663</v>
      </c>
      <c r="O69" s="80">
        <v>9514391</v>
      </c>
      <c r="P69" s="80" t="s">
        <v>662</v>
      </c>
      <c r="Q69" s="80" t="s">
        <v>292</v>
      </c>
      <c r="AM69" s="14" t="s">
        <v>279</v>
      </c>
      <c r="AN69" s="14" t="s">
        <v>709</v>
      </c>
    </row>
    <row r="70" spans="5:40" ht="15">
      <c r="E70" s="17"/>
      <c r="K70" s="32" t="s">
        <v>422</v>
      </c>
      <c r="L70" s="39"/>
      <c r="N70" s="80" t="s">
        <v>740</v>
      </c>
      <c r="O70" s="81">
        <v>9793375</v>
      </c>
      <c r="P70" s="81" t="s">
        <v>739</v>
      </c>
      <c r="Q70" s="81" t="s">
        <v>945</v>
      </c>
    </row>
    <row r="71" spans="5:40" ht="15">
      <c r="E71" s="17"/>
      <c r="K71" s="32" t="s">
        <v>423</v>
      </c>
      <c r="L71" s="39"/>
      <c r="N71" s="80" t="s">
        <v>742</v>
      </c>
      <c r="O71" s="81">
        <v>9793387</v>
      </c>
      <c r="P71" s="81" t="s">
        <v>741</v>
      </c>
      <c r="Q71" s="81" t="s">
        <v>946</v>
      </c>
    </row>
    <row r="72" spans="5:40" ht="15">
      <c r="E72" s="17"/>
      <c r="K72" s="32" t="s">
        <v>424</v>
      </c>
      <c r="L72" s="39"/>
      <c r="N72" s="80" t="s">
        <v>665</v>
      </c>
      <c r="O72" s="80">
        <v>9552331</v>
      </c>
      <c r="P72" s="80" t="s">
        <v>664</v>
      </c>
      <c r="Q72" s="80" t="s">
        <v>926</v>
      </c>
    </row>
    <row r="73" spans="5:40" ht="15">
      <c r="K73" s="32" t="s">
        <v>425</v>
      </c>
      <c r="L73" s="39"/>
      <c r="N73" s="80" t="s">
        <v>667</v>
      </c>
      <c r="O73" s="80">
        <v>9621247</v>
      </c>
      <c r="P73" s="80" t="s">
        <v>666</v>
      </c>
      <c r="Q73" s="80" t="s">
        <v>927</v>
      </c>
    </row>
    <row r="74" spans="5:40" ht="15">
      <c r="K74" s="32" t="s">
        <v>426</v>
      </c>
      <c r="L74" s="39"/>
      <c r="N74" s="80" t="s">
        <v>258</v>
      </c>
      <c r="O74" s="80">
        <v>9293648</v>
      </c>
      <c r="P74" s="80" t="s">
        <v>690</v>
      </c>
      <c r="Q74" s="80" t="s">
        <v>257</v>
      </c>
    </row>
    <row r="75" spans="5:40" ht="15">
      <c r="K75" s="32" t="s">
        <v>803</v>
      </c>
      <c r="L75" s="39"/>
      <c r="N75" s="80" t="s">
        <v>1081</v>
      </c>
      <c r="O75" s="80">
        <v>9894480</v>
      </c>
      <c r="P75" s="80" t="s">
        <v>1082</v>
      </c>
      <c r="Q75" s="80" t="s">
        <v>1083</v>
      </c>
    </row>
    <row r="76" spans="5:40" ht="15">
      <c r="K76" s="37" t="s">
        <v>334</v>
      </c>
      <c r="L76" s="39"/>
      <c r="N76" s="80" t="s">
        <v>669</v>
      </c>
      <c r="O76" s="80">
        <v>9806768</v>
      </c>
      <c r="P76" s="80" t="s">
        <v>668</v>
      </c>
      <c r="Q76" s="80" t="s">
        <v>928</v>
      </c>
    </row>
    <row r="77" spans="5:40" ht="15">
      <c r="K77" s="37" t="s">
        <v>427</v>
      </c>
      <c r="L77" s="39"/>
      <c r="N77" s="80" t="s">
        <v>744</v>
      </c>
      <c r="O77" s="81">
        <v>9771028</v>
      </c>
      <c r="P77" s="81" t="s">
        <v>907</v>
      </c>
      <c r="Q77" s="81" t="s">
        <v>952</v>
      </c>
    </row>
    <row r="78" spans="5:40" ht="15">
      <c r="K78" s="37" t="s">
        <v>171</v>
      </c>
      <c r="L78" s="39"/>
      <c r="N78" s="80" t="s">
        <v>692</v>
      </c>
      <c r="O78" s="80">
        <v>9267687</v>
      </c>
      <c r="P78" s="80" t="s">
        <v>691</v>
      </c>
      <c r="Q78" s="80" t="s">
        <v>225</v>
      </c>
    </row>
    <row r="79" spans="5:40" ht="15">
      <c r="K79" s="37" t="s">
        <v>428</v>
      </c>
      <c r="L79" s="39"/>
      <c r="N79" s="80" t="s">
        <v>1084</v>
      </c>
      <c r="O79" s="80">
        <v>9767467</v>
      </c>
      <c r="P79" s="80" t="s">
        <v>1085</v>
      </c>
      <c r="Q79" s="80" t="s">
        <v>1086</v>
      </c>
    </row>
    <row r="80" spans="5:40" ht="15">
      <c r="K80" s="37" t="s">
        <v>429</v>
      </c>
      <c r="L80" s="39"/>
      <c r="N80" s="80" t="s">
        <v>671</v>
      </c>
      <c r="O80" s="80">
        <v>9666510</v>
      </c>
      <c r="P80" s="80" t="s">
        <v>670</v>
      </c>
      <c r="Q80" s="80" t="s">
        <v>929</v>
      </c>
    </row>
    <row r="81" spans="11:17" ht="15">
      <c r="K81" s="37" t="s">
        <v>430</v>
      </c>
      <c r="L81" s="39"/>
      <c r="N81" s="80" t="s">
        <v>969</v>
      </c>
      <c r="O81" s="81">
        <v>9859181</v>
      </c>
      <c r="P81" s="81" t="s">
        <v>970</v>
      </c>
      <c r="Q81" s="81" t="s">
        <v>971</v>
      </c>
    </row>
    <row r="82" spans="11:17" ht="15">
      <c r="K82" s="37" t="s">
        <v>431</v>
      </c>
      <c r="L82" s="39"/>
      <c r="N82" s="80" t="s">
        <v>673</v>
      </c>
      <c r="O82" s="80">
        <v>9748124</v>
      </c>
      <c r="P82" s="80" t="s">
        <v>672</v>
      </c>
      <c r="Q82" s="80" t="s">
        <v>930</v>
      </c>
    </row>
    <row r="83" spans="11:17" ht="15">
      <c r="K83" s="37" t="s">
        <v>432</v>
      </c>
      <c r="L83" s="39"/>
      <c r="N83" s="80" t="s">
        <v>260</v>
      </c>
      <c r="O83" s="80">
        <v>9123934</v>
      </c>
      <c r="P83" s="80" t="s">
        <v>747</v>
      </c>
      <c r="Q83" s="80" t="s">
        <v>259</v>
      </c>
    </row>
    <row r="84" spans="11:17" ht="15">
      <c r="K84" s="37" t="s">
        <v>433</v>
      </c>
      <c r="L84" s="39"/>
      <c r="N84" s="80" t="s">
        <v>981</v>
      </c>
      <c r="O84" s="81">
        <v>9882425</v>
      </c>
      <c r="P84" s="81" t="s">
        <v>988</v>
      </c>
      <c r="Q84" s="81" t="s">
        <v>1053</v>
      </c>
    </row>
    <row r="85" spans="11:17" ht="15">
      <c r="K85" s="37" t="s">
        <v>434</v>
      </c>
      <c r="L85" s="39"/>
      <c r="N85" s="80" t="s">
        <v>977</v>
      </c>
      <c r="O85" s="81">
        <v>9882396</v>
      </c>
      <c r="P85" s="81" t="s">
        <v>984</v>
      </c>
      <c r="Q85" s="81" t="s">
        <v>1054</v>
      </c>
    </row>
    <row r="86" spans="11:17" ht="15">
      <c r="K86" s="37" t="s">
        <v>435</v>
      </c>
      <c r="L86" s="39"/>
      <c r="N86" s="80" t="s">
        <v>979</v>
      </c>
      <c r="O86" s="81">
        <v>9882413</v>
      </c>
      <c r="P86" s="81" t="s">
        <v>986</v>
      </c>
      <c r="Q86" s="81" t="s">
        <v>1055</v>
      </c>
    </row>
    <row r="87" spans="11:17" ht="15">
      <c r="K87" s="37" t="s">
        <v>436</v>
      </c>
      <c r="L87" s="39"/>
      <c r="N87" s="80" t="s">
        <v>978</v>
      </c>
      <c r="O87" s="81">
        <v>9882401</v>
      </c>
      <c r="P87" s="81" t="s">
        <v>985</v>
      </c>
      <c r="Q87" s="81" t="s">
        <v>1056</v>
      </c>
    </row>
    <row r="88" spans="11:17" ht="15">
      <c r="K88" s="37" t="s">
        <v>437</v>
      </c>
      <c r="L88" s="39"/>
      <c r="N88" s="80" t="s">
        <v>749</v>
      </c>
      <c r="O88" s="80">
        <v>9344071</v>
      </c>
      <c r="P88" s="80" t="s">
        <v>748</v>
      </c>
      <c r="Q88" s="80" t="s">
        <v>401</v>
      </c>
    </row>
    <row r="89" spans="11:17" ht="15">
      <c r="K89" s="37" t="s">
        <v>438</v>
      </c>
      <c r="L89" s="39"/>
      <c r="N89" s="80" t="s">
        <v>964</v>
      </c>
      <c r="O89" s="81">
        <v>9790361</v>
      </c>
      <c r="P89" s="81" t="s">
        <v>745</v>
      </c>
      <c r="Q89" s="81" t="s">
        <v>947</v>
      </c>
    </row>
    <row r="90" spans="11:17" ht="15">
      <c r="K90" s="37" t="s">
        <v>439</v>
      </c>
      <c r="L90" s="39"/>
      <c r="N90" s="80" t="s">
        <v>963</v>
      </c>
      <c r="O90" s="81">
        <v>9790373</v>
      </c>
      <c r="P90" s="81" t="s">
        <v>746</v>
      </c>
      <c r="Q90" s="81" t="s">
        <v>948</v>
      </c>
    </row>
    <row r="91" spans="11:17" ht="15">
      <c r="K91" s="37" t="s">
        <v>440</v>
      </c>
      <c r="L91" s="39"/>
      <c r="N91" s="80" t="s">
        <v>246</v>
      </c>
      <c r="O91" s="81">
        <v>9339973</v>
      </c>
      <c r="P91" s="81" t="s">
        <v>703</v>
      </c>
      <c r="Q91" s="81" t="s">
        <v>245</v>
      </c>
    </row>
    <row r="92" spans="11:17" ht="15">
      <c r="K92" s="37" t="s">
        <v>441</v>
      </c>
      <c r="L92" s="39"/>
      <c r="N92" s="80" t="s">
        <v>705</v>
      </c>
      <c r="O92" s="81">
        <v>9770696</v>
      </c>
      <c r="P92" s="81" t="s">
        <v>704</v>
      </c>
      <c r="Q92" s="81" t="s">
        <v>937</v>
      </c>
    </row>
    <row r="93" spans="11:17" ht="15">
      <c r="K93" s="37" t="s">
        <v>442</v>
      </c>
      <c r="L93" s="39"/>
      <c r="N93" s="80" t="s">
        <v>707</v>
      </c>
      <c r="O93" s="81">
        <v>9787754</v>
      </c>
      <c r="P93" s="81" t="s">
        <v>706</v>
      </c>
      <c r="Q93" s="81" t="s">
        <v>938</v>
      </c>
    </row>
    <row r="94" spans="11:17" ht="15">
      <c r="K94" s="37" t="s">
        <v>443</v>
      </c>
      <c r="L94" s="39"/>
      <c r="N94" s="80" t="s">
        <v>244</v>
      </c>
      <c r="O94" s="81">
        <v>9311270</v>
      </c>
      <c r="P94" s="81" t="s">
        <v>708</v>
      </c>
      <c r="Q94" s="81" t="s">
        <v>243</v>
      </c>
    </row>
    <row r="95" spans="11:17" ht="15">
      <c r="K95" s="37" t="s">
        <v>444</v>
      </c>
      <c r="L95" s="39"/>
      <c r="N95" s="80" t="s">
        <v>279</v>
      </c>
      <c r="O95" s="81">
        <v>9387267</v>
      </c>
      <c r="P95" s="81" t="s">
        <v>709</v>
      </c>
      <c r="Q95" s="81" t="s">
        <v>280</v>
      </c>
    </row>
    <row r="96" spans="11:17" ht="15">
      <c r="K96" s="37" t="s">
        <v>445</v>
      </c>
      <c r="L96" s="39"/>
      <c r="N96" s="80" t="s">
        <v>1093</v>
      </c>
      <c r="O96" s="80">
        <v>9875226</v>
      </c>
      <c r="P96" s="80" t="s">
        <v>1091</v>
      </c>
      <c r="Q96" s="80" t="s">
        <v>1092</v>
      </c>
    </row>
    <row r="97" spans="11:17" ht="15">
      <c r="K97" s="37" t="s">
        <v>446</v>
      </c>
      <c r="L97" s="39"/>
      <c r="N97" s="114" t="s">
        <v>1098</v>
      </c>
      <c r="O97" s="80">
        <v>9903140</v>
      </c>
      <c r="P97" s="14" t="s">
        <v>1100</v>
      </c>
      <c r="Q97" s="116" t="s">
        <v>1099</v>
      </c>
    </row>
    <row r="98" spans="11:17">
      <c r="K98" s="37" t="s">
        <v>447</v>
      </c>
      <c r="L98" s="39"/>
    </row>
    <row r="99" spans="11:17">
      <c r="K99" s="37" t="s">
        <v>448</v>
      </c>
      <c r="L99" s="39"/>
    </row>
    <row r="100" spans="11:17">
      <c r="K100" s="38" t="s">
        <v>333</v>
      </c>
      <c r="L100" s="39"/>
    </row>
    <row r="101" spans="11:17">
      <c r="K101" s="38" t="s">
        <v>449</v>
      </c>
      <c r="L101" s="39"/>
    </row>
    <row r="102" spans="11:17">
      <c r="K102" s="38" t="s">
        <v>450</v>
      </c>
      <c r="L102" s="39"/>
    </row>
    <row r="103" spans="11:17">
      <c r="K103" s="38" t="s">
        <v>451</v>
      </c>
      <c r="L103" s="39"/>
    </row>
    <row r="104" spans="11:17">
      <c r="K104" s="38" t="s">
        <v>452</v>
      </c>
      <c r="L104" s="39"/>
    </row>
    <row r="105" spans="11:17">
      <c r="K105" s="38" t="s">
        <v>453</v>
      </c>
      <c r="L105" s="39"/>
    </row>
    <row r="106" spans="11:17">
      <c r="K106" s="38" t="s">
        <v>454</v>
      </c>
      <c r="L106" s="39"/>
    </row>
    <row r="107" spans="11:17">
      <c r="K107" s="38" t="s">
        <v>455</v>
      </c>
      <c r="L107" s="39"/>
    </row>
    <row r="108" spans="11:17">
      <c r="K108" s="38" t="s">
        <v>456</v>
      </c>
      <c r="L108" s="39"/>
    </row>
    <row r="109" spans="11:17">
      <c r="K109" s="38" t="s">
        <v>457</v>
      </c>
      <c r="L109" s="39"/>
    </row>
    <row r="110" spans="11:17">
      <c r="K110" s="38" t="s">
        <v>458</v>
      </c>
      <c r="L110" s="39"/>
    </row>
    <row r="111" spans="11:17">
      <c r="K111" s="38" t="s">
        <v>459</v>
      </c>
      <c r="L111" s="39"/>
    </row>
    <row r="112" spans="11:17">
      <c r="K112" s="38" t="s">
        <v>460</v>
      </c>
      <c r="L112" s="39"/>
    </row>
    <row r="113" spans="11:12">
      <c r="K113" s="38" t="s">
        <v>461</v>
      </c>
      <c r="L113" s="39"/>
    </row>
    <row r="114" spans="11:12">
      <c r="K114" s="38" t="s">
        <v>462</v>
      </c>
      <c r="L114" s="39"/>
    </row>
    <row r="115" spans="11:12">
      <c r="K115" s="38" t="s">
        <v>463</v>
      </c>
      <c r="L115" s="39"/>
    </row>
    <row r="116" spans="11:12">
      <c r="K116" s="38" t="s">
        <v>464</v>
      </c>
      <c r="L116" s="39"/>
    </row>
    <row r="117" spans="11:12">
      <c r="K117" s="38" t="s">
        <v>465</v>
      </c>
      <c r="L117" s="39"/>
    </row>
    <row r="118" spans="11:12">
      <c r="K118" s="38" t="s">
        <v>466</v>
      </c>
      <c r="L118" s="39"/>
    </row>
    <row r="119" spans="11:12">
      <c r="K119" s="38" t="s">
        <v>467</v>
      </c>
      <c r="L119" s="39"/>
    </row>
    <row r="120" spans="11:12">
      <c r="K120" s="38" t="s">
        <v>468</v>
      </c>
      <c r="L120" s="39"/>
    </row>
    <row r="121" spans="11:12">
      <c r="K121" s="38" t="s">
        <v>469</v>
      </c>
      <c r="L121" s="39"/>
    </row>
    <row r="122" spans="11:12">
      <c r="K122" s="38" t="s">
        <v>470</v>
      </c>
      <c r="L122" s="39"/>
    </row>
    <row r="123" spans="11:12">
      <c r="K123" s="38" t="s">
        <v>471</v>
      </c>
      <c r="L123" s="39"/>
    </row>
    <row r="124" spans="11:12">
      <c r="K124" s="40" t="s">
        <v>53</v>
      </c>
      <c r="L124" s="39"/>
    </row>
    <row r="125" spans="11:12">
      <c r="K125" s="41" t="s">
        <v>54</v>
      </c>
      <c r="L125" s="39"/>
    </row>
    <row r="126" spans="11:12">
      <c r="K126" s="41" t="s">
        <v>55</v>
      </c>
      <c r="L126" s="39"/>
    </row>
    <row r="127" spans="11:12">
      <c r="K127" s="41" t="s">
        <v>56</v>
      </c>
      <c r="L127" s="39"/>
    </row>
    <row r="128" spans="11:12">
      <c r="K128" s="41" t="s">
        <v>57</v>
      </c>
      <c r="L128" s="39"/>
    </row>
    <row r="129" spans="11:12">
      <c r="K129" s="41" t="s">
        <v>58</v>
      </c>
      <c r="L129" s="39"/>
    </row>
    <row r="130" spans="11:12">
      <c r="K130" s="42" t="s">
        <v>59</v>
      </c>
      <c r="L130" s="39"/>
    </row>
    <row r="131" spans="11:12">
      <c r="K131" s="40" t="s">
        <v>172</v>
      </c>
      <c r="L131" s="39"/>
    </row>
    <row r="132" spans="11:12">
      <c r="K132" s="41" t="s">
        <v>173</v>
      </c>
      <c r="L132" s="39"/>
    </row>
    <row r="133" spans="11:12">
      <c r="K133" s="41" t="s">
        <v>60</v>
      </c>
      <c r="L133" s="39"/>
    </row>
    <row r="134" spans="11:12">
      <c r="K134" s="41" t="s">
        <v>61</v>
      </c>
      <c r="L134" s="39"/>
    </row>
    <row r="135" spans="11:12">
      <c r="K135" s="41" t="s">
        <v>62</v>
      </c>
      <c r="L135" s="39"/>
    </row>
    <row r="136" spans="11:12">
      <c r="K136" s="41" t="s">
        <v>63</v>
      </c>
      <c r="L136" s="39"/>
    </row>
    <row r="137" spans="11:12">
      <c r="K137" s="42" t="s">
        <v>64</v>
      </c>
      <c r="L137" s="39"/>
    </row>
    <row r="138" spans="11:12">
      <c r="K138" s="40" t="s">
        <v>174</v>
      </c>
      <c r="L138" s="39"/>
    </row>
    <row r="139" spans="11:12">
      <c r="K139" s="41" t="s">
        <v>65</v>
      </c>
      <c r="L139" s="39"/>
    </row>
    <row r="140" spans="11:12">
      <c r="K140" s="41" t="s">
        <v>66</v>
      </c>
      <c r="L140" s="39"/>
    </row>
    <row r="141" spans="11:12">
      <c r="K141" s="41" t="s">
        <v>67</v>
      </c>
      <c r="L141" s="39"/>
    </row>
    <row r="142" spans="11:12">
      <c r="K142" s="41" t="s">
        <v>68</v>
      </c>
      <c r="L142" s="39"/>
    </row>
    <row r="143" spans="11:12">
      <c r="K143" s="41" t="s">
        <v>69</v>
      </c>
      <c r="L143" s="39"/>
    </row>
    <row r="144" spans="11:12">
      <c r="K144" s="41" t="s">
        <v>175</v>
      </c>
      <c r="L144" s="39"/>
    </row>
    <row r="145" spans="11:12">
      <c r="K145" s="41" t="s">
        <v>70</v>
      </c>
      <c r="L145" s="39"/>
    </row>
    <row r="146" spans="11:12">
      <c r="K146" s="41" t="s">
        <v>71</v>
      </c>
      <c r="L146" s="39"/>
    </row>
    <row r="147" spans="11:12">
      <c r="K147" s="42" t="s">
        <v>176</v>
      </c>
      <c r="L147" s="39"/>
    </row>
    <row r="148" spans="11:12">
      <c r="K148" s="40" t="s">
        <v>72</v>
      </c>
      <c r="L148" s="39"/>
    </row>
    <row r="149" spans="11:12">
      <c r="K149" s="41" t="s">
        <v>73</v>
      </c>
      <c r="L149" s="39"/>
    </row>
    <row r="150" spans="11:12">
      <c r="K150" s="41" t="s">
        <v>74</v>
      </c>
      <c r="L150" s="39"/>
    </row>
    <row r="151" spans="11:12">
      <c r="K151" s="41" t="s">
        <v>75</v>
      </c>
      <c r="L151" s="39"/>
    </row>
    <row r="152" spans="11:12">
      <c r="K152" s="42" t="s">
        <v>76</v>
      </c>
      <c r="L152" s="39"/>
    </row>
    <row r="153" spans="11:12">
      <c r="K153" s="40" t="s">
        <v>77</v>
      </c>
      <c r="L153" s="39"/>
    </row>
    <row r="154" spans="11:12">
      <c r="K154" s="41" t="s">
        <v>78</v>
      </c>
      <c r="L154" s="39"/>
    </row>
    <row r="155" spans="11:12">
      <c r="K155" s="42" t="s">
        <v>79</v>
      </c>
      <c r="L155" s="39"/>
    </row>
    <row r="156" spans="11:12">
      <c r="K156" s="43" t="s">
        <v>80</v>
      </c>
      <c r="L156" s="39"/>
    </row>
    <row r="157" spans="11:12">
      <c r="K157" s="43" t="s">
        <v>81</v>
      </c>
      <c r="L157" s="39"/>
    </row>
    <row r="158" spans="11:12">
      <c r="K158" s="43" t="s">
        <v>177</v>
      </c>
      <c r="L158" s="39"/>
    </row>
    <row r="159" spans="11:12">
      <c r="K159" s="43" t="s">
        <v>82</v>
      </c>
      <c r="L159" s="39"/>
    </row>
    <row r="160" spans="11:12">
      <c r="K160" s="43" t="s">
        <v>83</v>
      </c>
      <c r="L160" s="39"/>
    </row>
    <row r="161" spans="11:12">
      <c r="K161" s="40" t="s">
        <v>84</v>
      </c>
      <c r="L161" s="39"/>
    </row>
    <row r="162" spans="11:12">
      <c r="K162" s="41" t="s">
        <v>85</v>
      </c>
      <c r="L162" s="39"/>
    </row>
    <row r="163" spans="11:12">
      <c r="K163" s="41" t="s">
        <v>86</v>
      </c>
      <c r="L163" s="39"/>
    </row>
    <row r="164" spans="11:12">
      <c r="K164" s="41" t="s">
        <v>87</v>
      </c>
      <c r="L164" s="39"/>
    </row>
    <row r="165" spans="11:12">
      <c r="K165" s="41" t="s">
        <v>88</v>
      </c>
      <c r="L165" s="39"/>
    </row>
    <row r="166" spans="11:12">
      <c r="K166" s="41" t="s">
        <v>89</v>
      </c>
      <c r="L166" s="39"/>
    </row>
    <row r="167" spans="11:12">
      <c r="K167" s="41" t="s">
        <v>90</v>
      </c>
      <c r="L167" s="39"/>
    </row>
    <row r="168" spans="11:12">
      <c r="K168" s="41" t="s">
        <v>91</v>
      </c>
      <c r="L168" s="39"/>
    </row>
    <row r="169" spans="11:12">
      <c r="K169" s="41" t="s">
        <v>92</v>
      </c>
      <c r="L169" s="39"/>
    </row>
    <row r="170" spans="11:12">
      <c r="K170" s="41" t="s">
        <v>93</v>
      </c>
      <c r="L170" s="39"/>
    </row>
    <row r="171" spans="11:12">
      <c r="K171" s="41" t="s">
        <v>94</v>
      </c>
      <c r="L171" s="39"/>
    </row>
    <row r="172" spans="11:12">
      <c r="K172" s="41" t="s">
        <v>95</v>
      </c>
      <c r="L172" s="39"/>
    </row>
    <row r="173" spans="11:12">
      <c r="K173" s="41" t="s">
        <v>96</v>
      </c>
      <c r="L173" s="39"/>
    </row>
    <row r="174" spans="11:12">
      <c r="K174" s="41" t="s">
        <v>97</v>
      </c>
      <c r="L174" s="39"/>
    </row>
    <row r="175" spans="11:12">
      <c r="K175" s="41" t="s">
        <v>98</v>
      </c>
      <c r="L175" s="39"/>
    </row>
    <row r="176" spans="11:12">
      <c r="K176" s="41" t="s">
        <v>178</v>
      </c>
      <c r="L176" s="39"/>
    </row>
    <row r="177" spans="11:12">
      <c r="K177" s="41" t="s">
        <v>99</v>
      </c>
      <c r="L177" s="39"/>
    </row>
    <row r="178" spans="11:12">
      <c r="K178" s="42" t="s">
        <v>100</v>
      </c>
      <c r="L178" s="39"/>
    </row>
    <row r="179" spans="11:12">
      <c r="K179" s="40" t="s">
        <v>101</v>
      </c>
      <c r="L179" s="39"/>
    </row>
    <row r="180" spans="11:12">
      <c r="K180" s="41" t="s">
        <v>102</v>
      </c>
      <c r="L180" s="39"/>
    </row>
    <row r="181" spans="11:12">
      <c r="K181" s="41" t="s">
        <v>103</v>
      </c>
      <c r="L181" s="39"/>
    </row>
    <row r="182" spans="11:12">
      <c r="K182" s="41" t="s">
        <v>104</v>
      </c>
      <c r="L182" s="39"/>
    </row>
    <row r="183" spans="11:12">
      <c r="K183" s="41" t="s">
        <v>105</v>
      </c>
      <c r="L183" s="39"/>
    </row>
    <row r="184" spans="11:12">
      <c r="K184" s="41" t="s">
        <v>106</v>
      </c>
    </row>
    <row r="185" spans="11:12">
      <c r="K185" s="41" t="s">
        <v>107</v>
      </c>
    </row>
    <row r="186" spans="11:12">
      <c r="K186" s="41" t="s">
        <v>108</v>
      </c>
    </row>
    <row r="187" spans="11:12">
      <c r="K187" s="41" t="s">
        <v>109</v>
      </c>
    </row>
    <row r="188" spans="11:12">
      <c r="K188" s="41" t="s">
        <v>110</v>
      </c>
    </row>
    <row r="189" spans="11:12">
      <c r="K189" s="41" t="s">
        <v>111</v>
      </c>
    </row>
    <row r="190" spans="11:12">
      <c r="K190" s="41" t="s">
        <v>112</v>
      </c>
    </row>
    <row r="191" spans="11:12">
      <c r="K191" s="41" t="s">
        <v>113</v>
      </c>
    </row>
    <row r="192" spans="11:12">
      <c r="K192" s="41" t="s">
        <v>179</v>
      </c>
    </row>
    <row r="193" spans="11:11">
      <c r="K193" s="42" t="s">
        <v>114</v>
      </c>
    </row>
    <row r="194" spans="11:11">
      <c r="K194" s="40" t="s">
        <v>115</v>
      </c>
    </row>
    <row r="195" spans="11:11">
      <c r="K195" s="41" t="s">
        <v>116</v>
      </c>
    </row>
    <row r="196" spans="11:11">
      <c r="K196" s="41" t="s">
        <v>117</v>
      </c>
    </row>
    <row r="197" spans="11:11">
      <c r="K197" s="41" t="s">
        <v>118</v>
      </c>
    </row>
    <row r="198" spans="11:11">
      <c r="K198" s="41" t="s">
        <v>119</v>
      </c>
    </row>
    <row r="199" spans="11:11">
      <c r="K199" s="41" t="s">
        <v>120</v>
      </c>
    </row>
    <row r="200" spans="11:11">
      <c r="K200" s="42" t="s">
        <v>121</v>
      </c>
    </row>
    <row r="201" spans="11:11">
      <c r="K201" s="40" t="s">
        <v>122</v>
      </c>
    </row>
    <row r="202" spans="11:11">
      <c r="K202" s="41" t="s">
        <v>123</v>
      </c>
    </row>
    <row r="203" spans="11:11">
      <c r="K203" s="41" t="s">
        <v>124</v>
      </c>
    </row>
    <row r="204" spans="11:11">
      <c r="K204" s="41" t="s">
        <v>125</v>
      </c>
    </row>
    <row r="205" spans="11:11">
      <c r="K205" s="41" t="s">
        <v>180</v>
      </c>
    </row>
    <row r="206" spans="11:11">
      <c r="K206" s="41" t="s">
        <v>126</v>
      </c>
    </row>
    <row r="207" spans="11:11">
      <c r="K207" s="41" t="s">
        <v>181</v>
      </c>
    </row>
    <row r="208" spans="11:11">
      <c r="K208" s="41" t="s">
        <v>182</v>
      </c>
    </row>
    <row r="209" spans="11:11">
      <c r="K209" s="41" t="s">
        <v>183</v>
      </c>
    </row>
    <row r="210" spans="11:11">
      <c r="K210" s="41" t="s">
        <v>127</v>
      </c>
    </row>
    <row r="211" spans="11:11">
      <c r="K211" s="41" t="s">
        <v>184</v>
      </c>
    </row>
    <row r="212" spans="11:11">
      <c r="K212" s="41" t="s">
        <v>128</v>
      </c>
    </row>
    <row r="213" spans="11:11">
      <c r="K213" s="41" t="s">
        <v>185</v>
      </c>
    </row>
    <row r="214" spans="11:11">
      <c r="K214" s="41" t="s">
        <v>129</v>
      </c>
    </row>
    <row r="215" spans="11:11">
      <c r="K215" s="41" t="s">
        <v>130</v>
      </c>
    </row>
    <row r="216" spans="11:11">
      <c r="K216" s="41" t="s">
        <v>131</v>
      </c>
    </row>
    <row r="217" spans="11:11">
      <c r="K217" s="41" t="s">
        <v>132</v>
      </c>
    </row>
    <row r="218" spans="11:11">
      <c r="K218" s="41" t="s">
        <v>186</v>
      </c>
    </row>
    <row r="219" spans="11:11">
      <c r="K219" s="41" t="s">
        <v>187</v>
      </c>
    </row>
    <row r="220" spans="11:11">
      <c r="K220" s="41" t="s">
        <v>133</v>
      </c>
    </row>
    <row r="221" spans="11:11">
      <c r="K221" s="42" t="s">
        <v>188</v>
      </c>
    </row>
    <row r="222" spans="11:11">
      <c r="K222" s="40" t="s">
        <v>134</v>
      </c>
    </row>
    <row r="223" spans="11:11">
      <c r="K223" s="41" t="s">
        <v>135</v>
      </c>
    </row>
    <row r="224" spans="11:11">
      <c r="K224" s="41" t="s">
        <v>136</v>
      </c>
    </row>
    <row r="225" spans="11:11">
      <c r="K225" s="41" t="s">
        <v>137</v>
      </c>
    </row>
    <row r="226" spans="11:11">
      <c r="K226" s="41" t="s">
        <v>138</v>
      </c>
    </row>
    <row r="227" spans="11:11">
      <c r="K227" s="41" t="s">
        <v>139</v>
      </c>
    </row>
    <row r="228" spans="11:11">
      <c r="K228" s="41" t="s">
        <v>140</v>
      </c>
    </row>
    <row r="229" spans="11:11">
      <c r="K229" s="42" t="s">
        <v>141</v>
      </c>
    </row>
    <row r="230" spans="11:11">
      <c r="K230" s="43" t="s">
        <v>142</v>
      </c>
    </row>
    <row r="231" spans="11:11">
      <c r="K231" s="43" t="s">
        <v>143</v>
      </c>
    </row>
    <row r="232" spans="11:11">
      <c r="K232" s="40" t="s">
        <v>144</v>
      </c>
    </row>
    <row r="233" spans="11:11">
      <c r="K233" s="41" t="s">
        <v>145</v>
      </c>
    </row>
    <row r="234" spans="11:11">
      <c r="K234" s="41" t="s">
        <v>146</v>
      </c>
    </row>
    <row r="235" spans="11:11">
      <c r="K235" s="41" t="s">
        <v>147</v>
      </c>
    </row>
    <row r="236" spans="11:11">
      <c r="K236" s="41" t="s">
        <v>148</v>
      </c>
    </row>
    <row r="237" spans="11:11">
      <c r="K237" s="41" t="s">
        <v>189</v>
      </c>
    </row>
    <row r="238" spans="11:11">
      <c r="K238" s="41" t="s">
        <v>149</v>
      </c>
    </row>
    <row r="239" spans="11:11">
      <c r="K239" s="42" t="s">
        <v>150</v>
      </c>
    </row>
    <row r="240" spans="11:11">
      <c r="K240" s="40" t="s">
        <v>151</v>
      </c>
    </row>
    <row r="241" spans="11:11">
      <c r="K241" s="41" t="s">
        <v>152</v>
      </c>
    </row>
    <row r="242" spans="11:11">
      <c r="K242" s="41" t="s">
        <v>153</v>
      </c>
    </row>
    <row r="243" spans="11:11">
      <c r="K243" s="41" t="s">
        <v>154</v>
      </c>
    </row>
    <row r="244" spans="11:11">
      <c r="K244" s="41" t="s">
        <v>155</v>
      </c>
    </row>
    <row r="245" spans="11:11">
      <c r="K245" s="41" t="s">
        <v>156</v>
      </c>
    </row>
    <row r="246" spans="11:11">
      <c r="K246" s="41" t="s">
        <v>328</v>
      </c>
    </row>
    <row r="247" spans="11:11">
      <c r="K247" s="41" t="s">
        <v>329</v>
      </c>
    </row>
    <row r="248" spans="11:11">
      <c r="K248" s="41" t="s">
        <v>330</v>
      </c>
    </row>
    <row r="249" spans="11:11">
      <c r="K249" s="41" t="s">
        <v>331</v>
      </c>
    </row>
    <row r="250" spans="11:11">
      <c r="K250" s="42" t="s">
        <v>332</v>
      </c>
    </row>
    <row r="251" spans="11:11">
      <c r="K251" s="40" t="s">
        <v>157</v>
      </c>
    </row>
    <row r="252" spans="11:11">
      <c r="K252" s="41" t="s">
        <v>158</v>
      </c>
    </row>
    <row r="253" spans="11:11">
      <c r="K253" s="41" t="s">
        <v>159</v>
      </c>
    </row>
    <row r="254" spans="11:11">
      <c r="K254" s="41" t="s">
        <v>160</v>
      </c>
    </row>
    <row r="255" spans="11:11">
      <c r="K255" s="41" t="s">
        <v>161</v>
      </c>
    </row>
    <row r="256" spans="11:11">
      <c r="K256" s="42" t="s">
        <v>162</v>
      </c>
    </row>
    <row r="257" spans="11:11">
      <c r="K257" s="40" t="s">
        <v>190</v>
      </c>
    </row>
    <row r="258" spans="11:11">
      <c r="K258" s="41" t="s">
        <v>163</v>
      </c>
    </row>
    <row r="259" spans="11:11">
      <c r="K259" s="41" t="s">
        <v>164</v>
      </c>
    </row>
    <row r="260" spans="11:11">
      <c r="K260" s="42" t="s">
        <v>165</v>
      </c>
    </row>
    <row r="261" spans="11:11">
      <c r="K261" s="40" t="s">
        <v>191</v>
      </c>
    </row>
    <row r="262" spans="11:11">
      <c r="K262" s="42" t="s">
        <v>166</v>
      </c>
    </row>
    <row r="263" spans="11:11">
      <c r="K263" s="101" t="s">
        <v>967</v>
      </c>
    </row>
    <row r="264" spans="11:11">
      <c r="K264" s="44" t="s">
        <v>472</v>
      </c>
    </row>
    <row r="265" spans="11:11">
      <c r="K265" s="44" t="s">
        <v>473</v>
      </c>
    </row>
    <row r="266" spans="11:11">
      <c r="K266" s="44" t="s">
        <v>474</v>
      </c>
    </row>
    <row r="267" spans="11:11">
      <c r="K267" s="44" t="s">
        <v>475</v>
      </c>
    </row>
    <row r="268" spans="11:11">
      <c r="K268" s="40" t="s">
        <v>476</v>
      </c>
    </row>
    <row r="269" spans="11:11">
      <c r="K269" s="44" t="s">
        <v>477</v>
      </c>
    </row>
    <row r="270" spans="11:11">
      <c r="K270" s="44" t="s">
        <v>478</v>
      </c>
    </row>
    <row r="271" spans="11:11">
      <c r="K271" s="44" t="s">
        <v>479</v>
      </c>
    </row>
    <row r="272" spans="11:11">
      <c r="K272" s="44" t="s">
        <v>480</v>
      </c>
    </row>
  </sheetData>
  <sortState xmlns:xlrd2="http://schemas.microsoft.com/office/spreadsheetml/2017/richdata2" ref="AQ2:AS41">
    <sortCondition ref="AQ2:AQ41"/>
  </sortState>
  <phoneticPr fontId="3"/>
  <conditionalFormatting sqref="N5:N50">
    <cfRule type="duplicateValues" dxfId="6" priority="22"/>
  </conditionalFormatting>
  <conditionalFormatting sqref="N51:Q96">
    <cfRule type="duplicateValues" dxfId="5" priority="2"/>
  </conditionalFormatting>
  <conditionalFormatting sqref="O97">
    <cfRule type="duplicateValues" dxfId="4"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112" customWidth="1"/>
    <col min="2" max="2" width="6.26953125" style="112" bestFit="1" customWidth="1"/>
    <col min="3" max="3" width="89.08984375" style="112" bestFit="1" customWidth="1"/>
    <col min="4" max="16384" width="9" style="112"/>
  </cols>
  <sheetData>
    <row r="1" spans="2:3">
      <c r="B1" s="112" t="s">
        <v>510</v>
      </c>
      <c r="C1" s="112" t="s">
        <v>511</v>
      </c>
    </row>
    <row r="2" spans="2:3">
      <c r="C2" s="112" t="s">
        <v>567</v>
      </c>
    </row>
    <row r="3" spans="2:3">
      <c r="C3" s="112" t="s">
        <v>569</v>
      </c>
    </row>
    <row r="4" spans="2:3">
      <c r="B4" s="112" t="s">
        <v>1067</v>
      </c>
      <c r="C4" s="112"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8ba725a-4900-4775-9b4b-a37cb0540096"/>
    <ds:schemaRef ds:uri="ca9ae2f1-2f71-4efd-9b89-8a5ee18bab67"/>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4.xml><?xml version="1.0" encoding="utf-8"?>
<ds:datastoreItem xmlns:ds="http://schemas.openxmlformats.org/officeDocument/2006/customXml" ds:itemID="{C2157E39-E796-4D19-A734-BD0A23FF56A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Instructions</vt:lpstr>
      <vt:lpstr>DRSEND</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2022-03-26T14:49:15Z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