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mms_svr01\DRsender\Tanker_DR\DR sender 2021 V55\"/>
    </mc:Choice>
  </mc:AlternateContent>
  <xr:revisionPtr revIDLastSave="0" documentId="13_ncr:1_{F98C09BA-C807-4AA8-A13D-2E35BEE559E3}" xr6:coauthVersionLast="46" xr6:coauthVersionMax="47" xr10:uidLastSave="{00000000-0000-0000-0000-000000000000}"/>
  <bookViews>
    <workbookView xWindow="-110" yWindow="-110" windowWidth="29020" windowHeight="1585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DRSEND!$A$43</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2" i="9" l="1"/>
  <c r="J42" i="9"/>
  <c r="F42" i="9"/>
  <c r="E42" i="9"/>
  <c r="L41" i="9" l="1"/>
  <c r="J41" i="9"/>
  <c r="F41" i="9"/>
  <c r="E41" i="9"/>
  <c r="L40" i="9" l="1"/>
  <c r="J40" i="9"/>
  <c r="F40" i="9"/>
  <c r="E40" i="9"/>
  <c r="L39" i="9"/>
  <c r="J39" i="9"/>
  <c r="F39" i="9"/>
  <c r="E39" i="9"/>
  <c r="D1" i="9" l="1"/>
  <c r="C5" i="9"/>
  <c r="C2" i="9"/>
  <c r="C3" i="9"/>
  <c r="AW7" i="9" l="1"/>
  <c r="AX7" i="9"/>
  <c r="AY7" i="9"/>
  <c r="AV7" i="9"/>
  <c r="L7" i="9"/>
  <c r="J7" i="9"/>
  <c r="F7" i="9"/>
  <c r="E7" i="9"/>
  <c r="AU7" i="9" l="1"/>
</calcChain>
</file>

<file path=xl/sharedStrings.xml><?xml version="1.0" encoding="utf-8"?>
<sst xmlns="http://schemas.openxmlformats.org/spreadsheetml/2006/main" count="3973" uniqueCount="1512">
  <si>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</si>
  <si>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</si>
  <si>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</si>
  <si>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</si>
  <si>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</si>
  <si>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</si>
  <si>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</si>
  <si>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</si>
  <si>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</si>
  <si>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</si>
  <si>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</si>
  <si>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</si>
  <si>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</si>
  <si>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</si>
  <si>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</si>
  <si>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</si>
  <si>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</si>
  <si>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</si>
  <si>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</si>
  <si>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</si>
  <si>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</si>
  <si>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</si>
  <si>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</si>
  <si>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</si>
  <si>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</si>
  <si>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</si>
  <si>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</si>
  <si>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</si>
  <si>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</si>
  <si>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</si>
  <si>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</si>
  <si>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</si>
  <si>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</si>
  <si>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</si>
  <si>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</si>
  <si>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</si>
  <si>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</si>
  <si>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</si>
  <si>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</si>
  <si>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</si>
  <si>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</si>
  <si>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</si>
  <si>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</si>
  <si>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</si>
  <si>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</si>
  <si>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</si>
  <si>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</si>
  <si>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</si>
  <si>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</si>
  <si>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</si>
  <si>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</si>
  <si>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</si>
  <si>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</si>
  <si>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</si>
  <si>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</si>
  <si>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</si>
  <si>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</si>
  <si>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</si>
  <si>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</si>
  <si>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</si>
  <si>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</si>
  <si>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</si>
  <si>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</si>
  <si>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</si>
  <si>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</si>
  <si>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</si>
  <si>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</si>
  <si>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</si>
  <si>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</si>
  <si>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</si>
  <si>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</si>
  <si>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</si>
  <si>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</si>
  <si>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</si>
  <si>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</si>
  <si>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</si>
  <si>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</si>
  <si>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</si>
  <si>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</si>
  <si>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</si>
  <si>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</si>
  <si>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</si>
  <si>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</si>
  <si>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</si>
  <si>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</si>
  <si>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</si>
  <si>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</si>
  <si>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</si>
  <si>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</si>
  <si>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</si>
  <si>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</si>
  <si>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</si>
  <si>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</si>
  <si>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</si>
  <si>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</si>
  <si>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</si>
  <si>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</si>
  <si>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</si>
  <si>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</si>
  <si>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</si>
  <si>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</si>
  <si>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</si>
  <si>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</si>
  <si>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</si>
  <si>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</si>
  <si>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</si>
  <si>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</si>
  <si>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</si>
  <si>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</si>
  <si>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</si>
  <si>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</si>
  <si>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</si>
  <si>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</si>
  <si>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</si>
  <si>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</si>
  <si>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</si>
  <si>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</si>
  <si>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</si>
  <si>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</si>
  <si>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</si>
  <si>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</si>
  <si>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</si>
  <si>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</si>
  <si>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</si>
  <si>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</si>
  <si>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</si>
  <si>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</si>
  <si>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</si>
  <si>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</si>
  <si>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</si>
  <si>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</si>
  <si>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</si>
  <si>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</si>
  <si>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</si>
  <si>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</si>
  <si>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</si>
  <si>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</si>
  <si>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</si>
  <si>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</si>
  <si>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</si>
  <si>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</si>
  <si>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</si>
  <si>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</si>
  <si>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</si>
  <si>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</si>
  <si>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</si>
  <si>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</si>
  <si>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</si>
  <si>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</si>
  <si>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</si>
  <si>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</si>
  <si>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</si>
  <si>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</si>
  <si>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</si>
  <si>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</si>
  <si>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</si>
  <si>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</si>
  <si>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</si>
  <si>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</si>
  <si>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</si>
  <si>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</si>
  <si>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</si>
  <si>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</si>
  <si>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</si>
  <si>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</si>
  <si>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</si>
  <si>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</si>
  <si>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</si>
  <si>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</si>
  <si>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</si>
  <si>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</si>
  <si>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</si>
  <si>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</si>
  <si>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</si>
  <si>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</si>
  <si>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</si>
  <si>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</si>
  <si>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</si>
  <si>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</si>
  <si>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</si>
  <si>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</si>
  <si>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</si>
  <si>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</si>
  <si>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</si>
  <si>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</si>
  <si>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</si>
  <si>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</si>
  <si>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</si>
  <si>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</si>
  <si>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</si>
  <si>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</si>
  <si>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</si>
  <si>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</si>
  <si>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</si>
  <si>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</si>
  <si>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</si>
  <si>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</si>
  <si>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</si>
  <si>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</si>
  <si>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</si>
  <si>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</si>
  <si>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</si>
  <si>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</si>
  <si>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</si>
  <si>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</si>
  <si>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</si>
  <si>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</si>
  <si>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</si>
  <si>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</si>
  <si>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</si>
  <si>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</si>
  <si>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</si>
  <si>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</si>
  <si>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</si>
  <si>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</si>
  <si>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</si>
  <si>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</si>
  <si>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</si>
  <si>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</si>
  <si>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</si>
  <si>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</si>
  <si>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</si>
  <si>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</si>
  <si>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</si>
  <si>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</si>
  <si>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</si>
  <si>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</si>
  <si>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</si>
  <si>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</si>
  <si>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</si>
  <si>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</si>
  <si>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</si>
  <si>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</si>
  <si>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</si>
  <si>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</si>
  <si>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</si>
  <si>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</si>
  <si>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</si>
  <si>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</si>
  <si>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</si>
  <si>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</si>
  <si>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</si>
  <si>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</si>
  <si>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</si>
  <si>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</si>
  <si>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</si>
  <si>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</si>
  <si>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</si>
  <si>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</si>
  <si>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</si>
  <si>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</si>
  <si>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</si>
  <si>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</si>
  <si>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</si>
  <si>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</si>
  <si>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</si>
  <si>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</si>
  <si>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</si>
  <si>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</si>
  <si>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</si>
  <si>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</si>
  <si>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</si>
  <si>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</si>
  <si>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</si>
  <si>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</si>
  <si>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</si>
  <si>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</si>
  <si>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</si>
  <si>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</si>
  <si>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</si>
  <si>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</si>
  <si>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</si>
  <si>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</si>
  <si>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</si>
  <si>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</si>
  <si>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</si>
  <si>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</si>
  <si>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</si>
  <si>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</si>
  <si>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</si>
  <si>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</si>
  <si>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</si>
  <si>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</si>
  <si>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</si>
  <si>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</si>
  <si>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</si>
  <si>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</si>
  <si>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</si>
  <si>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</si>
  <si>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</si>
  <si>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</si>
  <si>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</si>
  <si>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</si>
  <si>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</si>
  <si>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</si>
  <si>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</si>
  <si>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</si>
  <si>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</si>
  <si>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</si>
  <si>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</si>
  <si>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</si>
  <si>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</si>
  <si>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</si>
  <si>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</si>
  <si>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</si>
  <si>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</si>
  <si>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</si>
  <si>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</si>
  <si>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</si>
  <si>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</si>
  <si>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</si>
  <si>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</si>
  <si>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</si>
  <si>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</si>
  <si>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</si>
  <si>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</si>
  <si>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</si>
  <si>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</si>
  <si>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</si>
  <si>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</si>
  <si>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</si>
  <si>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</si>
  <si>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</si>
  <si>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</si>
  <si>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</si>
  <si>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</si>
  <si>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</si>
  <si>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</si>
  <si>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</si>
  <si>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</si>
  <si>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</si>
  <si>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</si>
  <si>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</si>
  <si>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</si>
  <si>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</si>
  <si>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</si>
  <si>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</si>
  <si>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</si>
  <si>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</si>
  <si>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</si>
  <si>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</si>
  <si>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</si>
  <si>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</si>
  <si>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</si>
  <si>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</si>
  <si>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</si>
  <si>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</si>
  <si>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</si>
  <si>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</si>
  <si>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</si>
  <si>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</si>
  <si>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</si>
  <si>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</si>
  <si>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</si>
  <si>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</si>
  <si>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</si>
  <si>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</si>
  <si>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</si>
  <si>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</si>
  <si>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</si>
  <si>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</si>
  <si>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</si>
  <si>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</si>
  <si>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</si>
  <si>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</si>
  <si>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</si>
  <si>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</si>
  <si>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</si>
  <si>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</si>
  <si>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</si>
  <si>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</si>
  <si>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</si>
  <si>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</si>
  <si>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</si>
  <si>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</si>
  <si>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</si>
  <si>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</si>
  <si>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</si>
  <si>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</si>
  <si>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</si>
  <si>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</si>
  <si>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</si>
  <si>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</si>
  <si>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</si>
  <si>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</si>
  <si>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</si>
  <si>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</si>
  <si>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</si>
  <si>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</si>
  <si>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</si>
  <si>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</si>
  <si>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</si>
  <si>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</si>
  <si>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</si>
  <si>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</si>
  <si>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</si>
  <si>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</si>
  <si>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</si>
  <si>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</si>
  <si>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</si>
  <si>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</si>
  <si>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</si>
  <si>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</si>
  <si>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</si>
  <si>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</si>
  <si>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</si>
  <si>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</si>
  <si>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</si>
  <si>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</si>
  <si>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</si>
  <si>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</si>
  <si>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</si>
  <si>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</si>
  <si>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</si>
  <si>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</si>
  <si>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</si>
  <si>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</si>
  <si>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</si>
  <si>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</si>
  <si>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</si>
  <si>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</si>
  <si>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</si>
  <si>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</si>
  <si>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</si>
  <si>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</si>
  <si>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</si>
  <si>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</si>
  <si>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</si>
  <si>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</si>
  <si>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</si>
  <si>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</si>
  <si>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</si>
  <si>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</si>
  <si>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</si>
  <si>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</si>
  <si>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</si>
  <si>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</si>
  <si>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</si>
  <si>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</si>
  <si>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</si>
  <si>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</si>
  <si>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</si>
  <si>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</si>
  <si>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</si>
  <si>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</si>
  <si>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</si>
  <si>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</si>
  <si>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</si>
  <si>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</si>
  <si>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</si>
  <si>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</si>
  <si>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</si>
  <si>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</si>
  <si>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</si>
  <si>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</si>
  <si>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</si>
  <si>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</si>
  <si>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</si>
  <si>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</si>
  <si>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</si>
  <si>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</si>
  <si>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</si>
  <si>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</si>
  <si>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</si>
  <si>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</si>
  <si>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</si>
  <si>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</si>
  <si>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</si>
  <si>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</si>
  <si>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</si>
  <si>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</si>
  <si>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</si>
  <si>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</si>
  <si>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</si>
  <si>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</si>
  <si>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</si>
  <si>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</si>
  <si>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</si>
  <si>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</si>
  <si>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</si>
  <si>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</si>
  <si>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</si>
  <si>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</si>
  <si>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</si>
  <si>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</si>
  <si>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</si>
  <si>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</si>
  <si>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</si>
  <si>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</si>
  <si>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</si>
  <si>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</si>
  <si>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</si>
  <si>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</si>
  <si>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</si>
  <si>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</si>
  <si>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</si>
  <si>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</si>
  <si>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</si>
  <si>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</si>
  <si>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</si>
  <si>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</si>
  <si>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</si>
  <si>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</si>
  <si>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</si>
  <si>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</si>
  <si>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</si>
  <si>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</si>
  <si>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</si>
  <si>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</si>
  <si>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</si>
  <si>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</si>
  <si>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</si>
  <si>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</si>
  <si>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</si>
  <si>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</si>
  <si>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</si>
  <si>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</si>
  <si>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</si>
  <si>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</si>
  <si>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</si>
  <si>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</si>
  <si>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</si>
  <si>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</si>
  <si>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</si>
  <si>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</si>
  <si>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</si>
  <si>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</si>
  <si>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</si>
  <si>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</si>
  <si>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</si>
  <si>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</si>
  <si>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</si>
  <si>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</si>
  <si>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</si>
  <si>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</si>
  <si>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</si>
  <si>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</si>
  <si>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</si>
  <si>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</si>
  <si>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</si>
  <si>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</si>
  <si>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</si>
  <si>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</si>
  <si>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</si>
  <si>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</si>
  <si>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</si>
  <si>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</si>
  <si>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</si>
  <si>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</si>
  <si>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</si>
  <si>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</si>
  <si>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</si>
  <si>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</si>
  <si>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</si>
  <si>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</si>
  <si>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</si>
  <si>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</si>
  <si>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</si>
  <si>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</si>
  <si>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</si>
  <si>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</si>
  <si>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</si>
  <si>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</si>
  <si>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</si>
  <si>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</si>
  <si>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</si>
  <si>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</si>
  <si>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</si>
  <si>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</si>
  <si>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</si>
  <si>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</si>
  <si>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</si>
  <si>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</si>
  <si>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</si>
  <si>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</si>
  <si>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</si>
  <si>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</si>
  <si>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</si>
  <si>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</si>
  <si>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</si>
  <si>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</si>
  <si>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</si>
  <si>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</si>
  <si>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</si>
  <si>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</si>
  <si>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</si>
  <si>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</si>
  <si>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</si>
  <si>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</si>
  <si>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</si>
  <si>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</si>
  <si>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</si>
  <si>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</si>
  <si>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</si>
  <si>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</si>
  <si>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</si>
  <si>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</si>
  <si>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</si>
  <si>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</si>
  <si>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</si>
  <si>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</si>
  <si>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</si>
  <si>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</si>
  <si>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</si>
  <si>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</si>
  <si>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</si>
  <si>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</si>
  <si>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</si>
  <si>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</si>
  <si>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</si>
  <si>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</si>
  <si>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</si>
  <si>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</si>
  <si>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</si>
  <si>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</si>
  <si>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</si>
  <si>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</si>
  <si>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</si>
  <si>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</si>
  <si>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</si>
  <si>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</si>
  <si>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</si>
  <si>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</si>
  <si>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</si>
  <si>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</si>
  <si>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</si>
  <si>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</si>
  <si>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</si>
  <si>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</si>
  <si>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</si>
  <si>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</si>
  <si>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</si>
  <si>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</si>
  <si>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</si>
  <si>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</si>
  <si>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</si>
  <si>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</si>
  <si>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</si>
  <si>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</si>
  <si>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</si>
  <si>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</si>
  <si>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</si>
  <si>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</si>
  <si>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</si>
  <si>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</si>
  <si>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</si>
  <si>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</si>
  <si>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</si>
  <si>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</si>
  <si>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</si>
  <si>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</si>
  <si>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</si>
  <si>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</si>
  <si>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</si>
  <si>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</si>
  <si>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</si>
  <si>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</si>
  <si>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</si>
  <si>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</si>
  <si>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</si>
  <si>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</si>
  <si>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</si>
  <si>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</si>
  <si>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</si>
  <si>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</si>
  <si>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</si>
  <si>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</si>
  <si>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</si>
  <si>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</si>
  <si>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</si>
  <si>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</si>
  <si>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</si>
  <si>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</si>
  <si>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</si>
  <si>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</si>
  <si>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</si>
  <si>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</si>
  <si>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</si>
  <si>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</si>
  <si>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</si>
  <si>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</si>
  <si>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</si>
  <si>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</si>
  <si>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</si>
  <si>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</si>
  <si>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</si>
  <si>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</si>
  <si>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</si>
  <si>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</si>
  <si>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</si>
  <si>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</si>
  <si>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</si>
  <si>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</si>
  <si>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</si>
  <si>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</si>
  <si>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</si>
  <si>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</si>
  <si>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</si>
  <si>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</si>
  <si>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</si>
  <si>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</si>
  <si>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</si>
  <si>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</si>
  <si>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</si>
  <si>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</si>
  <si>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</si>
  <si>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</si>
  <si>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</si>
  <si>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</si>
  <si>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</si>
  <si>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</si>
  <si>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</si>
  <si>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</si>
  <si>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</si>
  <si>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</si>
  <si>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</si>
  <si>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</si>
  <si>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</si>
  <si>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</si>
  <si>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</si>
  <si>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</si>
  <si>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</si>
  <si>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</si>
  <si>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</si>
  <si>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</si>
  <si>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</si>
  <si>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</si>
  <si>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</si>
  <si>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</si>
  <si>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</si>
  <si>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</si>
  <si>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</si>
  <si>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</si>
  <si>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</si>
  <si>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</si>
  <si>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</si>
  <si>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</si>
  <si>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</si>
  <si>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</si>
  <si>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</si>
  <si>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</si>
  <si>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</si>
  <si>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</si>
  <si>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</si>
  <si>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</si>
  <si>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</si>
  <si>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</si>
  <si>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</si>
  <si>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</si>
  <si>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</si>
  <si>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</si>
  <si>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</si>
  <si>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</si>
  <si>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</si>
  <si>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</si>
  <si>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</si>
  <si>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</si>
  <si>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</si>
  <si>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</si>
  <si>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</si>
  <si>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</si>
  <si>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</si>
  <si>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</si>
  <si>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</si>
  <si>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</si>
  <si>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</si>
  <si>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</si>
  <si>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</si>
  <si>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</si>
  <si>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</si>
  <si>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</si>
  <si>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</si>
  <si>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</si>
  <si>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</si>
  <si>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</si>
  <si>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</si>
  <si>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</si>
  <si>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</si>
  <si>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</si>
  <si>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</si>
  <si>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</si>
  <si>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</si>
  <si>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</si>
  <si>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</si>
  <si>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</si>
  <si>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</si>
  <si>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</si>
  <si>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</si>
  <si>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</si>
  <si>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</si>
  <si>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</si>
  <si>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</si>
  <si>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</si>
  <si>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</si>
  <si>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</si>
  <si>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</si>
  <si>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</si>
  <si>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</si>
  <si>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</si>
  <si>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</si>
  <si>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</si>
  <si>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</si>
  <si>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</si>
  <si>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</si>
  <si>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</si>
  <si>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</si>
  <si>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</si>
  <si>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</si>
  <si>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</si>
  <si>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</si>
  <si>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</si>
  <si>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</si>
  <si>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</si>
  <si>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</si>
  <si>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</si>
  <si>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</si>
  <si>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</si>
  <si>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</si>
  <si>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</si>
  <si>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</si>
  <si>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</si>
  <si>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</si>
  <si>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</si>
  <si>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</si>
  <si>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</si>
  <si>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</si>
  <si>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</si>
  <si>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</si>
  <si>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</si>
  <si>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</si>
  <si>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</si>
  <si>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</si>
  <si>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</si>
  <si>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</si>
  <si>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</si>
  <si>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</si>
  <si>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</si>
  <si>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</si>
  <si>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</si>
  <si>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</si>
  <si>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</si>
  <si>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</si>
  <si>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</si>
  <si>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</si>
  <si>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</si>
  <si>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</si>
  <si>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</si>
  <si>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</si>
  <si>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</si>
  <si>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</si>
  <si>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</si>
  <si>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</si>
  <si>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</si>
  <si>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</si>
  <si>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</si>
  <si>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</si>
  <si>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</si>
  <si>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</si>
  <si>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</si>
  <si>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</si>
  <si>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</si>
  <si>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</si>
  <si>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</si>
  <si>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</si>
  <si>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</si>
  <si>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</si>
  <si>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</si>
  <si>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</si>
  <si>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</si>
  <si>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</si>
  <si>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</si>
  <si>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</si>
  <si>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</si>
  <si>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</si>
  <si>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</si>
  <si>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</si>
  <si>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</si>
  <si>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</si>
  <si>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</si>
  <si>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</si>
  <si>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</si>
  <si>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</si>
  <si>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</si>
  <si>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</si>
  <si>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</si>
  <si>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</si>
  <si>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</si>
  <si>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</si>
  <si>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</si>
  <si>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</si>
  <si>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</si>
  <si>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</si>
  <si>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</si>
  <si>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</si>
  <si>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</si>
  <si>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</si>
  <si>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</si>
  <si>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</si>
  <si>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</si>
  <si>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</si>
  <si>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</si>
  <si>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</si>
  <si>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</si>
  <si>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</si>
  <si>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</si>
  <si>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</si>
  <si>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</si>
  <si>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</si>
  <si>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</si>
  <si>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</si>
  <si>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</si>
  <si>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</si>
  <si>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</si>
  <si>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</si>
  <si>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</si>
  <si>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</si>
  <si>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</si>
  <si>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</si>
  <si>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</si>
  <si>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</si>
  <si>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</si>
  <si>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</si>
  <si>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</si>
  <si>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</si>
  <si>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</si>
  <si>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</si>
  <si>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</si>
  <si>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</si>
  <si>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</si>
  <si>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</si>
  <si>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</si>
  <si>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</si>
  <si>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</si>
  <si>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</si>
  <si>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</si>
  <si>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</si>
  <si>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</si>
  <si>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</si>
  <si>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</si>
  <si>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</si>
  <si>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</si>
  <si>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</si>
  <si>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</si>
  <si>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</si>
  <si>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</si>
  <si>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</si>
  <si>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</si>
  <si>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</si>
  <si>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</si>
  <si>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</si>
  <si>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</si>
  <si>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</si>
  <si>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</si>
  <si>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</si>
  <si>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</si>
  <si>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</si>
  <si>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</si>
  <si>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</si>
  <si>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</si>
  <si>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</si>
  <si>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</si>
  <si>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</si>
  <si>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</si>
  <si>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</si>
  <si>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</si>
  <si>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</si>
  <si>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</si>
  <si>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</si>
  <si>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</si>
  <si>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</si>
  <si>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</si>
  <si>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</si>
  <si>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</si>
  <si>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</si>
  <si>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</si>
  <si>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</si>
  <si>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</si>
  <si>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</si>
  <si>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</si>
  <si>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</si>
  <si>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</si>
  <si>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</si>
  <si>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</si>
  <si>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</si>
  <si>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</si>
  <si>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</si>
  <si>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</si>
  <si>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</si>
  <si>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</si>
  <si>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</si>
  <si>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</si>
  <si>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</si>
  <si>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</si>
  <si>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</si>
  <si>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</si>
  <si>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</si>
  <si>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</si>
  <si>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</si>
  <si>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</si>
  <si>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</si>
  <si>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</si>
  <si>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</si>
  <si>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</si>
  <si>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</si>
  <si>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</si>
  <si>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</si>
  <si>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</si>
  <si>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</si>
  <si>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</si>
  <si>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</si>
  <si>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</si>
  <si>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</si>
  <si>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</si>
  <si>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</si>
  <si>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</si>
  <si>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</si>
  <si>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</si>
  <si>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</si>
  <si>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</si>
  <si>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</si>
  <si>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</si>
  <si>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</si>
  <si>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</si>
  <si>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</si>
  <si>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</si>
  <si>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</si>
  <si>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</si>
  <si>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</si>
  <si>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</si>
  <si>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</si>
  <si>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</si>
  <si>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</si>
  <si>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</si>
  <si>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</si>
  <si>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</si>
  <si>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</si>
  <si>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</si>
  <si>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</si>
  <si>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</si>
  <si>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</si>
  <si>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</si>
  <si>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</si>
  <si>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</si>
  <si>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</si>
  <si>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</si>
  <si>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</si>
  <si>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</si>
  <si>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</si>
  <si>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</si>
  <si>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</si>
  <si>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</si>
  <si>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</si>
  <si>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</si>
  <si>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</si>
  <si>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</si>
  <si>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</si>
  <si>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</si>
  <si>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</si>
  <si>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</si>
  <si>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</si>
  <si>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</si>
  <si>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</si>
  <si>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</si>
  <si>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</si>
  <si>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</si>
  <si>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</si>
  <si>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</si>
  <si>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</si>
  <si>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</si>
  <si>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</si>
  <si>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</si>
  <si>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</si>
  <si>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</si>
  <si>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</si>
  <si>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</si>
  <si>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</si>
  <si>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</si>
  <si>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</si>
  <si>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</si>
  <si>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</si>
  <si>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</si>
  <si>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</si>
  <si>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</si>
  <si>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</si>
  <si>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</si>
  <si>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</si>
  <si>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</si>
  <si>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</si>
  <si>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</si>
  <si>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</si>
  <si>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</si>
  <si>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</si>
  <si>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</si>
  <si>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</si>
  <si>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</si>
  <si>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</si>
  <si>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</si>
  <si>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</si>
  <si>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</si>
  <si>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</si>
  <si>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</si>
  <si>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Amoge</t>
  </si>
  <si>
    <t>Ahoge</t>
  </si>
  <si>
    <t>VET</t>
  </si>
  <si>
    <t>OK</t>
  </si>
  <si>
    <t>No</t>
  </si>
  <si>
    <t>Tanker 2</t>
  </si>
  <si>
    <t>NONE</t>
  </si>
  <si>
    <t>Appreciate the hardwork and efforts put in by the Management team and the crew</t>
  </si>
  <si>
    <t>Dmoge</t>
  </si>
  <si>
    <t>Dhoge</t>
  </si>
  <si>
    <t>PSC</t>
  </si>
  <si>
    <t>TANKER 2</t>
  </si>
  <si>
    <t>OIL/CHEM</t>
  </si>
  <si>
    <t>Exxon</t>
  </si>
  <si>
    <t>MKCA</t>
  </si>
  <si>
    <t>Panama</t>
  </si>
  <si>
    <t>ABS</t>
  </si>
  <si>
    <t>Cmoge</t>
  </si>
  <si>
    <t>Choge</t>
  </si>
  <si>
    <t>MMS</t>
  </si>
  <si>
    <t>MMS11</t>
  </si>
  <si>
    <t>Umang Singh Rawat</t>
  </si>
  <si>
    <t>MMS09</t>
  </si>
  <si>
    <t>MMS14</t>
  </si>
  <si>
    <t>Fmoge</t>
  </si>
  <si>
    <t>Fhoge</t>
  </si>
  <si>
    <t>VET05</t>
  </si>
  <si>
    <t>CHEM</t>
  </si>
  <si>
    <t>Chief Engineer</t>
  </si>
  <si>
    <t>AEQ</t>
  </si>
  <si>
    <t>MEN</t>
  </si>
  <si>
    <t>MMS07</t>
  </si>
  <si>
    <t>ELC</t>
  </si>
  <si>
    <t>Mr.Umang Singh Rawat</t>
  </si>
  <si>
    <t>na</t>
  </si>
  <si>
    <t xml:space="preserve">Capt.Dantra </t>
  </si>
  <si>
    <t>TP202000320201230200557</t>
  </si>
  <si>
    <t>EHO-2020-048</t>
  </si>
  <si>
    <t>Ch Engr Ravikiran</t>
  </si>
  <si>
    <t>ODD</t>
  </si>
  <si>
    <t>ODD01</t>
  </si>
  <si>
    <t>Forecastle area gratings were damaged during bad weather conditions</t>
  </si>
  <si>
    <t>Bad Weather and poor quality securings</t>
  </si>
  <si>
    <t>The gratings straightened and fitted back. The gratings were secured with available clamps. Requisition raised for new clamps.</t>
  </si>
  <si>
    <t>Old damaged gratings were heated to remove deformation and have been placed and in order. Req No. EHO-20-089&amp;085 are still awaited. Defect can be closed out.</t>
  </si>
  <si>
    <t xml:space="preserve">USR 2021/02/25: Pls mention Req no. in the cell . Gratings have been supplied. Please advise if replacement has been done and if the defect can be closed out.  </t>
  </si>
  <si>
    <t>vessel straightened the gratings which got deformed. new gratings received and kept as spare</t>
  </si>
  <si>
    <t>Tech SI</t>
  </si>
  <si>
    <t>v55_2021/11/09 08:34:11</t>
  </si>
  <si>
    <t>TP202000320210317055246</t>
  </si>
  <si>
    <t>EHO-2021-03</t>
  </si>
  <si>
    <t>Gmoge</t>
  </si>
  <si>
    <t>Ghoge</t>
  </si>
  <si>
    <t>Mr. Eric de Langen</t>
  </si>
  <si>
    <t>OTR</t>
  </si>
  <si>
    <t>OTR24</t>
  </si>
  <si>
    <t>Nil Deficiency - Marpol Inspection at Rotterdam</t>
  </si>
  <si>
    <t>1899/12/30</t>
  </si>
  <si>
    <t>v55_2021/11/09 08:34:12</t>
  </si>
  <si>
    <t>TP202000320210329011700</t>
  </si>
  <si>
    <t>EHO-2021-04</t>
  </si>
  <si>
    <t>ELC03</t>
  </si>
  <si>
    <t xml:space="preserve">The Flood light fitting located on port side – mid ship area is not functional due to water ingress and the Ignitors got burnt. </t>
  </si>
  <si>
    <t>The light fitting is non water tight type and has the ignitors located below the light fitting. During heavy rains, the water will get in to the light fittings and seep down to the junction box and shorts the ignitors.</t>
  </si>
  <si>
    <t>The light fitting taken out from the location, the ignitors area cleaned and fitted back. Since the ignitors are shorted internally, the light fittings could not be made functional. The office has been informed and reqn is raised - EHO-021-044- Intelligent ignitor for port side mid ship halogen light</t>
  </si>
  <si>
    <t>Vessel received the igniters and fitted. The sealing putty put to avoid water ingress. The job can be "CLOSED" in DR Sender</t>
  </si>
  <si>
    <t>2021/04/ 05 AS: noted that the deck light is non functional due to the faulty ignitors. PO has been issued for spare ignitors and will be connect at first opportunity</t>
  </si>
  <si>
    <t>USR: Ignitor supplied to the vessel and renewed. Covers sealed to prevent water ingress.</t>
  </si>
  <si>
    <t>Umamg Singh Rawat</t>
  </si>
  <si>
    <t>EHO-021-044- Intelligent ignitor for port side mid ship halogen light</t>
  </si>
  <si>
    <t>v55_2021/11/09 08:34:13</t>
  </si>
  <si>
    <t>TP202000320210401132234</t>
  </si>
  <si>
    <t>EHO-2021-05</t>
  </si>
  <si>
    <t>IGS</t>
  </si>
  <si>
    <t>IGS06</t>
  </si>
  <si>
    <t>IGG System Sample line to Oxygen analyser found chocked. However the Oxygen analyser performance was satisfactory and Oxygen content was satisfactory, but filter was found partially discolored</t>
  </si>
  <si>
    <t>During calibration of the Oxygen analyser, the piping between the IG System and Analyzer air blown and line cleared.</t>
  </si>
  <si>
    <t>V/L implemented a practice of clearing the sample line after each IGG/cargo operation</t>
  </si>
  <si>
    <t>2021/04/05 AS: noted that vessel has cleared the IGsampler line</t>
  </si>
  <si>
    <t>IG sample line to clear</t>
  </si>
  <si>
    <t>v55_2021/11/09 08:34:14</t>
  </si>
  <si>
    <t>TP202000320210401133709</t>
  </si>
  <si>
    <t>EHO-2021-06</t>
  </si>
  <si>
    <t>CE Ravikiran</t>
  </si>
  <si>
    <t>MEN18</t>
  </si>
  <si>
    <t>During Fuel C/over, the Fuel oil back flush filter showed high differential pressure between inlet and outlet, indicating the filter is choked.</t>
  </si>
  <si>
    <t>Due to change of fuel quality and non compatibility, the sediment / sludge formation happened.</t>
  </si>
  <si>
    <t>The By pass filter put in to service.</t>
  </si>
  <si>
    <t>The filter unit dismantled, the filter element cleaned and put back. Differential pressure found satisfactory. The Defect can be closed.</t>
  </si>
  <si>
    <t>2021/04/05 AS: noted that fiter was clogged and has been cleaned now.</t>
  </si>
  <si>
    <t>Backflush filter cleaned</t>
  </si>
  <si>
    <t>v55_2021/11/09 08:34:15</t>
  </si>
  <si>
    <t>TP202000320210503124300</t>
  </si>
  <si>
    <t>EHO-2021-07</t>
  </si>
  <si>
    <t>No 1. Fuel oil supply pump Motor making abnormal noise</t>
  </si>
  <si>
    <t>The Motor bearings seem to be gone defective</t>
  </si>
  <si>
    <t>Vessel Ch over to stby Pump and vessel operated in normal condition</t>
  </si>
  <si>
    <t>Vessel expecting to renew the bearings of the Motor and also inspect the condition of the Pump.                Final Action: The Fuel oil supply pump Bearings renewed with ship's spares and Pump put back in to service. Since vessel is still in Guarantee condition, GC raised and reported to the office / ship yard. The defect can be closed</t>
  </si>
  <si>
    <t>USR : Pump bearings renewed and GC raised for supply of spare bearings.</t>
  </si>
  <si>
    <t>Pump bearings renewed and GC raised for supply of spare bearings.</t>
  </si>
  <si>
    <t>v55_2021/11/09 08:34:16</t>
  </si>
  <si>
    <t>TP202000320210503130222</t>
  </si>
  <si>
    <t>EHO-2021-08</t>
  </si>
  <si>
    <t>ME Viscosity and temperature controller-Local is Erratic</t>
  </si>
  <si>
    <t>I/O card replaced with new one. V/l needs technical assistance for troubleshooting. Office has been notified.</t>
  </si>
  <si>
    <t>The remote system is made operational and ME Fuel oil viscosity and temperature are adjusted/Monitored from Remote.</t>
  </si>
  <si>
    <t>Vessel communicating with office for trouble shooting information. 2021/04/28: Since the control system is made operational for Remote operation, the unit is kept under observation. 2021/05/05: The operation is found to be satisfactory hence, the GC-030-EHO, can be closed. Also DR can be closed out by office.</t>
  </si>
  <si>
    <t xml:space="preserve">USR 7/5/21 : Vessel provided new input card and found remote operation working fine after renewal. </t>
  </si>
  <si>
    <t xml:space="preserve">Vessel provided new input card and found remote operation working fine after renewal. </t>
  </si>
  <si>
    <t>v55_2021/11/09 08:34:17</t>
  </si>
  <si>
    <t>TP202000320210526165030</t>
  </si>
  <si>
    <t>EHO-2021-012</t>
  </si>
  <si>
    <t>Otto Mrugal Ski</t>
  </si>
  <si>
    <t>PSC01</t>
  </si>
  <si>
    <t>The International Ship Security Certificate was issued by Panama and not by ABS as it is stated in CSR.</t>
  </si>
  <si>
    <t xml:space="preserve">Oversight </t>
  </si>
  <si>
    <t>System department informed and process initiated to obtain correct certificate.</t>
  </si>
  <si>
    <t>New CSR with correct information applied to PMA and received. Same sent to vessel who submitted to PSCO.</t>
  </si>
  <si>
    <t>CSR of other vessels also checked &amp; updated as required.</t>
  </si>
  <si>
    <t>Capt. Saurabh Mittal</t>
  </si>
  <si>
    <t>16</t>
  </si>
  <si>
    <t>9882334_PSC_20210504_01</t>
  </si>
  <si>
    <t>Chile</t>
  </si>
  <si>
    <t>Quintero</t>
  </si>
  <si>
    <t>Gurudatt  Goswami</t>
  </si>
  <si>
    <t>Ravikiran  Shimpiger</t>
  </si>
  <si>
    <t>Santosh  Patil</t>
  </si>
  <si>
    <t>v55_2021/11/09 08:34:18</t>
  </si>
  <si>
    <t>EHO-2021-09</t>
  </si>
  <si>
    <t>TP202000320210531213305</t>
  </si>
  <si>
    <t>Ch Engr</t>
  </si>
  <si>
    <t>AEQ21</t>
  </si>
  <si>
    <t>ME Fuel oil Bypass filter of Back Flush filter top found leaking from the gasket.</t>
  </si>
  <si>
    <t>Due to the inferior quality, while changing over of the fuel to LSMGO, the gasket got leaked.</t>
  </si>
  <si>
    <t>The Bypass filter inlet and outlet v/vs closed and the leakage contained.</t>
  </si>
  <si>
    <t>The filter unit depressurized and the gasket replaced with new fabricated gasket. The filter unit tried out. Satsifactory.</t>
  </si>
  <si>
    <t>USR : Gasket replaced</t>
  </si>
  <si>
    <t>Gasket replaced</t>
  </si>
  <si>
    <t>v55_2021/11/09 08:34:19</t>
  </si>
  <si>
    <t>TP202000320210531214005</t>
  </si>
  <si>
    <t>EHO-2021-013</t>
  </si>
  <si>
    <t>AEQ19</t>
  </si>
  <si>
    <t>HFO Purifier No 2 found overflowing</t>
  </si>
  <si>
    <t>The change of grade of fuel caused the purifier to overflow</t>
  </si>
  <si>
    <t>The stby purifier No 1 put in to service.</t>
  </si>
  <si>
    <t>No 2 purifier opened up, the disc unit and rest of the parts cleaned and boxed back with new spares. The job can be closed.                                           Note: The reqn EHO-21-052 raised for the supply of spares which are below minimum and has been supplied at Rotterdam, 23 June 2021. THIS OBSERVATION CAN BE CLOSED.</t>
  </si>
  <si>
    <t xml:space="preserve">03/06/21 USR: Noted. Order has been placed and spares will be connected with next spares supply.  </t>
  </si>
  <si>
    <t xml:space="preserve">No 2 purifier opened up, the disc unit and rest of the parts cleaned and boxed back with new spares. </t>
  </si>
  <si>
    <t>EHO-21-052</t>
  </si>
  <si>
    <t>v55_2021/11/09 08:34:20</t>
  </si>
  <si>
    <t>TP202000320210612075108</t>
  </si>
  <si>
    <t>EHO-2021-014</t>
  </si>
  <si>
    <t>Mr.Umang Sing Rawat</t>
  </si>
  <si>
    <t>MMS02</t>
  </si>
  <si>
    <t>CE Flag COC Original not onbd, Scanned copy available</t>
  </si>
  <si>
    <t xml:space="preserve">Delay due to Covid restrictions. </t>
  </si>
  <si>
    <t>Office has been informed to send the original at next convinient port.</t>
  </si>
  <si>
    <t>Vessel has received the Original Copy. The Observation can be closed.</t>
  </si>
  <si>
    <t xml:space="preserve">USR : Noted vessel has received original. </t>
  </si>
  <si>
    <t xml:space="preserve">Original certificate connected to the vessel. </t>
  </si>
  <si>
    <t>v55_2021/11/09 08:34:21</t>
  </si>
  <si>
    <t>TP202000320210612082020</t>
  </si>
  <si>
    <t>EHO-2021-015</t>
  </si>
  <si>
    <t xml:space="preserve">Last SHEC Meeting company response not received </t>
  </si>
  <si>
    <t>Vessel missed sending reminder to office.</t>
  </si>
  <si>
    <t>Vessel has requested the office to evaluate the SHEC meeting minutes and respond.</t>
  </si>
  <si>
    <t>Vessel received the response from the office with recommendation.</t>
  </si>
  <si>
    <t xml:space="preserve">Office response was pending. </t>
  </si>
  <si>
    <t xml:space="preserve">SHEC meeting office response received. </t>
  </si>
  <si>
    <t>v55_2021/11/09 08:34:22</t>
  </si>
  <si>
    <t>TP202000320210612083246</t>
  </si>
  <si>
    <t>EHO-2021-016</t>
  </si>
  <si>
    <t>Vessel does not have a hardning Plan</t>
  </si>
  <si>
    <t xml:space="preserve">Missed out by vessels staff. </t>
  </si>
  <si>
    <t>Vessel is preparing a generic ship specific Plan.</t>
  </si>
  <si>
    <t>Vessel has prepared a ship specific plan. The Observation can be closed.</t>
  </si>
  <si>
    <t xml:space="preserve">Ship specific vessel hardening plan prepared. </t>
  </si>
  <si>
    <t>v55_2021/11/09 08:34:23</t>
  </si>
  <si>
    <t>TP202000320210612084040</t>
  </si>
  <si>
    <t>EHO-2021-017</t>
  </si>
  <si>
    <t>PIC. Umang Singh Rawat</t>
  </si>
  <si>
    <t>Fire Station did not have Fireman suit symbol on the door</t>
  </si>
  <si>
    <t xml:space="preserve">Symbol is present on the cabinate but should also be at entrance of space. </t>
  </si>
  <si>
    <t>V/l informed all about availability of fire man suit in Fire station and temporarily posted similar type.</t>
  </si>
  <si>
    <t>V/l received the IMO symbol.The V/l has posted it at the entrance and reported to the office. The observation can be closed</t>
  </si>
  <si>
    <t>New symbol posted on the door.</t>
  </si>
  <si>
    <t>v55_2021/11/09 08:34:24</t>
  </si>
  <si>
    <t>TP202000320210612084611</t>
  </si>
  <si>
    <t>EHO-2021-018</t>
  </si>
  <si>
    <t>MMS17</t>
  </si>
  <si>
    <t>HFO and LSMGO Bunker Manifold are not color coded as per Marine circular M-2018-05</t>
  </si>
  <si>
    <t xml:space="preserve">Missed out by vessel for the colour coding. </t>
  </si>
  <si>
    <t>Vessel has marked with temporary paint and awaiting opportunity to make permnant paint</t>
  </si>
  <si>
    <t>The HFO and LSMGO Bunker lines painted as recommended and reported to the office. The Job can be closed</t>
  </si>
  <si>
    <t xml:space="preserve">Vessel was reminded of the circlar and manifolds were color coded thereafter. </t>
  </si>
  <si>
    <t>Manifolds color coding done</t>
  </si>
  <si>
    <t>v55_2021/11/09 08:34:25</t>
  </si>
  <si>
    <t>TP202000320210702142632</t>
  </si>
  <si>
    <t>EHO-2021-019</t>
  </si>
  <si>
    <t>Ch Off Guru</t>
  </si>
  <si>
    <t>CRG</t>
  </si>
  <si>
    <t>CRG06</t>
  </si>
  <si>
    <t>During routine testing the Cargo system VECS sensor found not functional</t>
  </si>
  <si>
    <t>The sensor was supplied during yard delivery. The corrospondance with Yard confirmed that the sensor is defective</t>
  </si>
  <si>
    <t>GC raised and communication done with office/Shipyard. The recommended tests carried out.</t>
  </si>
  <si>
    <t>The spares received and fitted. The calibration done. Satisfactory. The Defect can be closed.</t>
  </si>
  <si>
    <t xml:space="preserve">USR : Makers and yard were consulted. The sensor has malfunctioned on a number of other ships and had finished it's lifetime. Makers have also upgraded to a different sensor. New sensor was supplied under GC, fitted and system working fine. </t>
  </si>
  <si>
    <t xml:space="preserve">New sensor was supplied under GC, fitted and system working fine. Sensor model was changed by makers. </t>
  </si>
  <si>
    <t>v55_2021/11/09 08:34:26</t>
  </si>
  <si>
    <t>TP202000320210702144017</t>
  </si>
  <si>
    <t>EHO-2021-020</t>
  </si>
  <si>
    <t>IGS04</t>
  </si>
  <si>
    <t>IG system pressure control v/v positioner not functional</t>
  </si>
  <si>
    <t>The v/v positioner response is erratic and the initialization is not possible.The vessel received new Sipart at Baytown,04 Aug 2021 and fitted. Calibration done and tried out. Satisfactory. The defect can be closed</t>
  </si>
  <si>
    <t>Vessel communicated with the office for technical assistance. The V/V positioner put in manual mode and operated.</t>
  </si>
  <si>
    <t>Communication is being made and GC is raised for technical advice for trouble shooting. Presently the IGG can be operated on manual mode.                                                               2021/08/04: The vessel received new Sipart at Baytown and fitted. Calibration done and tried out. Satisfactory.                                          19/08/2021: Old SIPART configuration checked again and changes made as per maker initiation parametrs thereafter initialisation carried out succesfully and tested working satisfactory in automode. The defect can be closed from office.</t>
  </si>
  <si>
    <t xml:space="preserve">USR 23/07/21 : Since vessel is out og GC period, makers have refused to honour this GC. We have anyhow ordered a spare positioner but it does not seem to be the issue. Troubleshooting in progress. The positioner has been initialized but there is some signal issue which is being investigated. _x000D_
USR : the sipart settings were incorrect. Spare SIpart also supplied and tried out. Old Sipart settings also rectified. </t>
  </si>
  <si>
    <t xml:space="preserve">USR :Sipart settings rechecked and corrected. Working fine. Spare SIpart also on board. </t>
  </si>
  <si>
    <t>v55_2021/11/09 08:34:27</t>
  </si>
  <si>
    <t>TP202000320210723154453</t>
  </si>
  <si>
    <t>Rudholph D'Sa</t>
  </si>
  <si>
    <t>The overside emergency lighting for illuminating the launching areas for the lifeboats (P&amp;S) were not working when tested during the inspection.</t>
  </si>
  <si>
    <t>The mentioned lights were verified for correct functioning few days prior to berthing at anchorage. The malfunctioning of the bulb can be due to vibrations. The fitting and adjusting nuts have been tightened and the bulbs have been replaced.</t>
  </si>
  <si>
    <t>As part of pre arrival checks, all the lights, including these emergency lights, were checked and verified for correct functioning at anchorage prior berthing._x000D_
_x000D_
While checking during the course of inspection, it was observed that these emergency lighting were not operational (possibly due to vibrations during maneuvering), which was soonest attended to and rectified after vessel sailed out of the port. Also, the connections, light fitting and adjusting nuts have been checked for tightness._x000D_
_x000D_
As part of our information sharing procedures, we have also sent a fleetwide alert.</t>
  </si>
  <si>
    <t>The fitting and adjusting nuts have been tightened and the bulbs have been replaced.</t>
  </si>
  <si>
    <t>CAPT. SAURABH MITTAL</t>
  </si>
  <si>
    <t>5.29</t>
  </si>
  <si>
    <t>9882334_VET_20210225_01</t>
  </si>
  <si>
    <t>OIL</t>
  </si>
  <si>
    <t>Allan  Miranda</t>
  </si>
  <si>
    <t>Miraj  Ladva</t>
  </si>
  <si>
    <t>v55_2021/11/09 08:34:28</t>
  </si>
  <si>
    <t>TP202000320210723154454</t>
  </si>
  <si>
    <t>Review of the on-board fire safety booklet indicated there were no any operating and doning instructions for the ship specific types of fire fighting radios.</t>
  </si>
  <si>
    <t>The requirements of the radios were mentioned in the fire safety booklet and all fire fighters are properly trained on the use of the radios during every fire drill and during trainings specific to SCBA doning. Vessel has instructions which have been placed in the fire safety booklet.</t>
  </si>
  <si>
    <t>The Fire Safety Operational booklet has been supplied by the shipyard upon vessel’s delivery in June 2020, which was also approved by Class. _x000D_
_x000D_
The requirement to carry Two-way portable Radiotelephone apparatus in accordance with SOLAS Chap II-2 Reg 10.10 was already mentioned in FSOB and was also shown to attending inspector._x000D_
_x000D_
Vessel also had maker’s manual of these radios and all ship staff have been regularly trained on their use during each fire drill. Also, these fire fighter radios are of the same type, as other UHF radios for general use on this vessel._x000D_
_x000D_
However, as highlighted by inspector, specific operating and donning instructions of these radios were not available in FSOB during the inspection, which have now been included._x000D_
_x000D_
As part of our information sharing procedures, we have also sent a fleetwide alert.</t>
  </si>
  <si>
    <t>Vessel has instructions which have been placed in the fire safety booklet.</t>
  </si>
  <si>
    <t>5.34</t>
  </si>
  <si>
    <t>v55_2021/11/09 08:34:29</t>
  </si>
  <si>
    <t>TP202000320210723154920</t>
  </si>
  <si>
    <t>Rogelio Fernandez</t>
  </si>
  <si>
    <t>VET02</t>
  </si>
  <si>
    <t xml:space="preserve">As per owners requesr ,a Class survey was carried out at port of Antwerp-Belgium in order to report upon tug boat damage sustained in way in Water Ballast tanjk No. 6 Starboard,reported by vessel vessel Master on 21 October 2020during Panama Canal passage affecting it structure as follow: Side shell plating was found set -in(approximately 30.mmdepth0in way of L34between frame43 and frame 44(approximately 3900mm length x 900mm with),transverse internal frame (No 43) found distorted(approximately 1500mm lengthx 900mm)with associated horizontal stiffener at the connection to side shiell longitudinal, two vertical supports of L43  found deformed (approximately 500mm height) forward of frame 43.Welding in in way of all damages areas and surrounding structure was visually inspected at this time and found intact,neither detachments nor fractures were noted. The affected areas of WBT 6 starboard to be re examined and dealt with to the staisfaction of attending Class Surveyor prior crediting of Special Survey of Hull No.1 </t>
  </si>
  <si>
    <t>Observation stated is a fact. The observation incorporates the subsequent action in the last para. i.e " The affected areas of WBT 6 starboard to be re examined and dealt with to the staisfaction of attending Class Surveyor prior crediting of Special Survey of Hull No.1 " the damage does not compromise the structural integrity of the aforesaid tank in any way.</t>
  </si>
  <si>
    <t>This is a fact stated. _x000D_
The observation incorporates the subsequent action in the last para, i.e. "The affected areas of 6S SBT to be re-examined and dealt with to the satisfaction of attending Class Surveyor prior crediting of Special Survey" and same will be undertaken during next Drydock. _x000D_
_x000D_
This minor damage does not compromise the structural integrity of the aforesaid tank in any way. The tank has also been inspected regularly as part of our procedures._x000D_
_x000D_
As part of our information sharing procedures, we have also sent a fleetwide alert.</t>
  </si>
  <si>
    <t xml:space="preserve">This has been surveyed by Class and no immediate action is required as per them. This is to be reexamined by attending surveyor during next SS and dealt with as he deems fit. This is recorded as an Additional Recommendation by Class. </t>
  </si>
  <si>
    <t>2.7</t>
  </si>
  <si>
    <t>9882334_VET_20210616_01</t>
  </si>
  <si>
    <t>Spain</t>
  </si>
  <si>
    <t>Huelva</t>
  </si>
  <si>
    <t>Guru Datt  Goswami</t>
  </si>
  <si>
    <t>Ravikiran  Shimpigar</t>
  </si>
  <si>
    <t>Santosh Jaysingh Patil</t>
  </si>
  <si>
    <t>Sagital Marine</t>
  </si>
  <si>
    <t>v55_2021/11/09 08:34:30</t>
  </si>
  <si>
    <t>EHO-2021-021</t>
  </si>
  <si>
    <t>TP202000320210723154921</t>
  </si>
  <si>
    <t>VET04</t>
  </si>
  <si>
    <t>A second mast head light (primary system) abaft of and higher than the forward one was found fused when it was requested for test.</t>
  </si>
  <si>
    <t xml:space="preserve">Ovservation stated was a fact. On departure from berth on 18th June, the fused bulb was replaced and tested satisfactorily. </t>
  </si>
  <si>
    <t>Fused bulb replaced pior vessel departure.</t>
  </si>
  <si>
    <t>This is a fact stated. We wish to state that all lights, including Navigational lights (Primary and back up) were checked prior arrival on 15th / PM prior berthing as per our Pre-Arrival checklist and found in proper working condition. Same was logged down and also shown to attending inspector. The light bulb of the primary system got fused due to vibrations during maneuvering while coming alongside. We confirm that the main Mast Nav light (back up system bulb) was fully operational at the time of inspection. _x000D_
_x000D_
We, further confirm that on departure from berth on 18th June, the fused bulb of upper Nav light was replaced and tested satisfactorily._x000D_
As part of our information sharing procedures, we have also sent a fleetwide alert.</t>
  </si>
  <si>
    <t>4.8</t>
  </si>
  <si>
    <t>v55_2021/11/09 08:34:31</t>
  </si>
  <si>
    <t>EHO-2021-022</t>
  </si>
  <si>
    <t>TP202000320210908170756</t>
  </si>
  <si>
    <t xml:space="preserve">The VECS oxygen sensor was not indicating correct value in CCR oxygen monitoring display, oxygen monitoring display in CCR was showing 0.2% Oxygen even after introducing Nitrogen(99.99%) &amp; fresh air into sampling line._x000D_
</t>
  </si>
  <si>
    <t>Sample line valve was left opened for extended period. Condensed water might have polluted oxygen sensor.</t>
  </si>
  <si>
    <t xml:space="preserve">Upon investigation it was found that the a valve between sample manifold &amp; sensor was left opened for extended period, condensed water might have gone into oxygen sensor through line filter as condensed water was observed in line filter which has resulted to failure of oxygen sensor.&lt;01-09-2021&gt; requistion raised and office has been informed.&lt;03-09-2021&gt;troubleshooting carried out again as per maker supplied procedure and observed PCB was not responding. suspecting PCB is not responding due to faulty O2 sensor._x000D_
</t>
  </si>
  <si>
    <t>Requisition raised, awaiting for spares.&lt;spares sensor received on 09th Sep 2021.same fitted on 10th sep2021, zero/span calibration done, working satisfactory.defect can be closed.</t>
  </si>
  <si>
    <t xml:space="preserve">USR: A sensor with old date had been fitted by yard. They supplied a new sensor under GC and it was found working fine. </t>
  </si>
  <si>
    <t xml:space="preserve">USR : Yard supplied a new sensor under GC and it was found working fine. Make of sensor has also been changed by makers. </t>
  </si>
  <si>
    <t xml:space="preserve">EHO-21-097 </t>
  </si>
  <si>
    <t>v55_2021/11/09 08:34:32</t>
  </si>
  <si>
    <t>EHO-2021-023</t>
  </si>
  <si>
    <t>TP202000320210908182645</t>
  </si>
  <si>
    <t>MPR</t>
  </si>
  <si>
    <t>MPR08</t>
  </si>
  <si>
    <t>Minor oil/water leak observed from Incinerator W.O Tanks exhaust fan shaft oil seal.</t>
  </si>
  <si>
    <t xml:space="preserve">Oil Seal material degraded due to ageing &amp; temperature. </t>
  </si>
  <si>
    <t xml:space="preserve">Seal was renewed by oil seal supplied as store item,same had been used for rectifying the leakage on 2021/08/19.                                                                 Oil seal observed leaking again on 2021/08/26 after a week of incinerator operation.Vessel suspects the oil sea which had been supplied in store item  was not of suitable quality to withstand shaft temperature. </t>
  </si>
  <si>
    <t>EHO-2021-024</t>
  </si>
  <si>
    <t>TP202000320210914122051</t>
  </si>
  <si>
    <t>Amit R Nauni</t>
  </si>
  <si>
    <t>HFO (P) aft manifold pr. gauge showing reading of 0.03 MPa.</t>
  </si>
  <si>
    <t>Overlooked</t>
  </si>
  <si>
    <t>Pressure gauge was removed from place and calibrated by onboard certified calibrator and still it gauge was showing error. pressure gauge replaced with new spare and now showing zero at standstill condition.</t>
  </si>
  <si>
    <t>Pressure gauge replaced with new spare and now showing zero at standstill condition.  Deficiency can be closed.</t>
  </si>
  <si>
    <t>USR : Faulty pressure gauge. Replaced.</t>
  </si>
  <si>
    <t>9882334_SI_20210827_01</t>
  </si>
  <si>
    <t>EHO-2021-025</t>
  </si>
  <si>
    <t>TP202000320210914122103</t>
  </si>
  <si>
    <t>KYMA display unit on W/H doesn't show Shaft power, rpm and other data.</t>
  </si>
  <si>
    <t>Feed back signal(communication) issue</t>
  </si>
  <si>
    <t>Troubleshooting is being carried out with the assistance of office &amp; maker.&lt;29-oct-2021&gt;  further test carried out as per maker instruction and findings reported to office.</t>
  </si>
  <si>
    <t>Awaiting maker instruction to put new I/O Converters.</t>
  </si>
  <si>
    <t>EHO-2021-026</t>
  </si>
  <si>
    <t>TP202000320210914122109</t>
  </si>
  <si>
    <t>Visco &amp; Temp control unit sensor fail alarm displayed (for M/E).</t>
  </si>
  <si>
    <t>Viscotherm units convertor malfunction.</t>
  </si>
  <si>
    <t>Visco &amp; Temp control unit functioning satisfactory in viscosity mode but not in temperature mode and its showing temeprature error in the display.v/l has received a new covertor unit and same will be fitted once v/l will be at suitable anchorage.&lt;25-oct-2021&gt; New Coverters fitted in control unit But readings were erratic and fluctuating continuously for both temperature &amp; viscosity at same time fuel change over valve also  switched from LSMGO to HSFO side,no improvement observed even after "zero &amp; span" adjustment.hence old converters fitted back.</t>
  </si>
  <si>
    <t>Issue reported to office, awaiting for maker further guidance.</t>
  </si>
  <si>
    <t>EHO-2021-027</t>
  </si>
  <si>
    <t>TP202000320210914122121</t>
  </si>
  <si>
    <t xml:space="preserve">Battery terminals (General &amp; Radio) are exposed. </t>
  </si>
  <si>
    <t>Battery terminals(general&amp;radio) covered with hard plastic fabricated onboard.</t>
  </si>
  <si>
    <t>USR: Terminals were left like this since delivery by yard. Terminal covered with hard plastic cover.</t>
  </si>
  <si>
    <t>USR: Terminal covered with hard plastic cover.</t>
  </si>
  <si>
    <t>EHO-2021-028</t>
  </si>
  <si>
    <t>TP202000320210914122131</t>
  </si>
  <si>
    <t>Mast Riser CO2 release v/v (globe v/v) spindle seized.</t>
  </si>
  <si>
    <t>Mast riser CO2 release valve was overlooked.</t>
  </si>
  <si>
    <t>Mast riser CO2 release valve greased and checked for free movement.</t>
  </si>
  <si>
    <t>Mast riser CO2 release valve greased and checked for free movement. Deficiency can be closed</t>
  </si>
  <si>
    <t xml:space="preserve">USR : Maintainence deficienty. </t>
  </si>
  <si>
    <t xml:space="preserve">USR: Valve eased up. </t>
  </si>
  <si>
    <t>v55_2021/11/09 08:34:38</t>
  </si>
  <si>
    <t>EHO-2021-029</t>
  </si>
  <si>
    <t>TP202000320210914122140</t>
  </si>
  <si>
    <t xml:space="preserve">BWTS vent at Port side poop deck has its flame screen rusty and looks clogged. </t>
  </si>
  <si>
    <t>BWTS Hydrogen gas vent flame screen was overlooked.</t>
  </si>
  <si>
    <t>BWTS Hydrogen gas vent flame screen was removed from its location and cleared of all cloggings.</t>
  </si>
  <si>
    <t>BWTS Hydrogen gas vent flame screen was removed from its location and cleared off all cloggings. Deficiency can be closed</t>
  </si>
  <si>
    <t xml:space="preserve">USR : Maintainence deficiency. Vent flame screen removed and cleaned. </t>
  </si>
  <si>
    <t xml:space="preserve">USR :Vent flame screen removed and cleaned. </t>
  </si>
  <si>
    <t>v55_2021/11/09 08:34:39</t>
  </si>
  <si>
    <t>EHO-2021-030</t>
  </si>
  <si>
    <t>TP202000320210914122144</t>
  </si>
  <si>
    <t>Slop (P) manifold pr. gauge showing 1 bar.</t>
  </si>
  <si>
    <t>During cargo operation, pressure gauge was observed to be showing errating reading.</t>
  </si>
  <si>
    <t>Pressure gauge was removed and calibrated using onboard certified pressure calibrator. Same was found to be working in order.</t>
  </si>
  <si>
    <t>Pressure gauge was removed and calibrated using onboard certified pressure calibrator. Same was found to be working in order. Deficiency can be closed.</t>
  </si>
  <si>
    <t xml:space="preserve">USR: Malfunctioning pr. gauge. </t>
  </si>
  <si>
    <t xml:space="preserve">USR: Pr. gauge renewed. </t>
  </si>
  <si>
    <t>v55_2021/11/09 08:34:40</t>
  </si>
  <si>
    <t>EHO-2021-031</t>
  </si>
  <si>
    <t>TP202000320210914122154</t>
  </si>
  <si>
    <t>Master Stm v/v lagging on deck is damaged at lower part, making its inner insulating material exposed to weather.</t>
  </si>
  <si>
    <t>Inner insulating material was exposed due to damage of insulating cloth.</t>
  </si>
  <si>
    <t xml:space="preserve">Damaged lagging was covered with insulating cloth. Insulating cloth will be renewed once it is recd in stores.Requisition raised EHO-21-104.  &lt;13-OCT-2021&gt; Lagging repaired with available </t>
  </si>
  <si>
    <t>&lt;13-OCT-2021&gt; Lagging repaired with onboard available lagging &amp; lashed with wire.  Deficiency can be closed.</t>
  </si>
  <si>
    <t xml:space="preserve">USR : Lagging put together and lashed properly. </t>
  </si>
  <si>
    <t>EHO-21-104</t>
  </si>
  <si>
    <t>v55_2021/11/09 08:34:41</t>
  </si>
  <si>
    <t>Yes</t>
  </si>
  <si>
    <t>TP202000320211129233635</t>
  </si>
  <si>
    <t>EHO-2021-032</t>
  </si>
  <si>
    <t>While operating BTWS for topping up the tanks, it was noticed that the TRO value was not changing from 0.02mg/l.</t>
  </si>
  <si>
    <t>Coil burnt due to overheating</t>
  </si>
  <si>
    <t>Upon troubleshooting it was found that the Magnetic contactor of the rectifier unit was not getting energized due to burnt coil.Office has been informed to supply new magnetic contactor/coil.</t>
  </si>
  <si>
    <t>Magnetic contactor received at NOLA anchorage and fitted on place. BWTS tested working in order.Deficiency can be closed.</t>
  </si>
  <si>
    <t xml:space="preserve">21-131-EHO-RS </t>
  </si>
  <si>
    <t>Capt.Rajat Trehan</t>
  </si>
  <si>
    <t>v55_2021/12/07 16:35:07</t>
  </si>
  <si>
    <t xml:space="preserve">Spares are ready and will be connected with next spares supply in Dec end - Jan beginning. </t>
  </si>
  <si>
    <t xml:space="preserve">Troubleshooting in progress with makers assistance. Issue still being traced out. May require technician attendance but technicians unavailable in USA. May have to plan when vessel calls Europe.  </t>
  </si>
  <si>
    <t xml:space="preserve">USR 2021/12/07 : The contactor had malfunctioned. </t>
  </si>
  <si>
    <t xml:space="preserve">USR 2021/12/07 : New contactors supplied to the vessel and BWTS working fine after renewal. </t>
  </si>
  <si>
    <t>v55_2021/12/07 17:11:51</t>
  </si>
  <si>
    <t>ELC04</t>
  </si>
  <si>
    <t>TP202000320211209214624</t>
  </si>
  <si>
    <t>EHO-2021-033</t>
  </si>
  <si>
    <t>9882334_VET_20211109_01</t>
  </si>
  <si>
    <t>Emmanuel Yeboah</t>
  </si>
  <si>
    <t>11.1</t>
  </si>
  <si>
    <t>(A)Port Side Hull -In way of # 2 WBT was found with sporadic hull paint deformation covering approximately L=15ft x B= 18FT above the boot topping, reportedly due to vessel's frequent Panama Canal Transits. (B): Port side shell plating forward in way of Fore Peak tank was found with indentationmeasuring approximately L = 2ft x B = 2ft x D = 6 inches.</t>
  </si>
  <si>
    <t xml:space="preserve">  (A)- Observation stated is a fact, this is due to vessel's frequent Panama Canal Transit. (B) - Observation stated is a fact. Vessel has inspected the indent which is approximately 2" deep near transverse frame #75 between L40 &amp; L41 in #1 W.B.T. No strengthening members deformed or damaged.</t>
  </si>
  <si>
    <t>Sumit  Yagnik</t>
  </si>
  <si>
    <t>Yadav  Chhotelal</t>
  </si>
  <si>
    <t>Neeraj  Yadav</t>
  </si>
  <si>
    <t>United States </t>
  </si>
  <si>
    <t>Linden</t>
  </si>
  <si>
    <t>CAPT. SHASHANK SHARMA</t>
  </si>
  <si>
    <t>Class addendance was planned and no damage ws identified</t>
  </si>
  <si>
    <t>The ship side maintenance was completed.</t>
  </si>
  <si>
    <t>The class maintenance was made and no major damage reported. Same updated in our response. The ship side maintenance was completed at NOLA anchorage.</t>
  </si>
  <si>
    <t>(A)	This is a fact stated and the damaged pain coating breakdown and corrosion iwo 2 WBT port hull at parallel body length above boot topping is due to vessel regularly transiting the Panama Canal docks. All other draft markings on hull were found in order. Maintenance of ship side hull is a continuous process and is affected by limitation of time, weather conditions and approval by Port authorities. As a corrective measure, Hull coating maintenance has been carried out at anchorage on 18th Nov 2021 complying with local regulations and will be followed up. As a preventive measure, ship’s staff has been advised to inspect the hull after each Canal transit and to carry out the necessary maintenance in case required at next available opportunity._x000D_
_x000D_
(B)	This is NOT correct observation and could not be verified by ship’s staff at the time of inspection from outside due to terminal restriction. Class attendance was arranged at next port and no indentation was found iwo Fore PeaK tank. The minor indentation observed iwo 1P WBT were smooth in nature with no weld and structural damage, no repairs were required as per class attending surveyor.</t>
  </si>
  <si>
    <t>v55_2021/12/10 17:12:16</t>
  </si>
  <si>
    <t>TP202000320211216212125</t>
  </si>
  <si>
    <t>EHO-2021-034</t>
  </si>
  <si>
    <t>Capt. Rajat Trehan</t>
  </si>
  <si>
    <t xml:space="preserve">Damages at the port side quarter hull area Shell plate with a rupture behind the ECR on 2nd Deck. The opening is appx. 70cm long &amp; Height 130 cm In way of Longitudinal 38 &amp; 39 - Frame 23._x000D_
</t>
  </si>
  <si>
    <t>Own vessel while approaching buoyed channel towards Breakwater at Callao, Peru collided with the outbound vessel OCEAN PHOENIX TREE in location 12-02.52 S / 077-11.23 W. The incident occurred on 11 Dec 2021 at 1835 LT with Pilot on board. Other vessel was bulk carrier exiting breakwater and at time on incident did not have pilot. The plan was agreed between pilot and bridge team and port control’s advise was also approved for passing of vessels port to port but the other vessel did not follow the instructions of the pilot and continued on her course and speed.</t>
  </si>
  <si>
    <t xml:space="preserve">Immediately after the incident, vessel made full turn and asked port control for permission to anchor as in this situation it is not safe to proceed to the berth._x000D_
Vessel anchored at A1 and damage assessment carried out. All tanks soundings monitored. Vessels stability assessment carried out. Office immediatly informed and Class &amp; PandI inspection arranged. 12-Dec-2021: Damaged hul repaired with metal plate secured with stud&amp;nut arangement and ruptured opening sealed with cement and wooden planks to the satisfaction of Class. 14-Dec-2021: After conducting cargo ops with due permission of port authoroties, owners and charterers,  Vessel reanchored at A12 anchorage and carried out temperory repairs with sealing of affected area with cement box enclosed within fabricated steel box to teh satisfaction of Calss to allow vessel to sail till next port for permanent repairs._x000D_
_x000D_
_x000D_
</t>
  </si>
  <si>
    <t>TP202000320220105165354</t>
  </si>
  <si>
    <t>EHO-2022-01</t>
  </si>
  <si>
    <t>Overheating, vibration in surrounding area could be the probable cause.</t>
  </si>
  <si>
    <t xml:space="preserve"> Measured  input/output 24VDC for DC UPS and found to be okay. _x000D_
.   While putting jumper across terminal 13&amp;14 of UPS unit the alarm is getting reset, it means DC UPS is defective and need to replace.&lt;06-Dec-2021&gt; requisition raised for DC UPS Unit.  &lt;03-Jan-2022&gt; spare DC UPS unit received._x000D_
</t>
  </si>
  <si>
    <t>New DC UPS fitted and alarm got reset. system is back to normal without any alarm.  Deficiency can be closed.</t>
  </si>
  <si>
    <t>EHO-21-133</t>
  </si>
  <si>
    <t xml:space="preserve"> ME SCR Control unit UPS Power fail alarm was getting activated even after re-setting the alarm by re-starting DC UPS Unit  for ME SCR control unit._x000D_
</t>
  </si>
  <si>
    <t>Damaged hull plate renewed by class approved workshop at Baboa(panama) anchorage. MPI &amp; Vaccum test carried out in presence of ABS surveyor after copletion of job. Deficiency can be closed.</t>
  </si>
  <si>
    <t>Terminal covered with hard plastic cover.Deficiency can be closed.</t>
  </si>
  <si>
    <t>v55_2022/01/05 11:37:39 pm</t>
  </si>
  <si>
    <t>Requisition EHO-21-100 raised for genuine spare part from maker on 2021/09/08. Awaiting for spares. (25-dec-2021&gt;seal replaced with new seal. leak rectified.  job can be closed.</t>
  </si>
  <si>
    <t xml:space="preserve">USR : Order placed to Tacty for seals_x000D_
USR : New seal supplied and damaged sela replaced. Leak rectified. </t>
  </si>
  <si>
    <t xml:space="preserve">USR : New seal supplied and damaged sela replaced. Leak rectified. </t>
  </si>
  <si>
    <t>v55_2022/01/06 11:26:11</t>
  </si>
  <si>
    <t>USR 2021/11/08 : Troubleshooting in progresss in communication with makers._x000D_
USR 2021/12/07 : Troubleshooting in progress with makers assistance. Issue still being traced out. May require technician attendance but technicians unavailable in USA. May have to plan when vessel calls Europe.  _x000D_
USR 2021/01/06 : In communication with makers for service technician attendance. they do not seem to have anyone available for attendance this call. Trying to work things out with them.</t>
  </si>
  <si>
    <t>v55_2022/01/06 11:27:20</t>
  </si>
  <si>
    <t xml:space="preserve">USR 2021/11/08 : Makers advise, troubleshooting sought. _x000D_
USR 2021/12/07 : Calibration procedure provided. Need to check at suitable opportunity. _x000D_
USR 2021/01/06 : Issue not rectified with calibration. In cummunication with makers for further troubleshooting. </t>
  </si>
  <si>
    <t>v55_2022/01/06 11:28:58</t>
  </si>
  <si>
    <t xml:space="preserve">USR : Navigational collision incident caused breah of hull behind ECR. Class survey done, temporary repairs done to satisfaction of class and vessel sailed to Balboa,Panama where permanent repairs done to satisfactoion of Class. </t>
  </si>
  <si>
    <t>177.9</t>
  </si>
  <si>
    <t>v55_2022/01/06 11:32:49</t>
  </si>
  <si>
    <t xml:space="preserve">USR : NEW DC UPS supplied and repalcement done. </t>
  </si>
  <si>
    <t>v55_2022/01/06 11:33:58</t>
  </si>
  <si>
    <t>VET11</t>
  </si>
  <si>
    <t>ACC</t>
  </si>
  <si>
    <t>ACC07</t>
  </si>
  <si>
    <t>MEN15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</si>
</sst>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amily val="2"/>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5">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49" fontId="26" fillId="15" borderId="1" xfId="0" applyNumberFormat="1" applyFont="1" applyFill="1" applyBorder="1" applyAlignment="1"/>
    <xf numFmtId="14" fontId="26" fillId="15" borderId="1" xfId="0" applyNumberFormat="1" applyFont="1" applyFill="1" applyBorder="1" applyAlignment="1"/>
    <xf numFmtId="0" fontId="26" fillId="15" borderId="1" xfId="0" applyFont="1" applyFill="1" applyBorder="1" applyAlignment="1"/>
    <xf numFmtId="49" fontId="26" fillId="15" borderId="1" xfId="0" applyNumberFormat="1" applyFont="1" applyFill="1" applyBorder="1" applyAlignment="1">
      <alignment horizontal="right"/>
    </xf>
    <xf numFmtId="49" fontId="26" fillId="15" borderId="1" xfId="0" applyNumberFormat="1" applyFont="1" applyFill="1" applyBorder="1" applyAlignment="1">
      <alignment horizontal="center"/>
    </xf>
    <xf numFmtId="22" fontId="0" fillId="0" borderId="0" xfId="0" applyNumberFormat="1"/>
    <xf numFmtId="165" fontId="0" fillId="0" borderId="0" xfId="0" applyNumberFormat="1"/>
    <xf numFmtId="49" fontId="31" fillId="15" borderId="1" xfId="0" applyNumberFormat="1" applyFont="1" applyFill="1" applyBorder="1" applyAlignment="1">
      <alignment wrapText="1"/>
    </xf>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31750</xdr:colOff>
          <xdr:row>1</xdr:row>
          <xdr:rowOff>63500</xdr:rowOff>
        </xdr:from>
        <xdr:to>
          <xdr:col>10</xdr:col>
          <xdr:colOff>1555750</xdr:colOff>
          <xdr:row>2</xdr:row>
          <xdr:rowOff>209550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393700</xdr:colOff>
          <xdr:row>4</xdr:row>
          <xdr:rowOff>190500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xdr:row>
          <xdr:rowOff>38100</xdr:rowOff>
        </xdr:from>
        <xdr:to>
          <xdr:col>10</xdr:col>
          <xdr:colOff>1600200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63500</xdr:rowOff>
        </xdr:from>
        <xdr:to>
          <xdr:col>13</xdr:col>
          <xdr:colOff>279400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19050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topLeftCell="A13" zoomScale="96" zoomScaleNormal="96" workbookViewId="0">
      <selection activeCell="B11" sqref="B11"/>
    </sheetView>
  </sheetViews>
  <sheetFormatPr defaultColWidth="0" defaultRowHeight="14" x14ac:dyDescent="0.2"/>
  <cols>
    <col min="1" max="1" width="4.179687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x14ac:dyDescent="0.2">
      <c r="A1" s="131" t="s">
        <v>894</v>
      </c>
      <c r="B1" s="131"/>
      <c r="C1" s="75"/>
      <c r="D1" s="130" t="s">
        <v>603</v>
      </c>
      <c r="E1" s="130"/>
      <c r="F1" s="130"/>
    </row>
    <row r="2" spans="1:6" ht="7.5" customHeight="1" x14ac:dyDescent="0.2">
      <c r="B2" s="56"/>
      <c r="C2" s="73"/>
      <c r="E2" s="56"/>
    </row>
    <row r="3" spans="1:6" ht="15.5" x14ac:dyDescent="0.2">
      <c r="A3" s="55" t="s">
        <v>587</v>
      </c>
      <c r="B3" s="72" t="s">
        <v>894</v>
      </c>
      <c r="C3" s="73"/>
      <c r="D3" s="58" t="s">
        <v>587</v>
      </c>
      <c r="E3" s="59" t="s">
        <v>588</v>
      </c>
      <c r="F3" s="60" t="s">
        <v>589</v>
      </c>
    </row>
    <row r="4" spans="1:6" ht="25" x14ac:dyDescent="0.2">
      <c r="A4" s="61">
        <v>1</v>
      </c>
      <c r="B4" s="62" t="s">
        <v>623</v>
      </c>
      <c r="C4" s="73"/>
      <c r="D4" s="63">
        <v>1</v>
      </c>
      <c r="E4" s="64" t="s">
        <v>602</v>
      </c>
      <c r="F4" s="65" t="s">
        <v>622</v>
      </c>
    </row>
    <row r="5" spans="1:6" ht="26" x14ac:dyDescent="0.2">
      <c r="A5" s="61">
        <v>2</v>
      </c>
      <c r="B5" s="62" t="s">
        <v>624</v>
      </c>
      <c r="C5" s="73"/>
      <c r="D5" s="63">
        <v>2</v>
      </c>
      <c r="E5" s="64" t="s">
        <v>600</v>
      </c>
      <c r="F5" s="65" t="s">
        <v>601</v>
      </c>
    </row>
    <row r="6" spans="1:6" ht="26" x14ac:dyDescent="0.2">
      <c r="A6" s="61">
        <v>3</v>
      </c>
      <c r="B6" s="62" t="s">
        <v>898</v>
      </c>
      <c r="C6" s="73"/>
      <c r="D6" s="63">
        <v>3</v>
      </c>
      <c r="E6" s="64" t="s">
        <v>304</v>
      </c>
      <c r="F6" s="65" t="s">
        <v>599</v>
      </c>
    </row>
    <row r="7" spans="1:6" ht="26" x14ac:dyDescent="0.2">
      <c r="A7" s="61">
        <v>4</v>
      </c>
      <c r="B7" s="62" t="s">
        <v>604</v>
      </c>
      <c r="C7" s="73"/>
      <c r="D7" s="63">
        <v>4</v>
      </c>
      <c r="E7" s="64" t="s">
        <v>598</v>
      </c>
      <c r="F7" s="65" t="s">
        <v>621</v>
      </c>
    </row>
    <row r="8" spans="1:6" ht="25" x14ac:dyDescent="0.2">
      <c r="A8" s="61">
        <v>5</v>
      </c>
      <c r="B8" s="62" t="s">
        <v>625</v>
      </c>
      <c r="C8" s="73"/>
      <c r="D8" s="63">
        <v>5</v>
      </c>
      <c r="E8" s="64" t="s">
        <v>596</v>
      </c>
      <c r="F8" s="65" t="s">
        <v>597</v>
      </c>
    </row>
    <row r="9" spans="1:6" ht="37.5" x14ac:dyDescent="0.2">
      <c r="A9" s="61">
        <v>6</v>
      </c>
      <c r="B9" s="78" t="s">
        <v>1043</v>
      </c>
      <c r="C9" s="73"/>
      <c r="D9" s="63">
        <v>6</v>
      </c>
      <c r="E9" s="64" t="s">
        <v>896</v>
      </c>
      <c r="F9" s="65" t="s">
        <v>1044</v>
      </c>
    </row>
    <row r="10" spans="1:6" x14ac:dyDescent="0.2">
      <c r="A10" s="61">
        <v>7</v>
      </c>
      <c r="B10" s="78" t="s">
        <v>605</v>
      </c>
      <c r="C10" s="73"/>
      <c r="D10" s="63">
        <v>7</v>
      </c>
      <c r="E10" s="64" t="s">
        <v>897</v>
      </c>
      <c r="F10" s="65" t="s">
        <v>595</v>
      </c>
    </row>
    <row r="11" spans="1:6" ht="26" x14ac:dyDescent="0.2">
      <c r="A11" s="61">
        <v>8</v>
      </c>
      <c r="B11" s="113" t="s">
        <v>1097</v>
      </c>
      <c r="C11" s="73"/>
      <c r="D11" s="63">
        <v>8</v>
      </c>
      <c r="E11" s="64" t="s">
        <v>593</v>
      </c>
      <c r="F11" s="65" t="s">
        <v>594</v>
      </c>
    </row>
    <row r="12" spans="1:6" ht="26" x14ac:dyDescent="0.2">
      <c r="C12" s="73"/>
      <c r="D12" s="63">
        <v>9</v>
      </c>
      <c r="E12" s="64" t="s">
        <v>592</v>
      </c>
      <c r="F12" s="65" t="s">
        <v>620</v>
      </c>
    </row>
    <row r="13" spans="1:6" ht="25" x14ac:dyDescent="0.2">
      <c r="C13" s="73"/>
      <c r="D13" s="63">
        <v>10</v>
      </c>
      <c r="E13" s="64" t="s">
        <v>890</v>
      </c>
      <c r="F13" s="65" t="s">
        <v>975</v>
      </c>
    </row>
    <row r="14" spans="1:6" ht="25" x14ac:dyDescent="0.2">
      <c r="C14" s="73"/>
      <c r="D14" s="63">
        <v>11</v>
      </c>
      <c r="E14" s="64" t="s">
        <v>591</v>
      </c>
      <c r="F14" s="65" t="s">
        <v>976</v>
      </c>
    </row>
    <row r="15" spans="1:6" x14ac:dyDescent="0.2">
      <c r="C15" s="73"/>
      <c r="D15" s="63">
        <v>12</v>
      </c>
      <c r="E15" s="64" t="s">
        <v>590</v>
      </c>
      <c r="F15" s="65" t="s">
        <v>586</v>
      </c>
    </row>
    <row r="16" spans="1:6" ht="25" x14ac:dyDescent="0.2">
      <c r="C16" s="73"/>
      <c r="D16" s="63">
        <v>13</v>
      </c>
      <c r="E16" s="64" t="s">
        <v>606</v>
      </c>
      <c r="F16" s="65" t="s">
        <v>613</v>
      </c>
    </row>
    <row r="17" spans="3:6" ht="37.5" x14ac:dyDescent="0.2">
      <c r="C17" s="73"/>
      <c r="D17" s="63">
        <v>14</v>
      </c>
      <c r="E17" s="64" t="s">
        <v>607</v>
      </c>
      <c r="F17" s="65" t="s">
        <v>614</v>
      </c>
    </row>
    <row r="18" spans="3:6" ht="39" x14ac:dyDescent="0.2">
      <c r="C18" s="73"/>
      <c r="D18" s="63">
        <v>15</v>
      </c>
      <c r="E18" s="64" t="s">
        <v>608</v>
      </c>
      <c r="F18" s="65" t="s">
        <v>615</v>
      </c>
    </row>
    <row r="19" spans="3:6" ht="39" x14ac:dyDescent="0.2">
      <c r="C19" s="73"/>
      <c r="D19" s="63">
        <v>16</v>
      </c>
      <c r="E19" s="64" t="s">
        <v>609</v>
      </c>
      <c r="F19" s="65" t="s">
        <v>616</v>
      </c>
    </row>
    <row r="20" spans="3:6" ht="26" x14ac:dyDescent="0.2">
      <c r="C20" s="73"/>
      <c r="D20" s="66">
        <v>17</v>
      </c>
      <c r="E20" s="67" t="s">
        <v>610</v>
      </c>
      <c r="F20" s="68" t="s">
        <v>617</v>
      </c>
    </row>
    <row r="21" spans="3:6" x14ac:dyDescent="0.2">
      <c r="C21" s="73"/>
      <c r="D21" s="63">
        <v>18</v>
      </c>
      <c r="E21" s="67" t="s">
        <v>611</v>
      </c>
      <c r="F21" s="68"/>
    </row>
    <row r="22" spans="3:6" ht="26" x14ac:dyDescent="0.2">
      <c r="C22" s="73"/>
      <c r="D22" s="66">
        <v>19</v>
      </c>
      <c r="E22" s="67" t="s">
        <v>487</v>
      </c>
      <c r="F22" s="68" t="s">
        <v>618</v>
      </c>
    </row>
    <row r="23" spans="3:6" ht="25" x14ac:dyDescent="0.2">
      <c r="C23" s="73"/>
      <c r="D23" s="63">
        <v>20</v>
      </c>
      <c r="E23" s="69" t="s">
        <v>488</v>
      </c>
      <c r="F23" s="68" t="s">
        <v>619</v>
      </c>
    </row>
    <row r="24" spans="3:6" ht="25" x14ac:dyDescent="0.2">
      <c r="C24" s="73"/>
      <c r="D24" s="66">
        <v>21</v>
      </c>
      <c r="E24" s="69" t="s">
        <v>612</v>
      </c>
      <c r="F24" s="68" t="s">
        <v>1045</v>
      </c>
    </row>
    <row r="25" spans="3:6" ht="25" x14ac:dyDescent="0.2">
      <c r="C25" s="73"/>
      <c r="D25" s="63">
        <v>22</v>
      </c>
      <c r="E25" s="69" t="s">
        <v>1046</v>
      </c>
      <c r="F25" s="68" t="s">
        <v>1047</v>
      </c>
    </row>
    <row r="26" spans="3:6" x14ac:dyDescent="0.2">
      <c r="C26" s="73"/>
      <c r="D26" s="74"/>
      <c r="E26" s="74"/>
      <c r="F26" s="74"/>
    </row>
    <row r="27" spans="3:6" x14ac:dyDescent="0.2">
      <c r="C27" s="73"/>
      <c r="D27" s="74"/>
      <c r="E27" s="74"/>
      <c r="F27" s="74"/>
    </row>
    <row r="28" spans="3:6" x14ac:dyDescent="0.2">
      <c r="D28" s="70"/>
      <c r="E28" s="70"/>
      <c r="F28" s="70"/>
    </row>
    <row r="29" spans="3:6" x14ac:dyDescent="0.2">
      <c r="D29" s="71"/>
      <c r="E29" s="71"/>
    </row>
    <row r="30" spans="3:6" x14ac:dyDescent="0.2">
      <c r="D30" s="71"/>
      <c r="E30" s="71"/>
      <c r="F30" s="71"/>
    </row>
    <row r="31" spans="3:6" x14ac:dyDescent="0.2">
      <c r="D31" s="71"/>
      <c r="E31" s="71"/>
      <c r="F31" s="71"/>
    </row>
    <row r="32" spans="3:6" x14ac:dyDescent="0.2">
      <c r="D32" s="71"/>
      <c r="E32" s="71"/>
      <c r="F32" s="71"/>
    </row>
    <row r="33" spans="4:6" x14ac:dyDescent="0.2">
      <c r="D33" s="71"/>
      <c r="E33" s="71"/>
      <c r="F33" s="71"/>
    </row>
    <row r="34" spans="4:6" x14ac:dyDescent="0.2">
      <c r="D34" s="71"/>
      <c r="E34" s="71"/>
      <c r="F34" s="71"/>
    </row>
    <row r="4333" spans="1:1" x14ac:dyDescent="0.2">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43"/>
  <sheetViews>
    <sheetView tabSelected="1" topLeftCell="B1" zoomScaleNormal="100" workbookViewId="0">
      <pane ySplit="6" topLeftCell="A23" activePane="bottomLeft" state="frozen"/>
      <selection pane="bottomLeft" activeCell="A42" sqref="A42:AE42"/>
    </sheetView>
  </sheetViews>
  <sheetFormatPr defaultColWidth="9" defaultRowHeight="15" customHeight="1" x14ac:dyDescent="0.2"/>
  <cols>
    <col min="1" max="1" width="9.81640625" style="17" hidden="1" customWidth="1"/>
    <col min="2" max="2" width="11.90625" style="17" customWidth="1"/>
    <col min="3" max="3" width="20.1796875" style="17" customWidth="1"/>
    <col min="4" max="4" width="14.90625" style="17" customWidth="1"/>
    <col min="5" max="5" width="6.81640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1796875" style="17" hidden="1" customWidth="1"/>
    <col min="13" max="13" width="9" style="17" customWidth="1"/>
    <col min="14" max="14" width="43" style="17" customWidth="1"/>
    <col min="15" max="15" width="33.453125" style="17" customWidth="1"/>
    <col min="16" max="16" width="11.453125" style="17" customWidth="1"/>
    <col min="17" max="17" width="13.179687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1796875" style="17" customWidth="1"/>
    <col min="36" max="36" width="11.6328125" style="17" customWidth="1"/>
    <col min="37" max="37" width="15.08984375" style="17" customWidth="1"/>
    <col min="38" max="38" width="15.453125" style="17" customWidth="1"/>
    <col min="39" max="39" width="20.453125" style="17" customWidth="1"/>
    <col min="40" max="40" width="11.179687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1796875" style="17" hidden="1" customWidth="1"/>
    <col min="54" max="54" width="11" style="17" hidden="1" customWidth="1"/>
    <col min="55" max="55" width="12.453125" style="17" hidden="1" customWidth="1"/>
    <col min="56" max="56" width="15.1796875" style="17" hidden="1" customWidth="1"/>
    <col min="57" max="57" width="12.90625" style="17" hidden="1" customWidth="1"/>
    <col min="58" max="59" width="11" style="17" hidden="1" customWidth="1"/>
    <col min="60" max="60" width="12.453125" style="17" hidden="1" customWidth="1"/>
    <col min="61" max="63" width="11" style="17" hidden="1" customWidth="1"/>
    <col min="64" max="64" width="25.1796875" style="17" hidden="1" customWidth="1"/>
    <col min="65" max="65" width="13.6328125" style="17" hidden="1" customWidth="1"/>
    <col min="66" max="66" width="13.453125" style="17" hidden="1" customWidth="1"/>
    <col min="67" max="68" width="11.6328125" style="17" hidden="1" customWidth="1"/>
    <col min="69" max="69" width="11.179687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x14ac:dyDescent="0.35">
      <c r="A1" s="14"/>
      <c r="B1" s="19" t="s">
        <v>799</v>
      </c>
      <c r="C1" s="13" t="s">
        <v>973</v>
      </c>
      <c r="D1" s="24" t="str">
        <f>VLOOKUP(C1,vesseldata,3,FALSE)</f>
        <v>EHO</v>
      </c>
      <c r="E1" s="14"/>
      <c r="F1" s="14"/>
      <c r="G1" s="14"/>
      <c r="H1" s="16" t="s">
        <v>296</v>
      </c>
      <c r="I1" s="10">
        <v>44567.482025462959</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x14ac:dyDescent="0.35">
      <c r="A2" s="14"/>
      <c r="B2" s="15" t="s">
        <v>297</v>
      </c>
      <c r="C2" s="82" t="str">
        <f>VLOOKUP($C$1,vesseldata,4,FALSE)</f>
        <v>TP2020003</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x14ac:dyDescent="0.35">
      <c r="A3" s="14"/>
      <c r="B3" s="15" t="s">
        <v>298</v>
      </c>
      <c r="C3" s="24">
        <f ca="1">TODAY()</f>
        <v>44567</v>
      </c>
      <c r="D3" s="14"/>
      <c r="E3" s="14"/>
      <c r="F3" s="14"/>
      <c r="G3" s="14"/>
      <c r="H3" s="16" t="s">
        <v>299</v>
      </c>
      <c r="I3" s="10">
        <v>44567.62908564815</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x14ac:dyDescent="0.35">
      <c r="A4" s="14"/>
      <c r="B4" s="15" t="s">
        <v>300</v>
      </c>
      <c r="C4" s="20" t="s">
        <v>1453</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x14ac:dyDescent="0.3">
      <c r="A5" s="14"/>
      <c r="B5" s="77" t="s">
        <v>481</v>
      </c>
      <c r="C5" s="79">
        <f>VLOOKUP($C$1,vesseldata,2,FALSE)</f>
        <v>9882334</v>
      </c>
      <c r="D5" s="14"/>
      <c r="E5" s="14"/>
      <c r="F5" s="14"/>
      <c r="G5" s="14"/>
      <c r="H5" s="14"/>
      <c r="I5" s="14"/>
      <c r="J5" s="14"/>
      <c r="K5" s="76"/>
      <c r="L5" s="76"/>
      <c r="M5" s="76"/>
      <c r="N5" s="76"/>
      <c r="O5" s="14"/>
      <c r="P5" s="14"/>
      <c r="Q5" s="14"/>
      <c r="R5" s="14"/>
      <c r="S5" s="14"/>
      <c r="T5" s="14"/>
      <c r="U5" s="14"/>
      <c r="V5" s="14"/>
      <c r="W5" s="14"/>
      <c r="X5" s="132" t="s">
        <v>301</v>
      </c>
      <c r="Y5" s="133"/>
      <c r="Z5" s="133"/>
      <c r="AA5" s="133"/>
      <c r="AB5" s="133"/>
      <c r="AC5" s="133"/>
      <c r="AD5" s="133"/>
      <c r="AE5" s="134"/>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x14ac:dyDescent="0.2">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x14ac:dyDescent="0.3">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9882334</v>
      </c>
      <c r="AV7" s="90" t="str">
        <f>$C$1</f>
        <v>Esteem Houston</v>
      </c>
      <c r="AW7" s="108" t="str">
        <f>$C$2</f>
        <v>TP2020003</v>
      </c>
      <c r="AX7" s="91">
        <f ca="1">$C$3</f>
        <v>44567</v>
      </c>
      <c r="AY7" s="108" t="str">
        <f>$C$4</f>
        <v>Capt.Rajat Trehan</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x14ac:dyDescent="0.3">
      <c r="A8" s="117" t="s">
        <v>1137</v>
      </c>
      <c r="B8" s="118">
        <v>44193</v>
      </c>
      <c r="C8" s="117" t="s">
        <v>1138</v>
      </c>
      <c r="D8" s="117" t="s">
        <v>364</v>
      </c>
      <c r="E8" s="119" t="s">
        <v>1125</v>
      </c>
      <c r="F8" s="117" t="s">
        <v>1126</v>
      </c>
      <c r="G8" s="117" t="s">
        <v>390</v>
      </c>
      <c r="H8" s="117" t="s">
        <v>1139</v>
      </c>
      <c r="I8" s="117" t="s">
        <v>13</v>
      </c>
      <c r="J8" s="117" t="s">
        <v>1140</v>
      </c>
      <c r="K8" s="117" t="s">
        <v>83</v>
      </c>
      <c r="L8" s="117" t="s">
        <v>1141</v>
      </c>
      <c r="M8" s="119" t="s">
        <v>346</v>
      </c>
      <c r="N8" s="117" t="s">
        <v>1142</v>
      </c>
      <c r="O8" s="117" t="s">
        <v>1143</v>
      </c>
      <c r="P8" s="117" t="s">
        <v>1144</v>
      </c>
      <c r="Q8" s="118">
        <v>44194</v>
      </c>
      <c r="R8" s="118">
        <v>44282</v>
      </c>
      <c r="S8" s="117" t="s">
        <v>1145</v>
      </c>
      <c r="T8" s="118">
        <v>44256</v>
      </c>
      <c r="U8" s="120" t="s">
        <v>295</v>
      </c>
      <c r="V8" s="120" t="s">
        <v>295</v>
      </c>
      <c r="W8" s="121" t="s">
        <v>262</v>
      </c>
      <c r="X8" s="117" t="s">
        <v>1146</v>
      </c>
      <c r="Y8" s="117"/>
      <c r="Z8" s="117"/>
      <c r="AA8" s="117" t="s">
        <v>5</v>
      </c>
      <c r="AB8" s="117" t="s">
        <v>1147</v>
      </c>
      <c r="AC8" s="118">
        <v>44256</v>
      </c>
      <c r="AD8" s="117" t="s">
        <v>349</v>
      </c>
      <c r="AE8" s="117" t="s">
        <v>1148</v>
      </c>
      <c r="AF8" s="90" t="s">
        <v>1104</v>
      </c>
      <c r="AG8" s="90" t="s">
        <v>0</v>
      </c>
      <c r="AH8" s="93" t="s">
        <v>972</v>
      </c>
      <c r="AI8" s="93" t="b">
        <v>0</v>
      </c>
      <c r="AJ8" s="93"/>
      <c r="AK8" s="93" t="b">
        <v>0</v>
      </c>
      <c r="AL8" s="93"/>
      <c r="AM8" s="93" t="b">
        <v>0</v>
      </c>
      <c r="AN8" s="93" t="b">
        <v>0</v>
      </c>
      <c r="AO8" s="93" t="b">
        <v>0</v>
      </c>
      <c r="AP8" s="93" t="b">
        <v>0</v>
      </c>
      <c r="AQ8" s="93" t="b">
        <v>0</v>
      </c>
      <c r="AR8" s="93" t="b">
        <v>0</v>
      </c>
      <c r="AS8" s="93" t="b">
        <v>0</v>
      </c>
      <c r="AT8" s="107" t="s">
        <v>1149</v>
      </c>
      <c r="AU8" s="94">
        <v>9882334</v>
      </c>
      <c r="AV8" s="90" t="s">
        <v>973</v>
      </c>
      <c r="AW8" s="108" t="s">
        <v>991</v>
      </c>
      <c r="AX8" s="91">
        <v>44509</v>
      </c>
      <c r="AY8" s="108" t="s">
        <v>1136</v>
      </c>
      <c r="AZ8" s="90" t="s">
        <v>13</v>
      </c>
      <c r="BA8" s="90" t="s">
        <v>83</v>
      </c>
      <c r="BB8" s="90" t="s">
        <v>52</v>
      </c>
      <c r="BC8" s="90"/>
      <c r="BD8" s="90" t="s">
        <v>801</v>
      </c>
      <c r="BE8" s="90"/>
      <c r="BF8" s="90"/>
      <c r="BG8" s="91"/>
      <c r="BH8" s="93" t="b">
        <v>0</v>
      </c>
      <c r="BI8" s="90"/>
      <c r="BJ8" s="90"/>
      <c r="BK8" s="90" t="s">
        <v>1105</v>
      </c>
      <c r="BL8" s="90"/>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c r="CQ8" s="90"/>
      <c r="CR8" s="90"/>
      <c r="CS8" s="90"/>
      <c r="CT8" s="91"/>
      <c r="CU8" s="90"/>
      <c r="CV8" s="97"/>
    </row>
    <row r="9" spans="1:100" ht="15" customHeight="1" x14ac:dyDescent="0.3">
      <c r="A9" s="117" t="s">
        <v>1150</v>
      </c>
      <c r="B9" s="118">
        <v>44271</v>
      </c>
      <c r="C9" s="117" t="s">
        <v>1151</v>
      </c>
      <c r="D9" s="117" t="s">
        <v>368</v>
      </c>
      <c r="E9" s="119" t="s">
        <v>1152</v>
      </c>
      <c r="F9" s="117" t="s">
        <v>1153</v>
      </c>
      <c r="G9" s="117" t="s">
        <v>397</v>
      </c>
      <c r="H9" s="117" t="s">
        <v>1154</v>
      </c>
      <c r="I9" s="117" t="s">
        <v>366</v>
      </c>
      <c r="J9" s="117" t="s">
        <v>1155</v>
      </c>
      <c r="K9" s="117" t="s">
        <v>471</v>
      </c>
      <c r="L9" s="117" t="s">
        <v>1156</v>
      </c>
      <c r="M9" s="119" t="s">
        <v>346</v>
      </c>
      <c r="N9" s="117" t="s">
        <v>1157</v>
      </c>
      <c r="O9" s="117" t="s">
        <v>262</v>
      </c>
      <c r="P9" s="117" t="s">
        <v>262</v>
      </c>
      <c r="Q9" s="118">
        <v>44271</v>
      </c>
      <c r="R9" s="118">
        <v>44271</v>
      </c>
      <c r="S9" s="117" t="s">
        <v>262</v>
      </c>
      <c r="T9" s="118" t="s">
        <v>1158</v>
      </c>
      <c r="U9" s="120" t="s">
        <v>295</v>
      </c>
      <c r="V9" s="120" t="s">
        <v>295</v>
      </c>
      <c r="W9" s="121" t="s">
        <v>262</v>
      </c>
      <c r="X9" s="117" t="s">
        <v>1108</v>
      </c>
      <c r="Y9" s="117"/>
      <c r="Z9" s="117"/>
      <c r="AA9" s="117" t="s">
        <v>5</v>
      </c>
      <c r="AB9" s="117"/>
      <c r="AC9" s="118">
        <v>44271</v>
      </c>
      <c r="AD9" s="117" t="s">
        <v>349</v>
      </c>
      <c r="AE9" s="117"/>
      <c r="AF9" s="90" t="s">
        <v>1104</v>
      </c>
      <c r="AG9" s="90" t="s">
        <v>0</v>
      </c>
      <c r="AH9" s="93" t="s">
        <v>972</v>
      </c>
      <c r="AI9" s="93" t="b">
        <v>0</v>
      </c>
      <c r="AJ9" s="93"/>
      <c r="AK9" s="93" t="b">
        <v>0</v>
      </c>
      <c r="AL9" s="93"/>
      <c r="AM9" s="93" t="b">
        <v>0</v>
      </c>
      <c r="AN9" s="93" t="b">
        <v>0</v>
      </c>
      <c r="AO9" s="93" t="b">
        <v>0</v>
      </c>
      <c r="AP9" s="93" t="b">
        <v>0</v>
      </c>
      <c r="AQ9" s="93" t="b">
        <v>0</v>
      </c>
      <c r="AR9" s="93" t="b">
        <v>0</v>
      </c>
      <c r="AS9" s="93" t="b">
        <v>0</v>
      </c>
      <c r="AT9" s="107" t="s">
        <v>1159</v>
      </c>
      <c r="AU9" s="94">
        <v>9882334</v>
      </c>
      <c r="AV9" s="90" t="s">
        <v>973</v>
      </c>
      <c r="AW9" s="108" t="s">
        <v>991</v>
      </c>
      <c r="AX9" s="91">
        <v>44509</v>
      </c>
      <c r="AY9" s="108" t="s">
        <v>1136</v>
      </c>
      <c r="AZ9" s="90"/>
      <c r="BA9" s="90"/>
      <c r="BB9" s="90" t="s">
        <v>402</v>
      </c>
      <c r="BC9" s="90"/>
      <c r="BD9" s="90" t="s">
        <v>801</v>
      </c>
      <c r="BE9" s="90"/>
      <c r="BF9" s="90"/>
      <c r="BG9" s="91"/>
      <c r="BH9" s="93" t="b">
        <v>0</v>
      </c>
      <c r="BI9" s="90" t="s">
        <v>499</v>
      </c>
      <c r="BJ9" s="90"/>
      <c r="BK9" s="90" t="s">
        <v>1105</v>
      </c>
      <c r="BL9" s="90"/>
      <c r="BM9" s="90"/>
      <c r="BN9" s="90"/>
      <c r="BO9" s="90"/>
      <c r="BP9" s="90"/>
      <c r="BQ9" s="90"/>
      <c r="BR9" s="95"/>
      <c r="BS9" s="90"/>
      <c r="BT9" s="90"/>
      <c r="BU9" s="90"/>
      <c r="BV9" s="90"/>
      <c r="BW9" s="90"/>
      <c r="BX9" s="90"/>
      <c r="BY9" s="90"/>
      <c r="BZ9" s="90"/>
      <c r="CA9" s="90"/>
      <c r="CB9" s="90"/>
      <c r="CC9" s="91"/>
      <c r="CD9" s="90"/>
      <c r="CE9" s="91"/>
      <c r="CF9" s="90"/>
      <c r="CG9" s="91"/>
      <c r="CH9" s="90"/>
      <c r="CI9" s="91"/>
      <c r="CJ9" s="90"/>
      <c r="CK9" s="91"/>
      <c r="CL9" s="90"/>
      <c r="CM9" s="91"/>
      <c r="CN9" s="96"/>
      <c r="CO9" s="91"/>
      <c r="CP9" s="90"/>
      <c r="CQ9" s="90"/>
      <c r="CR9" s="90"/>
      <c r="CS9" s="90"/>
      <c r="CT9" s="91"/>
      <c r="CU9" s="90"/>
      <c r="CV9" s="97"/>
    </row>
    <row r="10" spans="1:100" ht="15" customHeight="1" x14ac:dyDescent="0.3">
      <c r="A10" s="117" t="s">
        <v>1160</v>
      </c>
      <c r="B10" s="118">
        <v>44284</v>
      </c>
      <c r="C10" s="117" t="s">
        <v>1161</v>
      </c>
      <c r="D10" s="117" t="s">
        <v>364</v>
      </c>
      <c r="E10" s="119" t="s">
        <v>1125</v>
      </c>
      <c r="F10" s="117" t="s">
        <v>1126</v>
      </c>
      <c r="G10" s="117" t="s">
        <v>390</v>
      </c>
      <c r="H10" s="117" t="s">
        <v>1139</v>
      </c>
      <c r="I10" s="117" t="s">
        <v>19</v>
      </c>
      <c r="J10" s="117" t="s">
        <v>1133</v>
      </c>
      <c r="K10" s="117" t="s">
        <v>146</v>
      </c>
      <c r="L10" s="117" t="s">
        <v>1162</v>
      </c>
      <c r="M10" s="119" t="s">
        <v>346</v>
      </c>
      <c r="N10" s="117" t="s">
        <v>1163</v>
      </c>
      <c r="O10" s="117" t="s">
        <v>1164</v>
      </c>
      <c r="P10" s="117" t="s">
        <v>1165</v>
      </c>
      <c r="Q10" s="118">
        <v>44284</v>
      </c>
      <c r="R10" s="118">
        <v>44316</v>
      </c>
      <c r="S10" s="117" t="s">
        <v>1166</v>
      </c>
      <c r="T10" s="118">
        <v>44306</v>
      </c>
      <c r="U10" s="120" t="s">
        <v>295</v>
      </c>
      <c r="V10" s="120" t="s">
        <v>295</v>
      </c>
      <c r="W10" s="121" t="s">
        <v>262</v>
      </c>
      <c r="X10" s="117" t="s">
        <v>1167</v>
      </c>
      <c r="Y10" s="117"/>
      <c r="Z10" s="117"/>
      <c r="AA10" s="117" t="s">
        <v>4</v>
      </c>
      <c r="AB10" s="117" t="s">
        <v>1168</v>
      </c>
      <c r="AC10" s="118">
        <v>44306</v>
      </c>
      <c r="AD10" s="117" t="s">
        <v>349</v>
      </c>
      <c r="AE10" s="117" t="s">
        <v>1169</v>
      </c>
      <c r="AF10" s="90" t="s">
        <v>1104</v>
      </c>
      <c r="AG10" s="90" t="s">
        <v>0</v>
      </c>
      <c r="AH10" s="93" t="s">
        <v>972</v>
      </c>
      <c r="AI10" s="93" t="b">
        <v>0</v>
      </c>
      <c r="AJ10" s="93"/>
      <c r="AK10" s="93" t="b">
        <v>0</v>
      </c>
      <c r="AL10" s="93"/>
      <c r="AM10" s="93" t="b">
        <v>0</v>
      </c>
      <c r="AN10" s="93" t="b">
        <v>0</v>
      </c>
      <c r="AO10" s="93" t="b">
        <v>0</v>
      </c>
      <c r="AP10" s="93" t="b">
        <v>0</v>
      </c>
      <c r="AQ10" s="93" t="b">
        <v>0</v>
      </c>
      <c r="AR10" s="93" t="b">
        <v>0</v>
      </c>
      <c r="AS10" s="93" t="b">
        <v>0</v>
      </c>
      <c r="AT10" s="107" t="s">
        <v>1171</v>
      </c>
      <c r="AU10" s="94">
        <v>9882334</v>
      </c>
      <c r="AV10" s="90" t="s">
        <v>973</v>
      </c>
      <c r="AW10" s="108" t="s">
        <v>991</v>
      </c>
      <c r="AX10" s="91">
        <v>44509</v>
      </c>
      <c r="AY10" s="108" t="s">
        <v>1136</v>
      </c>
      <c r="AZ10" s="90" t="s">
        <v>19</v>
      </c>
      <c r="BA10" s="90" t="s">
        <v>146</v>
      </c>
      <c r="BB10" s="90" t="s">
        <v>34</v>
      </c>
      <c r="BC10" s="90"/>
      <c r="BD10" s="90" t="s">
        <v>801</v>
      </c>
      <c r="BE10" s="90"/>
      <c r="BF10" s="90"/>
      <c r="BG10" s="91"/>
      <c r="BH10" s="93" t="b">
        <v>0</v>
      </c>
      <c r="BI10" s="90" t="s">
        <v>1170</v>
      </c>
      <c r="BJ10" s="90"/>
      <c r="BK10" s="90" t="s">
        <v>1105</v>
      </c>
      <c r="BL10" s="90"/>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x14ac:dyDescent="0.3">
      <c r="A11" s="117" t="s">
        <v>1172</v>
      </c>
      <c r="B11" s="118">
        <v>44284</v>
      </c>
      <c r="C11" s="117" t="s">
        <v>1173</v>
      </c>
      <c r="D11" s="117" t="s">
        <v>364</v>
      </c>
      <c r="E11" s="119" t="s">
        <v>1125</v>
      </c>
      <c r="F11" s="117" t="s">
        <v>1126</v>
      </c>
      <c r="G11" s="117" t="s">
        <v>390</v>
      </c>
      <c r="H11" s="117" t="s">
        <v>1139</v>
      </c>
      <c r="I11" s="117" t="s">
        <v>22</v>
      </c>
      <c r="J11" s="117" t="s">
        <v>1174</v>
      </c>
      <c r="K11" s="117" t="s">
        <v>162</v>
      </c>
      <c r="L11" s="117" t="s">
        <v>1175</v>
      </c>
      <c r="M11" s="119" t="s">
        <v>346</v>
      </c>
      <c r="N11" s="117" t="s">
        <v>1176</v>
      </c>
      <c r="O11" s="117" t="s">
        <v>499</v>
      </c>
      <c r="P11" s="117" t="s">
        <v>1177</v>
      </c>
      <c r="Q11" s="118">
        <v>44284</v>
      </c>
      <c r="R11" s="118">
        <v>44374</v>
      </c>
      <c r="S11" s="117" t="s">
        <v>1178</v>
      </c>
      <c r="T11" s="118">
        <v>44284</v>
      </c>
      <c r="U11" s="120" t="s">
        <v>295</v>
      </c>
      <c r="V11" s="120" t="s">
        <v>295</v>
      </c>
      <c r="W11" s="121" t="s">
        <v>262</v>
      </c>
      <c r="X11" s="117" t="s">
        <v>1179</v>
      </c>
      <c r="Y11" s="117"/>
      <c r="Z11" s="117"/>
      <c r="AA11" s="117" t="s">
        <v>1</v>
      </c>
      <c r="AB11" s="117" t="s">
        <v>1180</v>
      </c>
      <c r="AC11" s="118">
        <v>44284</v>
      </c>
      <c r="AD11" s="117" t="s">
        <v>349</v>
      </c>
      <c r="AE11" s="117" t="s">
        <v>1148</v>
      </c>
      <c r="AF11" s="90" t="s">
        <v>1104</v>
      </c>
      <c r="AG11" s="90" t="s">
        <v>0</v>
      </c>
      <c r="AH11" s="93" t="s">
        <v>972</v>
      </c>
      <c r="AI11" s="93" t="b">
        <v>0</v>
      </c>
      <c r="AJ11" s="93"/>
      <c r="AK11" s="93" t="b">
        <v>0</v>
      </c>
      <c r="AL11" s="93"/>
      <c r="AM11" s="93" t="b">
        <v>0</v>
      </c>
      <c r="AN11" s="93" t="b">
        <v>0</v>
      </c>
      <c r="AO11" s="93" t="b">
        <v>0</v>
      </c>
      <c r="AP11" s="93" t="b">
        <v>0</v>
      </c>
      <c r="AQ11" s="93" t="b">
        <v>0</v>
      </c>
      <c r="AR11" s="93" t="b">
        <v>0</v>
      </c>
      <c r="AS11" s="93" t="b">
        <v>0</v>
      </c>
      <c r="AT11" s="107" t="s">
        <v>1181</v>
      </c>
      <c r="AU11" s="94">
        <v>9882334</v>
      </c>
      <c r="AV11" s="90" t="s">
        <v>973</v>
      </c>
      <c r="AW11" s="108" t="s">
        <v>991</v>
      </c>
      <c r="AX11" s="91">
        <v>44509</v>
      </c>
      <c r="AY11" s="108" t="s">
        <v>1136</v>
      </c>
      <c r="AZ11" s="90" t="s">
        <v>22</v>
      </c>
      <c r="BA11" s="90" t="s">
        <v>162</v>
      </c>
      <c r="BB11" s="90" t="s">
        <v>40</v>
      </c>
      <c r="BC11" s="90"/>
      <c r="BD11" s="90" t="s">
        <v>30</v>
      </c>
      <c r="BE11" s="90"/>
      <c r="BF11" s="90"/>
      <c r="BG11" s="91"/>
      <c r="BH11" s="93" t="b">
        <v>0</v>
      </c>
      <c r="BI11" s="90"/>
      <c r="BJ11" s="90"/>
      <c r="BK11" s="90" t="s">
        <v>1105</v>
      </c>
      <c r="BL11" s="90"/>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x14ac:dyDescent="0.3">
      <c r="A12" s="117" t="s">
        <v>1182</v>
      </c>
      <c r="B12" s="118">
        <v>44285</v>
      </c>
      <c r="C12" s="117" t="s">
        <v>1183</v>
      </c>
      <c r="D12" s="117" t="s">
        <v>364</v>
      </c>
      <c r="E12" s="119" t="s">
        <v>1125</v>
      </c>
      <c r="F12" s="117" t="s">
        <v>1126</v>
      </c>
      <c r="G12" s="117" t="s">
        <v>390</v>
      </c>
      <c r="H12" s="117" t="s">
        <v>1184</v>
      </c>
      <c r="I12" s="117" t="s">
        <v>14</v>
      </c>
      <c r="J12" s="117" t="s">
        <v>1131</v>
      </c>
      <c r="K12" s="117" t="s">
        <v>100</v>
      </c>
      <c r="L12" s="117" t="s">
        <v>1185</v>
      </c>
      <c r="M12" s="119" t="s">
        <v>346</v>
      </c>
      <c r="N12" s="117" t="s">
        <v>1186</v>
      </c>
      <c r="O12" s="117" t="s">
        <v>1187</v>
      </c>
      <c r="P12" s="117" t="s">
        <v>1188</v>
      </c>
      <c r="Q12" s="118">
        <v>44285</v>
      </c>
      <c r="R12" s="118">
        <v>44375</v>
      </c>
      <c r="S12" s="117" t="s">
        <v>1189</v>
      </c>
      <c r="T12" s="118">
        <v>44285</v>
      </c>
      <c r="U12" s="120" t="s">
        <v>295</v>
      </c>
      <c r="V12" s="120" t="s">
        <v>295</v>
      </c>
      <c r="W12" s="121" t="s">
        <v>262</v>
      </c>
      <c r="X12" s="117" t="s">
        <v>1190</v>
      </c>
      <c r="Y12" s="117"/>
      <c r="Z12" s="117"/>
      <c r="AA12" s="117" t="s">
        <v>1</v>
      </c>
      <c r="AB12" s="117" t="s">
        <v>1191</v>
      </c>
      <c r="AC12" s="118">
        <v>44285</v>
      </c>
      <c r="AD12" s="117" t="s">
        <v>349</v>
      </c>
      <c r="AE12" s="117" t="s">
        <v>1148</v>
      </c>
      <c r="AF12" s="90" t="s">
        <v>1104</v>
      </c>
      <c r="AG12" s="90" t="s">
        <v>0</v>
      </c>
      <c r="AH12" s="93" t="s">
        <v>972</v>
      </c>
      <c r="AI12" s="93" t="b">
        <v>0</v>
      </c>
      <c r="AJ12" s="93"/>
      <c r="AK12" s="93" t="b">
        <v>0</v>
      </c>
      <c r="AL12" s="93"/>
      <c r="AM12" s="93" t="b">
        <v>0</v>
      </c>
      <c r="AN12" s="93" t="b">
        <v>0</v>
      </c>
      <c r="AO12" s="93" t="b">
        <v>0</v>
      </c>
      <c r="AP12" s="93" t="b">
        <v>0</v>
      </c>
      <c r="AQ12" s="93" t="b">
        <v>0</v>
      </c>
      <c r="AR12" s="93" t="b">
        <v>0</v>
      </c>
      <c r="AS12" s="93" t="b">
        <v>0</v>
      </c>
      <c r="AT12" s="107" t="s">
        <v>1192</v>
      </c>
      <c r="AU12" s="94">
        <v>9882334</v>
      </c>
      <c r="AV12" s="90" t="s">
        <v>973</v>
      </c>
      <c r="AW12" s="108" t="s">
        <v>991</v>
      </c>
      <c r="AX12" s="91">
        <v>44509</v>
      </c>
      <c r="AY12" s="108" t="s">
        <v>1136</v>
      </c>
      <c r="AZ12" s="90" t="s">
        <v>14</v>
      </c>
      <c r="BA12" s="90" t="s">
        <v>100</v>
      </c>
      <c r="BB12" s="90" t="s">
        <v>43</v>
      </c>
      <c r="BC12" s="90"/>
      <c r="BD12" s="90" t="s">
        <v>756</v>
      </c>
      <c r="BE12" s="90"/>
      <c r="BF12" s="90"/>
      <c r="BG12" s="91"/>
      <c r="BH12" s="93" t="b">
        <v>0</v>
      </c>
      <c r="BI12" s="90"/>
      <c r="BJ12" s="90"/>
      <c r="BK12" s="90" t="s">
        <v>1105</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x14ac:dyDescent="0.3">
      <c r="A13" s="117" t="s">
        <v>1193</v>
      </c>
      <c r="B13" s="118">
        <v>44304</v>
      </c>
      <c r="C13" s="117" t="s">
        <v>1194</v>
      </c>
      <c r="D13" s="117" t="s">
        <v>364</v>
      </c>
      <c r="E13" s="119" t="s">
        <v>1125</v>
      </c>
      <c r="F13" s="117" t="s">
        <v>1126</v>
      </c>
      <c r="G13" s="117" t="s">
        <v>390</v>
      </c>
      <c r="H13" s="117" t="s">
        <v>1139</v>
      </c>
      <c r="I13" s="117" t="s">
        <v>14</v>
      </c>
      <c r="J13" s="117" t="s">
        <v>1131</v>
      </c>
      <c r="K13" s="117" t="s">
        <v>100</v>
      </c>
      <c r="L13" s="117" t="s">
        <v>1185</v>
      </c>
      <c r="M13" s="119" t="s">
        <v>346</v>
      </c>
      <c r="N13" s="117" t="s">
        <v>1195</v>
      </c>
      <c r="O13" s="117" t="s">
        <v>1196</v>
      </c>
      <c r="P13" s="117" t="s">
        <v>1197</v>
      </c>
      <c r="Q13" s="118">
        <v>44304</v>
      </c>
      <c r="R13" s="118">
        <v>44394</v>
      </c>
      <c r="S13" s="117" t="s">
        <v>1198</v>
      </c>
      <c r="T13" s="118">
        <v>44308</v>
      </c>
      <c r="U13" s="120" t="s">
        <v>295</v>
      </c>
      <c r="V13" s="120" t="s">
        <v>295</v>
      </c>
      <c r="W13" s="121" t="s">
        <v>262</v>
      </c>
      <c r="X13" s="117" t="s">
        <v>1199</v>
      </c>
      <c r="Y13" s="117"/>
      <c r="Z13" s="117"/>
      <c r="AA13" s="117" t="s">
        <v>4</v>
      </c>
      <c r="AB13" s="117" t="s">
        <v>1200</v>
      </c>
      <c r="AC13" s="118">
        <v>44308</v>
      </c>
      <c r="AD13" s="117" t="s">
        <v>349</v>
      </c>
      <c r="AE13" s="117" t="s">
        <v>1122</v>
      </c>
      <c r="AF13" s="90" t="s">
        <v>1104</v>
      </c>
      <c r="AG13" s="90" t="s">
        <v>0</v>
      </c>
      <c r="AH13" s="93" t="s">
        <v>972</v>
      </c>
      <c r="AI13" s="93" t="b">
        <v>0</v>
      </c>
      <c r="AJ13" s="93"/>
      <c r="AK13" s="93" t="b">
        <v>0</v>
      </c>
      <c r="AL13" s="93"/>
      <c r="AM13" s="93" t="b">
        <v>0</v>
      </c>
      <c r="AN13" s="93" t="b">
        <v>0</v>
      </c>
      <c r="AO13" s="93" t="b">
        <v>0</v>
      </c>
      <c r="AP13" s="93" t="b">
        <v>0</v>
      </c>
      <c r="AQ13" s="93" t="b">
        <v>0</v>
      </c>
      <c r="AR13" s="93" t="b">
        <v>0</v>
      </c>
      <c r="AS13" s="93" t="b">
        <v>0</v>
      </c>
      <c r="AT13" s="107" t="s">
        <v>1201</v>
      </c>
      <c r="AU13" s="94">
        <v>9882334</v>
      </c>
      <c r="AV13" s="90" t="s">
        <v>973</v>
      </c>
      <c r="AW13" s="108" t="s">
        <v>991</v>
      </c>
      <c r="AX13" s="91">
        <v>44509</v>
      </c>
      <c r="AY13" s="108" t="s">
        <v>1136</v>
      </c>
      <c r="AZ13" s="90" t="s">
        <v>14</v>
      </c>
      <c r="BA13" s="90" t="s">
        <v>100</v>
      </c>
      <c r="BB13" s="90" t="s">
        <v>43</v>
      </c>
      <c r="BC13" s="90"/>
      <c r="BD13" s="90" t="s">
        <v>756</v>
      </c>
      <c r="BE13" s="90"/>
      <c r="BF13" s="90"/>
      <c r="BG13" s="91"/>
      <c r="BH13" s="93" t="b">
        <v>0</v>
      </c>
      <c r="BI13" s="90"/>
      <c r="BJ13" s="90"/>
      <c r="BK13" s="90" t="s">
        <v>1105</v>
      </c>
      <c r="BL13" s="90"/>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x14ac:dyDescent="0.3">
      <c r="A14" s="117" t="s">
        <v>1202</v>
      </c>
      <c r="B14" s="118">
        <v>44260</v>
      </c>
      <c r="C14" s="117" t="s">
        <v>1203</v>
      </c>
      <c r="D14" s="117" t="s">
        <v>364</v>
      </c>
      <c r="E14" s="119" t="s">
        <v>1125</v>
      </c>
      <c r="F14" s="117" t="s">
        <v>1126</v>
      </c>
      <c r="G14" s="117" t="s">
        <v>390</v>
      </c>
      <c r="H14" s="117" t="s">
        <v>1139</v>
      </c>
      <c r="I14" s="117" t="s">
        <v>14</v>
      </c>
      <c r="J14" s="117" t="s">
        <v>1131</v>
      </c>
      <c r="K14" s="117" t="s">
        <v>100</v>
      </c>
      <c r="L14" s="117" t="s">
        <v>1185</v>
      </c>
      <c r="M14" s="119" t="s">
        <v>346</v>
      </c>
      <c r="N14" s="117" t="s">
        <v>1204</v>
      </c>
      <c r="O14" s="117" t="s">
        <v>1205</v>
      </c>
      <c r="P14" s="117" t="s">
        <v>1206</v>
      </c>
      <c r="Q14" s="118">
        <v>44308</v>
      </c>
      <c r="R14" s="118">
        <v>44352</v>
      </c>
      <c r="S14" s="117" t="s">
        <v>1207</v>
      </c>
      <c r="T14" s="118">
        <v>44321</v>
      </c>
      <c r="U14" s="120" t="s">
        <v>295</v>
      </c>
      <c r="V14" s="120" t="s">
        <v>295</v>
      </c>
      <c r="W14" s="121" t="s">
        <v>262</v>
      </c>
      <c r="X14" s="117" t="s">
        <v>1208</v>
      </c>
      <c r="Y14" s="117"/>
      <c r="Z14" s="117"/>
      <c r="AA14" s="117" t="s">
        <v>4</v>
      </c>
      <c r="AB14" s="117" t="s">
        <v>1209</v>
      </c>
      <c r="AC14" s="118">
        <v>44321</v>
      </c>
      <c r="AD14" s="117" t="s">
        <v>349</v>
      </c>
      <c r="AE14" s="117" t="s">
        <v>1122</v>
      </c>
      <c r="AF14" s="90" t="s">
        <v>1104</v>
      </c>
      <c r="AG14" s="90" t="s">
        <v>0</v>
      </c>
      <c r="AH14" s="93" t="s">
        <v>972</v>
      </c>
      <c r="AI14" s="93" t="b">
        <v>0</v>
      </c>
      <c r="AJ14" s="93"/>
      <c r="AK14" s="93" t="b">
        <v>0</v>
      </c>
      <c r="AL14" s="93"/>
      <c r="AM14" s="93" t="b">
        <v>0</v>
      </c>
      <c r="AN14" s="93" t="b">
        <v>0</v>
      </c>
      <c r="AO14" s="93" t="b">
        <v>0</v>
      </c>
      <c r="AP14" s="93" t="b">
        <v>0</v>
      </c>
      <c r="AQ14" s="93" t="b">
        <v>0</v>
      </c>
      <c r="AR14" s="93" t="b">
        <v>0</v>
      </c>
      <c r="AS14" s="93" t="b">
        <v>0</v>
      </c>
      <c r="AT14" s="107" t="s">
        <v>1210</v>
      </c>
      <c r="AU14" s="94">
        <v>9882334</v>
      </c>
      <c r="AV14" s="90" t="s">
        <v>973</v>
      </c>
      <c r="AW14" s="108" t="s">
        <v>991</v>
      </c>
      <c r="AX14" s="91">
        <v>44509</v>
      </c>
      <c r="AY14" s="108" t="s">
        <v>1136</v>
      </c>
      <c r="AZ14" s="90" t="s">
        <v>14</v>
      </c>
      <c r="BA14" s="90" t="s">
        <v>100</v>
      </c>
      <c r="BB14" s="90" t="s">
        <v>43</v>
      </c>
      <c r="BC14" s="90"/>
      <c r="BD14" s="90" t="s">
        <v>756</v>
      </c>
      <c r="BE14" s="90"/>
      <c r="BF14" s="90"/>
      <c r="BG14" s="91"/>
      <c r="BH14" s="93" t="b">
        <v>0</v>
      </c>
      <c r="BI14" s="90"/>
      <c r="BJ14" s="90"/>
      <c r="BK14" s="90" t="s">
        <v>1105</v>
      </c>
      <c r="BL14" s="90"/>
      <c r="BM14" s="90"/>
      <c r="BN14" s="90"/>
      <c r="BO14" s="90"/>
      <c r="BP14" s="90"/>
      <c r="BQ14" s="90"/>
      <c r="BR14" s="95"/>
      <c r="BS14" s="90"/>
      <c r="BT14" s="90"/>
      <c r="BU14" s="90"/>
      <c r="BV14" s="90"/>
      <c r="BW14" s="90"/>
      <c r="BX14" s="90"/>
      <c r="BY14" s="90"/>
      <c r="BZ14" s="90"/>
      <c r="CA14" s="90"/>
      <c r="CB14" s="90"/>
      <c r="CC14" s="91"/>
      <c r="CD14" s="90"/>
      <c r="CE14" s="91"/>
      <c r="CF14" s="90"/>
      <c r="CG14" s="91"/>
      <c r="CH14" s="90"/>
      <c r="CI14" s="91"/>
      <c r="CJ14" s="90"/>
      <c r="CK14" s="91"/>
      <c r="CL14" s="90"/>
      <c r="CM14" s="91"/>
      <c r="CN14" s="96"/>
      <c r="CO14" s="91"/>
      <c r="CP14" s="90"/>
      <c r="CQ14" s="90"/>
      <c r="CR14" s="90"/>
      <c r="CS14" s="90"/>
      <c r="CT14" s="91"/>
      <c r="CU14" s="90"/>
      <c r="CV14" s="97"/>
    </row>
    <row r="15" spans="1:100" ht="15" customHeight="1" x14ac:dyDescent="0.3">
      <c r="A15" s="117" t="s">
        <v>1211</v>
      </c>
      <c r="B15" s="118">
        <v>44320</v>
      </c>
      <c r="C15" s="117" t="s">
        <v>1212</v>
      </c>
      <c r="D15" s="117" t="s">
        <v>358</v>
      </c>
      <c r="E15" s="119" t="s">
        <v>1109</v>
      </c>
      <c r="F15" s="117" t="s">
        <v>1110</v>
      </c>
      <c r="G15" s="117" t="s">
        <v>379</v>
      </c>
      <c r="H15" s="117" t="s">
        <v>1213</v>
      </c>
      <c r="I15" s="117" t="s">
        <v>360</v>
      </c>
      <c r="J15" s="117" t="s">
        <v>1111</v>
      </c>
      <c r="K15" s="117" t="s">
        <v>336</v>
      </c>
      <c r="L15" s="117" t="s">
        <v>1214</v>
      </c>
      <c r="M15" s="119" t="s">
        <v>346</v>
      </c>
      <c r="N15" s="117" t="s">
        <v>1215</v>
      </c>
      <c r="O15" s="117" t="s">
        <v>1216</v>
      </c>
      <c r="P15" s="117" t="s">
        <v>1217</v>
      </c>
      <c r="Q15" s="118">
        <v>44321</v>
      </c>
      <c r="R15" s="118">
        <v>44333</v>
      </c>
      <c r="S15" s="117" t="s">
        <v>1218</v>
      </c>
      <c r="T15" s="118">
        <v>44323</v>
      </c>
      <c r="U15" s="120" t="s">
        <v>295</v>
      </c>
      <c r="V15" s="120" t="s">
        <v>295</v>
      </c>
      <c r="W15" s="121" t="s">
        <v>262</v>
      </c>
      <c r="X15" s="117" t="s">
        <v>1218</v>
      </c>
      <c r="Y15" s="117"/>
      <c r="Z15" s="117"/>
      <c r="AA15" s="117" t="s">
        <v>5</v>
      </c>
      <c r="AB15" s="117" t="s">
        <v>1219</v>
      </c>
      <c r="AC15" s="118">
        <v>44323</v>
      </c>
      <c r="AD15" s="117" t="s">
        <v>349</v>
      </c>
      <c r="AE15" s="117" t="s">
        <v>1220</v>
      </c>
      <c r="AF15" s="90" t="s">
        <v>1104</v>
      </c>
      <c r="AG15" s="90" t="s">
        <v>0</v>
      </c>
      <c r="AH15" s="93" t="s">
        <v>972</v>
      </c>
      <c r="AI15" s="93" t="b">
        <v>0</v>
      </c>
      <c r="AJ15" s="93"/>
      <c r="AK15" s="93" t="b">
        <v>0</v>
      </c>
      <c r="AL15" s="93"/>
      <c r="AM15" s="93" t="b">
        <v>0</v>
      </c>
      <c r="AN15" s="93" t="b">
        <v>0</v>
      </c>
      <c r="AO15" s="93" t="b">
        <v>0</v>
      </c>
      <c r="AP15" s="93" t="b">
        <v>0</v>
      </c>
      <c r="AQ15" s="93" t="b">
        <v>0</v>
      </c>
      <c r="AR15" s="93" t="b">
        <v>0</v>
      </c>
      <c r="AS15" s="93" t="b">
        <v>0</v>
      </c>
      <c r="AT15" s="107" t="s">
        <v>1228</v>
      </c>
      <c r="AU15" s="94">
        <v>9882334</v>
      </c>
      <c r="AV15" s="90" t="s">
        <v>973</v>
      </c>
      <c r="AW15" s="108" t="s">
        <v>991</v>
      </c>
      <c r="AX15" s="91">
        <v>44509</v>
      </c>
      <c r="AY15" s="108" t="s">
        <v>1136</v>
      </c>
      <c r="AZ15" s="90"/>
      <c r="BA15" s="90"/>
      <c r="BB15" s="90" t="s">
        <v>336</v>
      </c>
      <c r="BC15" s="90" t="s">
        <v>1221</v>
      </c>
      <c r="BD15" s="90" t="s">
        <v>756</v>
      </c>
      <c r="BE15" s="90"/>
      <c r="BF15" s="90"/>
      <c r="BG15" s="91"/>
      <c r="BH15" s="93" t="b">
        <v>0</v>
      </c>
      <c r="BI15" s="90"/>
      <c r="BJ15" s="90"/>
      <c r="BK15" s="90" t="s">
        <v>1105</v>
      </c>
      <c r="BL15" s="90" t="s">
        <v>1222</v>
      </c>
      <c r="BM15" s="90" t="s">
        <v>849</v>
      </c>
      <c r="BN15" s="90" t="s">
        <v>1223</v>
      </c>
      <c r="BO15" s="90" t="s">
        <v>1224</v>
      </c>
      <c r="BP15" s="90" t="s">
        <v>1112</v>
      </c>
      <c r="BQ15" s="90" t="s">
        <v>1113</v>
      </c>
      <c r="BR15" s="95">
        <v>355.70175925925923</v>
      </c>
      <c r="BS15" s="90" t="s">
        <v>1225</v>
      </c>
      <c r="BT15" s="90" t="s">
        <v>1226</v>
      </c>
      <c r="BU15" s="90" t="s">
        <v>1227</v>
      </c>
      <c r="BV15" s="90" t="s">
        <v>1114</v>
      </c>
      <c r="BW15" s="90" t="s">
        <v>1115</v>
      </c>
      <c r="BX15" s="90" t="s">
        <v>1116</v>
      </c>
      <c r="BY15" s="90" t="s">
        <v>1117</v>
      </c>
      <c r="BZ15" s="90" t="s">
        <v>346</v>
      </c>
      <c r="CA15" s="90" t="s">
        <v>341</v>
      </c>
      <c r="CB15" s="90" t="s">
        <v>1220</v>
      </c>
      <c r="CC15" s="91">
        <v>44322</v>
      </c>
      <c r="CD15" s="90" t="s">
        <v>346</v>
      </c>
      <c r="CE15" s="91"/>
      <c r="CF15" s="90" t="s">
        <v>346</v>
      </c>
      <c r="CG15" s="91"/>
      <c r="CH15" s="90" t="s">
        <v>346</v>
      </c>
      <c r="CI15" s="91"/>
      <c r="CJ15" s="90" t="s">
        <v>341</v>
      </c>
      <c r="CK15" s="91">
        <v>44322</v>
      </c>
      <c r="CL15" s="90" t="s">
        <v>341</v>
      </c>
      <c r="CM15" s="91">
        <v>44320</v>
      </c>
      <c r="CN15" s="96"/>
      <c r="CO15" s="91"/>
      <c r="CP15" s="90"/>
      <c r="CQ15" s="90"/>
      <c r="CR15" s="90"/>
      <c r="CS15" s="90"/>
      <c r="CT15" s="91"/>
      <c r="CU15" s="90"/>
      <c r="CV15" s="97"/>
    </row>
    <row r="16" spans="1:100" ht="15" customHeight="1" x14ac:dyDescent="0.3">
      <c r="A16" s="117" t="s">
        <v>1230</v>
      </c>
      <c r="B16" s="118">
        <v>44334</v>
      </c>
      <c r="C16" s="117" t="s">
        <v>1229</v>
      </c>
      <c r="D16" s="117" t="s">
        <v>364</v>
      </c>
      <c r="E16" s="119" t="s">
        <v>1125</v>
      </c>
      <c r="F16" s="117" t="s">
        <v>1126</v>
      </c>
      <c r="G16" s="117" t="s">
        <v>390</v>
      </c>
      <c r="H16" s="117" t="s">
        <v>1231</v>
      </c>
      <c r="I16" s="117" t="s">
        <v>17</v>
      </c>
      <c r="J16" s="117" t="s">
        <v>1130</v>
      </c>
      <c r="K16" s="117" t="s">
        <v>188</v>
      </c>
      <c r="L16" s="117" t="s">
        <v>1232</v>
      </c>
      <c r="M16" s="119" t="s">
        <v>346</v>
      </c>
      <c r="N16" s="117" t="s">
        <v>1233</v>
      </c>
      <c r="O16" s="117" t="s">
        <v>1234</v>
      </c>
      <c r="P16" s="117" t="s">
        <v>1235</v>
      </c>
      <c r="Q16" s="118">
        <v>44334</v>
      </c>
      <c r="R16" s="118">
        <v>44334</v>
      </c>
      <c r="S16" s="117" t="s">
        <v>1236</v>
      </c>
      <c r="T16" s="118">
        <v>44334</v>
      </c>
      <c r="U16" s="120" t="s">
        <v>295</v>
      </c>
      <c r="V16" s="120" t="s">
        <v>295</v>
      </c>
      <c r="W16" s="121" t="s">
        <v>262</v>
      </c>
      <c r="X16" s="117" t="s">
        <v>1237</v>
      </c>
      <c r="Y16" s="117"/>
      <c r="Z16" s="117"/>
      <c r="AA16" s="117" t="s">
        <v>4</v>
      </c>
      <c r="AB16" s="117" t="s">
        <v>1238</v>
      </c>
      <c r="AC16" s="118">
        <v>44334</v>
      </c>
      <c r="AD16" s="117" t="s">
        <v>349</v>
      </c>
      <c r="AE16" s="117" t="s">
        <v>1122</v>
      </c>
      <c r="AF16" s="90" t="s">
        <v>1104</v>
      </c>
      <c r="AG16" s="90" t="s">
        <v>0</v>
      </c>
      <c r="AH16" s="93" t="s">
        <v>972</v>
      </c>
      <c r="AI16" s="93" t="b">
        <v>0</v>
      </c>
      <c r="AJ16" s="93"/>
      <c r="AK16" s="93" t="b">
        <v>0</v>
      </c>
      <c r="AL16" s="93"/>
      <c r="AM16" s="93" t="b">
        <v>0</v>
      </c>
      <c r="AN16" s="93" t="b">
        <v>0</v>
      </c>
      <c r="AO16" s="93" t="b">
        <v>0</v>
      </c>
      <c r="AP16" s="93" t="b">
        <v>0</v>
      </c>
      <c r="AQ16" s="93" t="b">
        <v>0</v>
      </c>
      <c r="AR16" s="93" t="b">
        <v>0</v>
      </c>
      <c r="AS16" s="93" t="b">
        <v>0</v>
      </c>
      <c r="AT16" s="107" t="s">
        <v>1239</v>
      </c>
      <c r="AU16" s="94">
        <v>9882334</v>
      </c>
      <c r="AV16" s="90" t="s">
        <v>973</v>
      </c>
      <c r="AW16" s="108" t="s">
        <v>991</v>
      </c>
      <c r="AX16" s="91">
        <v>44509</v>
      </c>
      <c r="AY16" s="108" t="s">
        <v>1136</v>
      </c>
      <c r="AZ16" s="90" t="s">
        <v>17</v>
      </c>
      <c r="BA16" s="90" t="s">
        <v>188</v>
      </c>
      <c r="BB16" s="90" t="s">
        <v>34</v>
      </c>
      <c r="BC16" s="90"/>
      <c r="BD16" s="90" t="s">
        <v>756</v>
      </c>
      <c r="BE16" s="90"/>
      <c r="BF16" s="90"/>
      <c r="BG16" s="91"/>
      <c r="BH16" s="93" t="b">
        <v>0</v>
      </c>
      <c r="BI16" s="90"/>
      <c r="BJ16" s="90"/>
      <c r="BK16" s="90" t="s">
        <v>1105</v>
      </c>
      <c r="BL16" s="90"/>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x14ac:dyDescent="0.3">
      <c r="A17" s="117" t="s">
        <v>1240</v>
      </c>
      <c r="B17" s="118">
        <v>44346</v>
      </c>
      <c r="C17" s="117" t="s">
        <v>1241</v>
      </c>
      <c r="D17" s="117" t="s">
        <v>364</v>
      </c>
      <c r="E17" s="119" t="s">
        <v>1125</v>
      </c>
      <c r="F17" s="117" t="s">
        <v>1126</v>
      </c>
      <c r="G17" s="117" t="s">
        <v>390</v>
      </c>
      <c r="H17" s="117" t="s">
        <v>1231</v>
      </c>
      <c r="I17" s="117" t="s">
        <v>17</v>
      </c>
      <c r="J17" s="117" t="s">
        <v>1130</v>
      </c>
      <c r="K17" s="117" t="s">
        <v>187</v>
      </c>
      <c r="L17" s="117" t="s">
        <v>1242</v>
      </c>
      <c r="M17" s="119" t="s">
        <v>346</v>
      </c>
      <c r="N17" s="117" t="s">
        <v>1243</v>
      </c>
      <c r="O17" s="117" t="s">
        <v>1244</v>
      </c>
      <c r="P17" s="117" t="s">
        <v>1245</v>
      </c>
      <c r="Q17" s="118">
        <v>44346</v>
      </c>
      <c r="R17" s="118">
        <v>44436</v>
      </c>
      <c r="S17" s="117" t="s">
        <v>1246</v>
      </c>
      <c r="T17" s="118">
        <v>44377</v>
      </c>
      <c r="U17" s="120" t="s">
        <v>295</v>
      </c>
      <c r="V17" s="120" t="s">
        <v>295</v>
      </c>
      <c r="W17" s="121" t="s">
        <v>262</v>
      </c>
      <c r="X17" s="117" t="s">
        <v>1247</v>
      </c>
      <c r="Y17" s="117"/>
      <c r="Z17" s="117"/>
      <c r="AA17" s="117" t="s">
        <v>1</v>
      </c>
      <c r="AB17" s="117" t="s">
        <v>1248</v>
      </c>
      <c r="AC17" s="118">
        <v>44347</v>
      </c>
      <c r="AD17" s="117" t="s">
        <v>349</v>
      </c>
      <c r="AE17" s="117" t="s">
        <v>1122</v>
      </c>
      <c r="AF17" s="90" t="s">
        <v>1104</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1250</v>
      </c>
      <c r="AU17" s="94">
        <v>9882334</v>
      </c>
      <c r="AV17" s="90" t="s">
        <v>973</v>
      </c>
      <c r="AW17" s="108" t="s">
        <v>991</v>
      </c>
      <c r="AX17" s="91">
        <v>44509</v>
      </c>
      <c r="AY17" s="108" t="s">
        <v>1136</v>
      </c>
      <c r="AZ17" s="90" t="s">
        <v>17</v>
      </c>
      <c r="BA17" s="90" t="s">
        <v>187</v>
      </c>
      <c r="BB17" s="90" t="s">
        <v>43</v>
      </c>
      <c r="BC17" s="90"/>
      <c r="BD17" s="90" t="s">
        <v>756</v>
      </c>
      <c r="BE17" s="90"/>
      <c r="BF17" s="90"/>
      <c r="BG17" s="91"/>
      <c r="BH17" s="93" t="b">
        <v>0</v>
      </c>
      <c r="BI17" s="90" t="s">
        <v>1249</v>
      </c>
      <c r="BJ17" s="90"/>
      <c r="BK17" s="90" t="s">
        <v>1105</v>
      </c>
      <c r="BL17" s="90"/>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x14ac:dyDescent="0.3">
      <c r="A18" s="117" t="s">
        <v>1251</v>
      </c>
      <c r="B18" s="118">
        <v>44247</v>
      </c>
      <c r="C18" s="117" t="s">
        <v>1252</v>
      </c>
      <c r="D18" s="117" t="s">
        <v>352</v>
      </c>
      <c r="E18" s="119" t="s">
        <v>1118</v>
      </c>
      <c r="F18" s="117" t="s">
        <v>1119</v>
      </c>
      <c r="G18" s="117" t="s">
        <v>374</v>
      </c>
      <c r="H18" s="117" t="s">
        <v>1253</v>
      </c>
      <c r="I18" s="117" t="s">
        <v>354</v>
      </c>
      <c r="J18" s="117" t="s">
        <v>1120</v>
      </c>
      <c r="K18" s="117" t="s">
        <v>405</v>
      </c>
      <c r="L18" s="117" t="s">
        <v>1254</v>
      </c>
      <c r="M18" s="119" t="s">
        <v>346</v>
      </c>
      <c r="N18" s="117" t="s">
        <v>1255</v>
      </c>
      <c r="O18" s="117" t="s">
        <v>1256</v>
      </c>
      <c r="P18" s="117" t="s">
        <v>1257</v>
      </c>
      <c r="Q18" s="118">
        <v>44247</v>
      </c>
      <c r="R18" s="118">
        <v>44337</v>
      </c>
      <c r="S18" s="117" t="s">
        <v>1258</v>
      </c>
      <c r="T18" s="118">
        <v>44260</v>
      </c>
      <c r="U18" s="120" t="s">
        <v>295</v>
      </c>
      <c r="V18" s="120" t="s">
        <v>295</v>
      </c>
      <c r="W18" s="121" t="s">
        <v>262</v>
      </c>
      <c r="X18" s="117" t="s">
        <v>1259</v>
      </c>
      <c r="Y18" s="117"/>
      <c r="Z18" s="117"/>
      <c r="AA18" s="117" t="s">
        <v>5</v>
      </c>
      <c r="AB18" s="117" t="s">
        <v>1260</v>
      </c>
      <c r="AC18" s="118">
        <v>44260</v>
      </c>
      <c r="AD18" s="117" t="s">
        <v>349</v>
      </c>
      <c r="AE18" s="117" t="s">
        <v>1122</v>
      </c>
      <c r="AF18" s="90" t="s">
        <v>1104</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1261</v>
      </c>
      <c r="AU18" s="94">
        <v>9882334</v>
      </c>
      <c r="AV18" s="90" t="s">
        <v>973</v>
      </c>
      <c r="AW18" s="108" t="s">
        <v>991</v>
      </c>
      <c r="AX18" s="91">
        <v>44509</v>
      </c>
      <c r="AY18" s="108" t="s">
        <v>1136</v>
      </c>
      <c r="AZ18" s="90" t="s">
        <v>24</v>
      </c>
      <c r="BA18" s="90" t="s">
        <v>191</v>
      </c>
      <c r="BB18" s="90" t="s">
        <v>32</v>
      </c>
      <c r="BC18" s="90"/>
      <c r="BD18" s="90" t="s">
        <v>26</v>
      </c>
      <c r="BE18" s="90"/>
      <c r="BF18" s="90"/>
      <c r="BG18" s="91"/>
      <c r="BH18" s="93" t="b">
        <v>0</v>
      </c>
      <c r="BI18" s="90" t="s">
        <v>499</v>
      </c>
      <c r="BJ18" s="90"/>
      <c r="BK18" s="90" t="s">
        <v>1105</v>
      </c>
      <c r="BL18" s="90"/>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x14ac:dyDescent="0.3">
      <c r="A19" s="117" t="s">
        <v>1262</v>
      </c>
      <c r="B19" s="118">
        <v>44247</v>
      </c>
      <c r="C19" s="117" t="s">
        <v>1263</v>
      </c>
      <c r="D19" s="117" t="s">
        <v>352</v>
      </c>
      <c r="E19" s="119" t="s">
        <v>1118</v>
      </c>
      <c r="F19" s="117" t="s">
        <v>1119</v>
      </c>
      <c r="G19" s="117" t="s">
        <v>374</v>
      </c>
      <c r="H19" s="117" t="s">
        <v>1134</v>
      </c>
      <c r="I19" s="117" t="s">
        <v>354</v>
      </c>
      <c r="J19" s="117" t="s">
        <v>1120</v>
      </c>
      <c r="K19" s="117" t="s">
        <v>412</v>
      </c>
      <c r="L19" s="117" t="s">
        <v>1123</v>
      </c>
      <c r="M19" s="119" t="s">
        <v>346</v>
      </c>
      <c r="N19" s="117" t="s">
        <v>1264</v>
      </c>
      <c r="O19" s="117" t="s">
        <v>1265</v>
      </c>
      <c r="P19" s="117" t="s">
        <v>1266</v>
      </c>
      <c r="Q19" s="118">
        <v>44247</v>
      </c>
      <c r="R19" s="118">
        <v>44337</v>
      </c>
      <c r="S19" s="117" t="s">
        <v>1267</v>
      </c>
      <c r="T19" s="118">
        <v>44267</v>
      </c>
      <c r="U19" s="120" t="s">
        <v>295</v>
      </c>
      <c r="V19" s="120" t="s">
        <v>295</v>
      </c>
      <c r="W19" s="121" t="s">
        <v>262</v>
      </c>
      <c r="X19" s="117" t="s">
        <v>1268</v>
      </c>
      <c r="Y19" s="117"/>
      <c r="Z19" s="117"/>
      <c r="AA19" s="117" t="s">
        <v>804</v>
      </c>
      <c r="AB19" s="117" t="s">
        <v>1269</v>
      </c>
      <c r="AC19" s="118">
        <v>44267</v>
      </c>
      <c r="AD19" s="117" t="s">
        <v>349</v>
      </c>
      <c r="AE19" s="117" t="s">
        <v>1122</v>
      </c>
      <c r="AF19" s="90" t="s">
        <v>1104</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1270</v>
      </c>
      <c r="AU19" s="94">
        <v>9882334</v>
      </c>
      <c r="AV19" s="90" t="s">
        <v>973</v>
      </c>
      <c r="AW19" s="108" t="s">
        <v>991</v>
      </c>
      <c r="AX19" s="91">
        <v>44509</v>
      </c>
      <c r="AY19" s="108" t="s">
        <v>1136</v>
      </c>
      <c r="AZ19" s="90" t="s">
        <v>23</v>
      </c>
      <c r="BA19" s="90" t="s">
        <v>165</v>
      </c>
      <c r="BB19" s="90" t="s">
        <v>38</v>
      </c>
      <c r="BC19" s="90"/>
      <c r="BD19" s="90" t="s">
        <v>28</v>
      </c>
      <c r="BE19" s="90"/>
      <c r="BF19" s="90"/>
      <c r="BG19" s="91"/>
      <c r="BH19" s="93" t="b">
        <v>0</v>
      </c>
      <c r="BI19" s="90" t="s">
        <v>1135</v>
      </c>
      <c r="BJ19" s="90"/>
      <c r="BK19" s="90" t="s">
        <v>1105</v>
      </c>
      <c r="BL19" s="90"/>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x14ac:dyDescent="0.3">
      <c r="A20" s="117" t="s">
        <v>1271</v>
      </c>
      <c r="B20" s="118">
        <v>44247</v>
      </c>
      <c r="C20" s="117" t="s">
        <v>1272</v>
      </c>
      <c r="D20" s="117" t="s">
        <v>352</v>
      </c>
      <c r="E20" s="119" t="s">
        <v>1118</v>
      </c>
      <c r="F20" s="117" t="s">
        <v>1119</v>
      </c>
      <c r="G20" s="117" t="s">
        <v>374</v>
      </c>
      <c r="H20" s="117" t="s">
        <v>1253</v>
      </c>
      <c r="I20" s="117" t="s">
        <v>354</v>
      </c>
      <c r="J20" s="117" t="s">
        <v>1120</v>
      </c>
      <c r="K20" s="117" t="s">
        <v>412</v>
      </c>
      <c r="L20" s="117" t="s">
        <v>1123</v>
      </c>
      <c r="M20" s="119" t="s">
        <v>346</v>
      </c>
      <c r="N20" s="117" t="s">
        <v>1273</v>
      </c>
      <c r="O20" s="117" t="s">
        <v>1274</v>
      </c>
      <c r="P20" s="117" t="s">
        <v>1275</v>
      </c>
      <c r="Q20" s="118">
        <v>44248</v>
      </c>
      <c r="R20" s="118">
        <v>44337</v>
      </c>
      <c r="S20" s="117" t="s">
        <v>1276</v>
      </c>
      <c r="T20" s="118">
        <v>44255</v>
      </c>
      <c r="U20" s="120" t="s">
        <v>295</v>
      </c>
      <c r="V20" s="120" t="s">
        <v>295</v>
      </c>
      <c r="W20" s="121" t="s">
        <v>262</v>
      </c>
      <c r="X20" s="117" t="s">
        <v>1277</v>
      </c>
      <c r="Y20" s="117"/>
      <c r="Z20" s="117"/>
      <c r="AA20" s="117" t="s">
        <v>804</v>
      </c>
      <c r="AB20" s="117" t="s">
        <v>1277</v>
      </c>
      <c r="AC20" s="118">
        <v>44255</v>
      </c>
      <c r="AD20" s="117" t="s">
        <v>349</v>
      </c>
      <c r="AE20" s="117" t="s">
        <v>1122</v>
      </c>
      <c r="AF20" s="90" t="s">
        <v>1104</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1278</v>
      </c>
      <c r="AU20" s="94">
        <v>9882334</v>
      </c>
      <c r="AV20" s="90" t="s">
        <v>973</v>
      </c>
      <c r="AW20" s="108" t="s">
        <v>991</v>
      </c>
      <c r="AX20" s="91">
        <v>44509</v>
      </c>
      <c r="AY20" s="108" t="s">
        <v>1136</v>
      </c>
      <c r="AZ20" s="90" t="s">
        <v>23</v>
      </c>
      <c r="BA20" s="90" t="s">
        <v>165</v>
      </c>
      <c r="BB20" s="90" t="s">
        <v>38</v>
      </c>
      <c r="BC20" s="90"/>
      <c r="BD20" s="90" t="s">
        <v>28</v>
      </c>
      <c r="BE20" s="90"/>
      <c r="BF20" s="90"/>
      <c r="BG20" s="91"/>
      <c r="BH20" s="93" t="b">
        <v>0</v>
      </c>
      <c r="BI20" s="90" t="s">
        <v>1135</v>
      </c>
      <c r="BJ20" s="90"/>
      <c r="BK20" s="90" t="s">
        <v>1105</v>
      </c>
      <c r="BL20" s="90"/>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x14ac:dyDescent="0.3">
      <c r="A21" s="117" t="s">
        <v>1279</v>
      </c>
      <c r="B21" s="118">
        <v>44247</v>
      </c>
      <c r="C21" s="117" t="s">
        <v>1280</v>
      </c>
      <c r="D21" s="117" t="s">
        <v>352</v>
      </c>
      <c r="E21" s="119" t="s">
        <v>1118</v>
      </c>
      <c r="F21" s="117" t="s">
        <v>1119</v>
      </c>
      <c r="G21" s="117" t="s">
        <v>374</v>
      </c>
      <c r="H21" s="117" t="s">
        <v>1281</v>
      </c>
      <c r="I21" s="117" t="s">
        <v>354</v>
      </c>
      <c r="J21" s="117" t="s">
        <v>1120</v>
      </c>
      <c r="K21" s="117" t="s">
        <v>409</v>
      </c>
      <c r="L21" s="117" t="s">
        <v>1132</v>
      </c>
      <c r="M21" s="119" t="s">
        <v>346</v>
      </c>
      <c r="N21" s="117" t="s">
        <v>1282</v>
      </c>
      <c r="O21" s="117" t="s">
        <v>1283</v>
      </c>
      <c r="P21" s="117" t="s">
        <v>1284</v>
      </c>
      <c r="Q21" s="118">
        <v>44247</v>
      </c>
      <c r="R21" s="118">
        <v>44337</v>
      </c>
      <c r="S21" s="117" t="s">
        <v>1285</v>
      </c>
      <c r="T21" s="118">
        <v>44255</v>
      </c>
      <c r="U21" s="120" t="s">
        <v>295</v>
      </c>
      <c r="V21" s="120" t="s">
        <v>295</v>
      </c>
      <c r="W21" s="121" t="s">
        <v>262</v>
      </c>
      <c r="X21" s="117" t="s">
        <v>1286</v>
      </c>
      <c r="Y21" s="117"/>
      <c r="Z21" s="117"/>
      <c r="AA21" s="117" t="s">
        <v>3</v>
      </c>
      <c r="AB21" s="117" t="s">
        <v>1286</v>
      </c>
      <c r="AC21" s="118">
        <v>44255</v>
      </c>
      <c r="AD21" s="117" t="s">
        <v>349</v>
      </c>
      <c r="AE21" s="117" t="s">
        <v>1122</v>
      </c>
      <c r="AF21" s="90" t="s">
        <v>1104</v>
      </c>
      <c r="AG21" s="90" t="s">
        <v>0</v>
      </c>
      <c r="AH21" s="93" t="s">
        <v>972</v>
      </c>
      <c r="AI21" s="93" t="b">
        <v>0</v>
      </c>
      <c r="AJ21" s="93"/>
      <c r="AK21" s="93" t="b">
        <v>0</v>
      </c>
      <c r="AL21" s="93"/>
      <c r="AM21" s="93" t="b">
        <v>0</v>
      </c>
      <c r="AN21" s="93" t="b">
        <v>0</v>
      </c>
      <c r="AO21" s="93" t="b">
        <v>0</v>
      </c>
      <c r="AP21" s="93" t="b">
        <v>0</v>
      </c>
      <c r="AQ21" s="93" t="b">
        <v>0</v>
      </c>
      <c r="AR21" s="93" t="b">
        <v>0</v>
      </c>
      <c r="AS21" s="93" t="b">
        <v>0</v>
      </c>
      <c r="AT21" s="107" t="s">
        <v>1287</v>
      </c>
      <c r="AU21" s="94">
        <v>9882334</v>
      </c>
      <c r="AV21" s="90" t="s">
        <v>973</v>
      </c>
      <c r="AW21" s="108" t="s">
        <v>991</v>
      </c>
      <c r="AX21" s="91">
        <v>44509</v>
      </c>
      <c r="AY21" s="108" t="s">
        <v>1136</v>
      </c>
      <c r="AZ21" s="90" t="s">
        <v>12</v>
      </c>
      <c r="BA21" s="90" t="s">
        <v>177</v>
      </c>
      <c r="BB21" s="90" t="s">
        <v>36</v>
      </c>
      <c r="BC21" s="90"/>
      <c r="BD21" s="90" t="s">
        <v>28</v>
      </c>
      <c r="BE21" s="90"/>
      <c r="BF21" s="90"/>
      <c r="BG21" s="91"/>
      <c r="BH21" s="93" t="b">
        <v>0</v>
      </c>
      <c r="BI21" s="90" t="s">
        <v>499</v>
      </c>
      <c r="BJ21" s="90"/>
      <c r="BK21" s="90" t="s">
        <v>1105</v>
      </c>
      <c r="BL21" s="90"/>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x14ac:dyDescent="0.3">
      <c r="A22" s="117" t="s">
        <v>1288</v>
      </c>
      <c r="B22" s="118">
        <v>44247</v>
      </c>
      <c r="C22" s="117" t="s">
        <v>1289</v>
      </c>
      <c r="D22" s="117" t="s">
        <v>352</v>
      </c>
      <c r="E22" s="119" t="s">
        <v>1118</v>
      </c>
      <c r="F22" s="117" t="s">
        <v>1119</v>
      </c>
      <c r="G22" s="117" t="s">
        <v>374</v>
      </c>
      <c r="H22" s="117" t="s">
        <v>1134</v>
      </c>
      <c r="I22" s="117" t="s">
        <v>354</v>
      </c>
      <c r="J22" s="117" t="s">
        <v>1120</v>
      </c>
      <c r="K22" s="117" t="s">
        <v>420</v>
      </c>
      <c r="L22" s="117" t="s">
        <v>1290</v>
      </c>
      <c r="M22" s="119" t="s">
        <v>346</v>
      </c>
      <c r="N22" s="117" t="s">
        <v>1291</v>
      </c>
      <c r="O22" s="117" t="s">
        <v>1292</v>
      </c>
      <c r="P22" s="117" t="s">
        <v>1293</v>
      </c>
      <c r="Q22" s="118">
        <v>44247</v>
      </c>
      <c r="R22" s="118">
        <v>44337</v>
      </c>
      <c r="S22" s="117" t="s">
        <v>1294</v>
      </c>
      <c r="T22" s="118">
        <v>44316</v>
      </c>
      <c r="U22" s="120" t="s">
        <v>295</v>
      </c>
      <c r="V22" s="120" t="s">
        <v>295</v>
      </c>
      <c r="W22" s="121" t="s">
        <v>262</v>
      </c>
      <c r="X22" s="117" t="s">
        <v>1295</v>
      </c>
      <c r="Y22" s="117"/>
      <c r="Z22" s="117"/>
      <c r="AA22" s="117" t="s">
        <v>3</v>
      </c>
      <c r="AB22" s="117" t="s">
        <v>1296</v>
      </c>
      <c r="AC22" s="118">
        <v>44316</v>
      </c>
      <c r="AD22" s="117" t="s">
        <v>349</v>
      </c>
      <c r="AE22" s="117" t="s">
        <v>1122</v>
      </c>
      <c r="AF22" s="90" t="s">
        <v>1104</v>
      </c>
      <c r="AG22" s="90" t="s">
        <v>0</v>
      </c>
      <c r="AH22" s="93" t="s">
        <v>972</v>
      </c>
      <c r="AI22" s="93" t="b">
        <v>0</v>
      </c>
      <c r="AJ22" s="93"/>
      <c r="AK22" s="93" t="b">
        <v>0</v>
      </c>
      <c r="AL22" s="93"/>
      <c r="AM22" s="93" t="b">
        <v>0</v>
      </c>
      <c r="AN22" s="93" t="b">
        <v>0</v>
      </c>
      <c r="AO22" s="93" t="b">
        <v>0</v>
      </c>
      <c r="AP22" s="93" t="b">
        <v>0</v>
      </c>
      <c r="AQ22" s="93" t="b">
        <v>0</v>
      </c>
      <c r="AR22" s="93" t="b">
        <v>0</v>
      </c>
      <c r="AS22" s="93" t="b">
        <v>0</v>
      </c>
      <c r="AT22" s="107" t="s">
        <v>1297</v>
      </c>
      <c r="AU22" s="94">
        <v>9882334</v>
      </c>
      <c r="AV22" s="90" t="s">
        <v>973</v>
      </c>
      <c r="AW22" s="108" t="s">
        <v>991</v>
      </c>
      <c r="AX22" s="91">
        <v>44509</v>
      </c>
      <c r="AY22" s="108" t="s">
        <v>1136</v>
      </c>
      <c r="AZ22" s="90" t="s">
        <v>584</v>
      </c>
      <c r="BA22" s="90" t="s">
        <v>82</v>
      </c>
      <c r="BB22" s="90" t="s">
        <v>46</v>
      </c>
      <c r="BC22" s="90"/>
      <c r="BD22" s="90" t="s">
        <v>29</v>
      </c>
      <c r="BE22" s="90"/>
      <c r="BF22" s="90"/>
      <c r="BG22" s="91"/>
      <c r="BH22" s="93" t="b">
        <v>0</v>
      </c>
      <c r="BI22" s="90" t="s">
        <v>1135</v>
      </c>
      <c r="BJ22" s="90"/>
      <c r="BK22" s="90" t="s">
        <v>1105</v>
      </c>
      <c r="BL22" s="90"/>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x14ac:dyDescent="0.3">
      <c r="A23" s="117" t="s">
        <v>1298</v>
      </c>
      <c r="B23" s="118">
        <v>44313</v>
      </c>
      <c r="C23" s="117" t="s">
        <v>1299</v>
      </c>
      <c r="D23" s="117" t="s">
        <v>364</v>
      </c>
      <c r="E23" s="119" t="s">
        <v>1125</v>
      </c>
      <c r="F23" s="117" t="s">
        <v>1126</v>
      </c>
      <c r="G23" s="117" t="s">
        <v>390</v>
      </c>
      <c r="H23" s="117" t="s">
        <v>1300</v>
      </c>
      <c r="I23" s="117" t="s">
        <v>582</v>
      </c>
      <c r="J23" s="117" t="s">
        <v>1301</v>
      </c>
      <c r="K23" s="117" t="s">
        <v>69</v>
      </c>
      <c r="L23" s="117" t="s">
        <v>1302</v>
      </c>
      <c r="M23" s="119" t="s">
        <v>346</v>
      </c>
      <c r="N23" s="117" t="s">
        <v>1303</v>
      </c>
      <c r="O23" s="117" t="s">
        <v>1304</v>
      </c>
      <c r="P23" s="117" t="s">
        <v>1305</v>
      </c>
      <c r="Q23" s="118">
        <v>44313</v>
      </c>
      <c r="R23" s="118">
        <v>44403</v>
      </c>
      <c r="S23" s="117" t="s">
        <v>1306</v>
      </c>
      <c r="T23" s="118">
        <v>44373</v>
      </c>
      <c r="U23" s="120" t="s">
        <v>295</v>
      </c>
      <c r="V23" s="120" t="s">
        <v>295</v>
      </c>
      <c r="W23" s="121" t="s">
        <v>262</v>
      </c>
      <c r="X23" s="117" t="s">
        <v>1307</v>
      </c>
      <c r="Y23" s="117"/>
      <c r="Z23" s="117"/>
      <c r="AA23" s="117" t="s">
        <v>167</v>
      </c>
      <c r="AB23" s="117" t="s">
        <v>1308</v>
      </c>
      <c r="AC23" s="118">
        <v>44373</v>
      </c>
      <c r="AD23" s="117" t="s">
        <v>349</v>
      </c>
      <c r="AE23" s="117" t="s">
        <v>1122</v>
      </c>
      <c r="AF23" s="90" t="s">
        <v>1104</v>
      </c>
      <c r="AG23" s="90" t="s">
        <v>0</v>
      </c>
      <c r="AH23" s="93" t="s">
        <v>972</v>
      </c>
      <c r="AI23" s="93" t="b">
        <v>0</v>
      </c>
      <c r="AJ23" s="93"/>
      <c r="AK23" s="93" t="b">
        <v>0</v>
      </c>
      <c r="AL23" s="93"/>
      <c r="AM23" s="93" t="b">
        <v>0</v>
      </c>
      <c r="AN23" s="93" t="b">
        <v>0</v>
      </c>
      <c r="AO23" s="93" t="b">
        <v>0</v>
      </c>
      <c r="AP23" s="93" t="b">
        <v>0</v>
      </c>
      <c r="AQ23" s="93" t="b">
        <v>0</v>
      </c>
      <c r="AR23" s="93" t="b">
        <v>0</v>
      </c>
      <c r="AS23" s="93" t="b">
        <v>0</v>
      </c>
      <c r="AT23" s="107" t="s">
        <v>1309</v>
      </c>
      <c r="AU23" s="94">
        <v>9882334</v>
      </c>
      <c r="AV23" s="90" t="s">
        <v>973</v>
      </c>
      <c r="AW23" s="108" t="s">
        <v>991</v>
      </c>
      <c r="AX23" s="91">
        <v>44509</v>
      </c>
      <c r="AY23" s="108" t="s">
        <v>1136</v>
      </c>
      <c r="AZ23" s="90" t="s">
        <v>582</v>
      </c>
      <c r="BA23" s="90" t="s">
        <v>69</v>
      </c>
      <c r="BB23" s="90" t="s">
        <v>40</v>
      </c>
      <c r="BC23" s="90"/>
      <c r="BD23" s="90" t="s">
        <v>30</v>
      </c>
      <c r="BE23" s="90"/>
      <c r="BF23" s="90"/>
      <c r="BG23" s="91"/>
      <c r="BH23" s="93" t="b">
        <v>0</v>
      </c>
      <c r="BI23" s="90"/>
      <c r="BJ23" s="90"/>
      <c r="BK23" s="90" t="s">
        <v>1105</v>
      </c>
      <c r="BL23" s="90"/>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x14ac:dyDescent="0.3">
      <c r="A24" s="117" t="s">
        <v>1310</v>
      </c>
      <c r="B24" s="118">
        <v>44362</v>
      </c>
      <c r="C24" s="117" t="s">
        <v>1311</v>
      </c>
      <c r="D24" s="117" t="s">
        <v>364</v>
      </c>
      <c r="E24" s="119" t="s">
        <v>1125</v>
      </c>
      <c r="F24" s="117" t="s">
        <v>1126</v>
      </c>
      <c r="G24" s="117" t="s">
        <v>390</v>
      </c>
      <c r="H24" s="117" t="s">
        <v>1231</v>
      </c>
      <c r="I24" s="117" t="s">
        <v>22</v>
      </c>
      <c r="J24" s="117" t="s">
        <v>1174</v>
      </c>
      <c r="K24" s="117" t="s">
        <v>158</v>
      </c>
      <c r="L24" s="117" t="s">
        <v>1312</v>
      </c>
      <c r="M24" s="119" t="s">
        <v>346</v>
      </c>
      <c r="N24" s="117" t="s">
        <v>1313</v>
      </c>
      <c r="O24" s="117" t="s">
        <v>1314</v>
      </c>
      <c r="P24" s="117" t="s">
        <v>1315</v>
      </c>
      <c r="Q24" s="118">
        <v>44372</v>
      </c>
      <c r="R24" s="118">
        <v>44452</v>
      </c>
      <c r="S24" s="117" t="s">
        <v>1316</v>
      </c>
      <c r="T24" s="118">
        <v>44427</v>
      </c>
      <c r="U24" s="120" t="s">
        <v>295</v>
      </c>
      <c r="V24" s="120" t="s">
        <v>295</v>
      </c>
      <c r="W24" s="121" t="s">
        <v>262</v>
      </c>
      <c r="X24" s="117" t="s">
        <v>1317</v>
      </c>
      <c r="Y24" s="117"/>
      <c r="Z24" s="117"/>
      <c r="AA24" s="117" t="s">
        <v>3</v>
      </c>
      <c r="AB24" s="117" t="s">
        <v>1318</v>
      </c>
      <c r="AC24" s="118">
        <v>44427</v>
      </c>
      <c r="AD24" s="117" t="s">
        <v>349</v>
      </c>
      <c r="AE24" s="117" t="s">
        <v>1122</v>
      </c>
      <c r="AF24" s="90" t="s">
        <v>1104</v>
      </c>
      <c r="AG24" s="90" t="s">
        <v>0</v>
      </c>
      <c r="AH24" s="93" t="s">
        <v>972</v>
      </c>
      <c r="AI24" s="93" t="b">
        <v>0</v>
      </c>
      <c r="AJ24" s="93"/>
      <c r="AK24" s="93" t="b">
        <v>0</v>
      </c>
      <c r="AL24" s="93"/>
      <c r="AM24" s="93" t="b">
        <v>0</v>
      </c>
      <c r="AN24" s="93" t="b">
        <v>0</v>
      </c>
      <c r="AO24" s="93" t="b">
        <v>0</v>
      </c>
      <c r="AP24" s="93" t="b">
        <v>0</v>
      </c>
      <c r="AQ24" s="93" t="b">
        <v>0</v>
      </c>
      <c r="AR24" s="93" t="b">
        <v>0</v>
      </c>
      <c r="AS24" s="93" t="b">
        <v>0</v>
      </c>
      <c r="AT24" s="107" t="s">
        <v>1319</v>
      </c>
      <c r="AU24" s="94">
        <v>9882334</v>
      </c>
      <c r="AV24" s="90" t="s">
        <v>973</v>
      </c>
      <c r="AW24" s="108" t="s">
        <v>991</v>
      </c>
      <c r="AX24" s="91">
        <v>44509</v>
      </c>
      <c r="AY24" s="108" t="s">
        <v>1136</v>
      </c>
      <c r="AZ24" s="90" t="s">
        <v>22</v>
      </c>
      <c r="BA24" s="90" t="s">
        <v>158</v>
      </c>
      <c r="BB24" s="90" t="s">
        <v>52</v>
      </c>
      <c r="BC24" s="90"/>
      <c r="BD24" s="90" t="s">
        <v>801</v>
      </c>
      <c r="BE24" s="90"/>
      <c r="BF24" s="90"/>
      <c r="BG24" s="91"/>
      <c r="BH24" s="93" t="b">
        <v>0</v>
      </c>
      <c r="BI24" s="90"/>
      <c r="BJ24" s="90"/>
      <c r="BK24" s="90" t="s">
        <v>1105</v>
      </c>
      <c r="BL24" s="90"/>
      <c r="BM24" s="90"/>
      <c r="BN24" s="90"/>
      <c r="BO24" s="90"/>
      <c r="BP24" s="90"/>
      <c r="BQ24" s="90"/>
      <c r="BR24" s="95"/>
      <c r="BS24" s="90"/>
      <c r="BT24" s="90"/>
      <c r="BU24" s="90"/>
      <c r="BV24" s="90"/>
      <c r="BW24" s="90"/>
      <c r="BX24" s="90"/>
      <c r="BY24" s="90"/>
      <c r="BZ24" s="90"/>
      <c r="CA24" s="90"/>
      <c r="CB24" s="90"/>
      <c r="CC24" s="91"/>
      <c r="CD24" s="90"/>
      <c r="CE24" s="91"/>
      <c r="CF24" s="90"/>
      <c r="CG24" s="91"/>
      <c r="CH24" s="90"/>
      <c r="CI24" s="91"/>
      <c r="CJ24" s="90"/>
      <c r="CK24" s="91"/>
      <c r="CL24" s="90"/>
      <c r="CM24" s="91"/>
      <c r="CN24" s="96"/>
      <c r="CO24" s="91"/>
      <c r="CP24" s="90"/>
      <c r="CQ24" s="90"/>
      <c r="CR24" s="90"/>
      <c r="CS24" s="90"/>
      <c r="CT24" s="91"/>
      <c r="CU24" s="90"/>
      <c r="CV24" s="97"/>
    </row>
    <row r="25" spans="1:100" ht="15" customHeight="1" x14ac:dyDescent="0.3">
      <c r="A25" s="117" t="s">
        <v>1320</v>
      </c>
      <c r="B25" s="118">
        <v>44252</v>
      </c>
      <c r="C25" s="117" t="s">
        <v>1289</v>
      </c>
      <c r="D25" s="117" t="s">
        <v>337</v>
      </c>
      <c r="E25" s="119" t="s">
        <v>1101</v>
      </c>
      <c r="F25" s="117" t="s">
        <v>1102</v>
      </c>
      <c r="G25" s="117" t="s">
        <v>370</v>
      </c>
      <c r="H25" s="117" t="s">
        <v>1321</v>
      </c>
      <c r="I25" s="117" t="s">
        <v>339</v>
      </c>
      <c r="J25" s="117" t="s">
        <v>1103</v>
      </c>
      <c r="K25" s="117" t="s">
        <v>28</v>
      </c>
      <c r="L25" s="117" t="s">
        <v>1127</v>
      </c>
      <c r="M25" s="119" t="s">
        <v>346</v>
      </c>
      <c r="N25" s="117" t="s">
        <v>1322</v>
      </c>
      <c r="O25" s="117" t="s">
        <v>1323</v>
      </c>
      <c r="P25" s="117"/>
      <c r="Q25" s="118"/>
      <c r="R25" s="118">
        <v>44260</v>
      </c>
      <c r="S25" s="117"/>
      <c r="T25" s="118"/>
      <c r="U25" s="120" t="s">
        <v>295</v>
      </c>
      <c r="V25" s="120" t="s">
        <v>295</v>
      </c>
      <c r="W25" s="121" t="s">
        <v>262</v>
      </c>
      <c r="X25" s="117" t="s">
        <v>1324</v>
      </c>
      <c r="Y25" s="117"/>
      <c r="Z25" s="117"/>
      <c r="AA25" s="117" t="s">
        <v>1</v>
      </c>
      <c r="AB25" s="117" t="s">
        <v>1325</v>
      </c>
      <c r="AC25" s="118">
        <v>44255</v>
      </c>
      <c r="AD25" s="117" t="s">
        <v>349</v>
      </c>
      <c r="AE25" s="117" t="s">
        <v>1326</v>
      </c>
      <c r="AF25" s="90" t="s">
        <v>1104</v>
      </c>
      <c r="AG25" s="90" t="s">
        <v>0</v>
      </c>
      <c r="AH25" s="93" t="s">
        <v>972</v>
      </c>
      <c r="AI25" s="93" t="b">
        <v>0</v>
      </c>
      <c r="AJ25" s="93"/>
      <c r="AK25" s="93" t="b">
        <v>0</v>
      </c>
      <c r="AL25" s="93"/>
      <c r="AM25" s="93" t="b">
        <v>0</v>
      </c>
      <c r="AN25" s="93" t="b">
        <v>0</v>
      </c>
      <c r="AO25" s="93" t="b">
        <v>0</v>
      </c>
      <c r="AP25" s="93" t="b">
        <v>0</v>
      </c>
      <c r="AQ25" s="93" t="b">
        <v>0</v>
      </c>
      <c r="AR25" s="93" t="b">
        <v>0</v>
      </c>
      <c r="AS25" s="93" t="b">
        <v>0</v>
      </c>
      <c r="AT25" s="107" t="s">
        <v>1332</v>
      </c>
      <c r="AU25" s="94">
        <v>9882334</v>
      </c>
      <c r="AV25" s="90" t="s">
        <v>973</v>
      </c>
      <c r="AW25" s="108" t="s">
        <v>991</v>
      </c>
      <c r="AX25" s="91">
        <v>44509</v>
      </c>
      <c r="AY25" s="108" t="s">
        <v>1136</v>
      </c>
      <c r="AZ25" s="90"/>
      <c r="BA25" s="90"/>
      <c r="BB25" s="90" t="s">
        <v>38</v>
      </c>
      <c r="BC25" s="90"/>
      <c r="BD25" s="90" t="s">
        <v>28</v>
      </c>
      <c r="BE25" s="90" t="s">
        <v>1327</v>
      </c>
      <c r="BF25" s="90"/>
      <c r="BG25" s="91"/>
      <c r="BH25" s="93" t="b">
        <v>0</v>
      </c>
      <c r="BI25" s="90"/>
      <c r="BJ25" s="90"/>
      <c r="BK25" s="90" t="s">
        <v>1105</v>
      </c>
      <c r="BL25" s="90" t="s">
        <v>1328</v>
      </c>
      <c r="BM25" s="90"/>
      <c r="BN25" s="90" t="s">
        <v>1116</v>
      </c>
      <c r="BO25" s="90" t="s">
        <v>1116</v>
      </c>
      <c r="BP25" s="90" t="s">
        <v>1106</v>
      </c>
      <c r="BQ25" s="90" t="s">
        <v>1329</v>
      </c>
      <c r="BR25" s="95"/>
      <c r="BS25" s="90" t="s">
        <v>1330</v>
      </c>
      <c r="BT25" s="90" t="s">
        <v>1226</v>
      </c>
      <c r="BU25" s="90" t="s">
        <v>1331</v>
      </c>
      <c r="BV25" s="90"/>
      <c r="BW25" s="90"/>
      <c r="BX25" s="90"/>
      <c r="BY25" s="90"/>
      <c r="BZ25" s="90"/>
      <c r="CA25" s="90"/>
      <c r="CB25" s="90"/>
      <c r="CC25" s="91"/>
      <c r="CD25" s="90"/>
      <c r="CE25" s="91"/>
      <c r="CF25" s="90"/>
      <c r="CG25" s="91"/>
      <c r="CH25" s="90"/>
      <c r="CI25" s="91"/>
      <c r="CJ25" s="90"/>
      <c r="CK25" s="91"/>
      <c r="CL25" s="90"/>
      <c r="CM25" s="91"/>
      <c r="CN25" s="96"/>
      <c r="CO25" s="91"/>
      <c r="CP25" s="90" t="s">
        <v>771</v>
      </c>
      <c r="CQ25" s="90" t="s">
        <v>568</v>
      </c>
      <c r="CR25" s="90" t="s">
        <v>1107</v>
      </c>
      <c r="CS25" s="90">
        <v>8</v>
      </c>
      <c r="CT25" s="91">
        <v>44270</v>
      </c>
      <c r="CU25" s="90" t="s">
        <v>1326</v>
      </c>
      <c r="CV25" s="97">
        <v>44270</v>
      </c>
    </row>
    <row r="26" spans="1:100" ht="15" customHeight="1" x14ac:dyDescent="0.3">
      <c r="A26" s="117" t="s">
        <v>1333</v>
      </c>
      <c r="B26" s="118">
        <v>44252</v>
      </c>
      <c r="C26" s="117" t="s">
        <v>1299</v>
      </c>
      <c r="D26" s="117" t="s">
        <v>337</v>
      </c>
      <c r="E26" s="119" t="s">
        <v>1101</v>
      </c>
      <c r="F26" s="117" t="s">
        <v>1102</v>
      </c>
      <c r="G26" s="117" t="s">
        <v>370</v>
      </c>
      <c r="H26" s="117" t="s">
        <v>1321</v>
      </c>
      <c r="I26" s="117" t="s">
        <v>339</v>
      </c>
      <c r="J26" s="117" t="s">
        <v>1103</v>
      </c>
      <c r="K26" s="117" t="s">
        <v>28</v>
      </c>
      <c r="L26" s="117" t="s">
        <v>1127</v>
      </c>
      <c r="M26" s="119" t="s">
        <v>346</v>
      </c>
      <c r="N26" s="117" t="s">
        <v>1334</v>
      </c>
      <c r="O26" s="117" t="s">
        <v>1335</v>
      </c>
      <c r="P26" s="117"/>
      <c r="Q26" s="118"/>
      <c r="R26" s="118"/>
      <c r="S26" s="117"/>
      <c r="T26" s="118"/>
      <c r="U26" s="120" t="s">
        <v>295</v>
      </c>
      <c r="V26" s="120" t="s">
        <v>295</v>
      </c>
      <c r="W26" s="121" t="s">
        <v>262</v>
      </c>
      <c r="X26" s="117" t="s">
        <v>1336</v>
      </c>
      <c r="Y26" s="117"/>
      <c r="Z26" s="117"/>
      <c r="AA26" s="117"/>
      <c r="AB26" s="117" t="s">
        <v>1337</v>
      </c>
      <c r="AC26" s="118">
        <v>44252</v>
      </c>
      <c r="AD26" s="117" t="s">
        <v>349</v>
      </c>
      <c r="AE26" s="117" t="s">
        <v>1326</v>
      </c>
      <c r="AF26" s="90" t="s">
        <v>1104</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1339</v>
      </c>
      <c r="AU26" s="94">
        <v>9882334</v>
      </c>
      <c r="AV26" s="90" t="s">
        <v>973</v>
      </c>
      <c r="AW26" s="108" t="s">
        <v>991</v>
      </c>
      <c r="AX26" s="91">
        <v>44509</v>
      </c>
      <c r="AY26" s="108" t="s">
        <v>1136</v>
      </c>
      <c r="AZ26" s="90"/>
      <c r="BA26" s="90"/>
      <c r="BB26" s="90" t="s">
        <v>38</v>
      </c>
      <c r="BC26" s="90"/>
      <c r="BD26" s="90" t="s">
        <v>28</v>
      </c>
      <c r="BE26" s="90" t="s">
        <v>1338</v>
      </c>
      <c r="BF26" s="90"/>
      <c r="BG26" s="91"/>
      <c r="BH26" s="93" t="b">
        <v>0</v>
      </c>
      <c r="BI26" s="90"/>
      <c r="BJ26" s="90"/>
      <c r="BK26" s="90" t="s">
        <v>1105</v>
      </c>
      <c r="BL26" s="90" t="s">
        <v>1328</v>
      </c>
      <c r="BM26" s="90"/>
      <c r="BN26" s="90" t="s">
        <v>1116</v>
      </c>
      <c r="BO26" s="90" t="s">
        <v>1116</v>
      </c>
      <c r="BP26" s="90" t="s">
        <v>1106</v>
      </c>
      <c r="BQ26" s="90" t="s">
        <v>1329</v>
      </c>
      <c r="BR26" s="95"/>
      <c r="BS26" s="90" t="s">
        <v>1330</v>
      </c>
      <c r="BT26" s="90" t="s">
        <v>1226</v>
      </c>
      <c r="BU26" s="90" t="s">
        <v>1331</v>
      </c>
      <c r="BV26" s="90"/>
      <c r="BW26" s="90"/>
      <c r="BX26" s="90"/>
      <c r="BY26" s="90"/>
      <c r="BZ26" s="90"/>
      <c r="CA26" s="90"/>
      <c r="CB26" s="90"/>
      <c r="CC26" s="91"/>
      <c r="CD26" s="90"/>
      <c r="CE26" s="91"/>
      <c r="CF26" s="90"/>
      <c r="CG26" s="91"/>
      <c r="CH26" s="90"/>
      <c r="CI26" s="91"/>
      <c r="CJ26" s="90"/>
      <c r="CK26" s="91"/>
      <c r="CL26" s="90"/>
      <c r="CM26" s="91"/>
      <c r="CN26" s="96"/>
      <c r="CO26" s="91"/>
      <c r="CP26" s="90" t="s">
        <v>771</v>
      </c>
      <c r="CQ26" s="90" t="s">
        <v>568</v>
      </c>
      <c r="CR26" s="90" t="s">
        <v>1107</v>
      </c>
      <c r="CS26" s="90">
        <v>2</v>
      </c>
      <c r="CT26" s="91">
        <v>44270</v>
      </c>
      <c r="CU26" s="90" t="s">
        <v>1326</v>
      </c>
      <c r="CV26" s="97">
        <v>44270</v>
      </c>
    </row>
    <row r="27" spans="1:100" ht="15" customHeight="1" x14ac:dyDescent="0.3">
      <c r="A27" s="117" t="s">
        <v>1340</v>
      </c>
      <c r="B27" s="118">
        <v>44363</v>
      </c>
      <c r="C27" s="117" t="s">
        <v>1311</v>
      </c>
      <c r="D27" s="117" t="s">
        <v>337</v>
      </c>
      <c r="E27" s="119" t="s">
        <v>1101</v>
      </c>
      <c r="F27" s="117" t="s">
        <v>1102</v>
      </c>
      <c r="G27" s="117" t="s">
        <v>338</v>
      </c>
      <c r="H27" s="117" t="s">
        <v>1341</v>
      </c>
      <c r="I27" s="117" t="s">
        <v>339</v>
      </c>
      <c r="J27" s="117" t="s">
        <v>1103</v>
      </c>
      <c r="K27" s="117" t="s">
        <v>26</v>
      </c>
      <c r="L27" s="117" t="s">
        <v>1342</v>
      </c>
      <c r="M27" s="119" t="s">
        <v>346</v>
      </c>
      <c r="N27" s="117" t="s">
        <v>1343</v>
      </c>
      <c r="O27" s="117" t="s">
        <v>1344</v>
      </c>
      <c r="P27" s="117"/>
      <c r="Q27" s="118"/>
      <c r="R27" s="118"/>
      <c r="S27" s="117"/>
      <c r="T27" s="118"/>
      <c r="U27" s="120" t="s">
        <v>295</v>
      </c>
      <c r="V27" s="120" t="s">
        <v>295</v>
      </c>
      <c r="W27" s="121" t="s">
        <v>262</v>
      </c>
      <c r="X27" s="117" t="s">
        <v>1345</v>
      </c>
      <c r="Y27" s="117"/>
      <c r="Z27" s="117"/>
      <c r="AA27" s="117" t="s">
        <v>5</v>
      </c>
      <c r="AB27" s="117" t="s">
        <v>1346</v>
      </c>
      <c r="AC27" s="118">
        <v>44363</v>
      </c>
      <c r="AD27" s="117" t="s">
        <v>349</v>
      </c>
      <c r="AE27" s="117" t="s">
        <v>1326</v>
      </c>
      <c r="AF27" s="90" t="s">
        <v>1104</v>
      </c>
      <c r="AG27" s="90" t="s">
        <v>0</v>
      </c>
      <c r="AH27" s="93" t="s">
        <v>972</v>
      </c>
      <c r="AI27" s="93" t="b">
        <v>0</v>
      </c>
      <c r="AJ27" s="93"/>
      <c r="AK27" s="93" t="b">
        <v>0</v>
      </c>
      <c r="AL27" s="93"/>
      <c r="AM27" s="93" t="b">
        <v>0</v>
      </c>
      <c r="AN27" s="93" t="b">
        <v>0</v>
      </c>
      <c r="AO27" s="93" t="b">
        <v>0</v>
      </c>
      <c r="AP27" s="93" t="b">
        <v>0</v>
      </c>
      <c r="AQ27" s="93" t="b">
        <v>0</v>
      </c>
      <c r="AR27" s="93" t="b">
        <v>0</v>
      </c>
      <c r="AS27" s="93" t="b">
        <v>0</v>
      </c>
      <c r="AT27" s="107" t="s">
        <v>1355</v>
      </c>
      <c r="AU27" s="94">
        <v>9882334</v>
      </c>
      <c r="AV27" s="90" t="s">
        <v>973</v>
      </c>
      <c r="AW27" s="108" t="s">
        <v>991</v>
      </c>
      <c r="AX27" s="91">
        <v>44509</v>
      </c>
      <c r="AY27" s="108" t="s">
        <v>1136</v>
      </c>
      <c r="AZ27" s="90"/>
      <c r="BA27" s="90"/>
      <c r="BB27" s="90" t="s">
        <v>41</v>
      </c>
      <c r="BC27" s="90"/>
      <c r="BD27" s="90" t="s">
        <v>26</v>
      </c>
      <c r="BE27" s="90" t="s">
        <v>1347</v>
      </c>
      <c r="BF27" s="90"/>
      <c r="BG27" s="91"/>
      <c r="BH27" s="93" t="b">
        <v>0</v>
      </c>
      <c r="BI27" s="90"/>
      <c r="BJ27" s="90"/>
      <c r="BK27" s="90" t="s">
        <v>1105</v>
      </c>
      <c r="BL27" s="90" t="s">
        <v>1348</v>
      </c>
      <c r="BM27" s="90"/>
      <c r="BN27" s="90" t="s">
        <v>1349</v>
      </c>
      <c r="BO27" s="90" t="s">
        <v>1350</v>
      </c>
      <c r="BP27" s="90" t="s">
        <v>1106</v>
      </c>
      <c r="BQ27" s="90" t="s">
        <v>1128</v>
      </c>
      <c r="BR27" s="95"/>
      <c r="BS27" s="90" t="s">
        <v>1351</v>
      </c>
      <c r="BT27" s="90" t="s">
        <v>1352</v>
      </c>
      <c r="BU27" s="90" t="s">
        <v>1353</v>
      </c>
      <c r="BV27" s="90"/>
      <c r="BW27" s="90"/>
      <c r="BX27" s="90"/>
      <c r="BY27" s="90"/>
      <c r="BZ27" s="90"/>
      <c r="CA27" s="90"/>
      <c r="CB27" s="90"/>
      <c r="CC27" s="91"/>
      <c r="CD27" s="90"/>
      <c r="CE27" s="91"/>
      <c r="CF27" s="90"/>
      <c r="CG27" s="91"/>
      <c r="CH27" s="90"/>
      <c r="CI27" s="91"/>
      <c r="CJ27" s="90"/>
      <c r="CK27" s="91"/>
      <c r="CL27" s="90"/>
      <c r="CM27" s="91"/>
      <c r="CN27" s="96"/>
      <c r="CO27" s="91"/>
      <c r="CP27" s="90" t="s">
        <v>775</v>
      </c>
      <c r="CQ27" s="90" t="s">
        <v>1354</v>
      </c>
      <c r="CR27" s="90" t="s">
        <v>1107</v>
      </c>
      <c r="CS27" s="90">
        <v>8</v>
      </c>
      <c r="CT27" s="91">
        <v>44375</v>
      </c>
      <c r="CU27" s="90" t="s">
        <v>1326</v>
      </c>
      <c r="CV27" s="97"/>
    </row>
    <row r="28" spans="1:100" ht="15" customHeight="1" x14ac:dyDescent="0.3">
      <c r="A28" s="117" t="s">
        <v>1357</v>
      </c>
      <c r="B28" s="118">
        <v>44363</v>
      </c>
      <c r="C28" s="117" t="s">
        <v>1356</v>
      </c>
      <c r="D28" s="117" t="s">
        <v>337</v>
      </c>
      <c r="E28" s="119" t="s">
        <v>1101</v>
      </c>
      <c r="F28" s="117" t="s">
        <v>1102</v>
      </c>
      <c r="G28" s="117" t="s">
        <v>338</v>
      </c>
      <c r="H28" s="117" t="s">
        <v>1341</v>
      </c>
      <c r="I28" s="117" t="s">
        <v>339</v>
      </c>
      <c r="J28" s="117" t="s">
        <v>1103</v>
      </c>
      <c r="K28" s="117" t="s">
        <v>755</v>
      </c>
      <c r="L28" s="117" t="s">
        <v>1358</v>
      </c>
      <c r="M28" s="119" t="s">
        <v>346</v>
      </c>
      <c r="N28" s="117" t="s">
        <v>1359</v>
      </c>
      <c r="O28" s="117" t="s">
        <v>1360</v>
      </c>
      <c r="P28" s="117" t="s">
        <v>1361</v>
      </c>
      <c r="Q28" s="118"/>
      <c r="R28" s="118"/>
      <c r="S28" s="117" t="s">
        <v>1361</v>
      </c>
      <c r="T28" s="118"/>
      <c r="U28" s="120" t="s">
        <v>295</v>
      </c>
      <c r="V28" s="120" t="s">
        <v>295</v>
      </c>
      <c r="W28" s="121" t="s">
        <v>262</v>
      </c>
      <c r="X28" s="117" t="s">
        <v>1362</v>
      </c>
      <c r="Y28" s="117"/>
      <c r="Z28" s="117"/>
      <c r="AA28" s="117" t="s">
        <v>5</v>
      </c>
      <c r="AB28" s="117" t="s">
        <v>1361</v>
      </c>
      <c r="AC28" s="118">
        <v>44365</v>
      </c>
      <c r="AD28" s="117" t="s">
        <v>349</v>
      </c>
      <c r="AE28" s="117" t="s">
        <v>1326</v>
      </c>
      <c r="AF28" s="90" t="s">
        <v>1104</v>
      </c>
      <c r="AG28" s="90" t="s">
        <v>0</v>
      </c>
      <c r="AH28" s="93" t="s">
        <v>972</v>
      </c>
      <c r="AI28" s="93" t="b">
        <v>0</v>
      </c>
      <c r="AJ28" s="93"/>
      <c r="AK28" s="93" t="b">
        <v>0</v>
      </c>
      <c r="AL28" s="93"/>
      <c r="AM28" s="93" t="b">
        <v>0</v>
      </c>
      <c r="AN28" s="93" t="b">
        <v>0</v>
      </c>
      <c r="AO28" s="93" t="b">
        <v>0</v>
      </c>
      <c r="AP28" s="93" t="b">
        <v>0</v>
      </c>
      <c r="AQ28" s="93" t="b">
        <v>0</v>
      </c>
      <c r="AR28" s="93" t="b">
        <v>0</v>
      </c>
      <c r="AS28" s="93" t="b">
        <v>0</v>
      </c>
      <c r="AT28" s="107" t="s">
        <v>1364</v>
      </c>
      <c r="AU28" s="94">
        <v>9882334</v>
      </c>
      <c r="AV28" s="90" t="s">
        <v>973</v>
      </c>
      <c r="AW28" s="108" t="s">
        <v>991</v>
      </c>
      <c r="AX28" s="91">
        <v>44509</v>
      </c>
      <c r="AY28" s="108" t="s">
        <v>1136</v>
      </c>
      <c r="AZ28" s="90" t="s">
        <v>19</v>
      </c>
      <c r="BA28" s="90" t="s">
        <v>150</v>
      </c>
      <c r="BB28" s="90"/>
      <c r="BC28" s="90"/>
      <c r="BD28" s="90" t="s">
        <v>755</v>
      </c>
      <c r="BE28" s="90" t="s">
        <v>1363</v>
      </c>
      <c r="BF28" s="90"/>
      <c r="BG28" s="91"/>
      <c r="BH28" s="93" t="b">
        <v>0</v>
      </c>
      <c r="BI28" s="90"/>
      <c r="BJ28" s="90"/>
      <c r="BK28" s="90" t="s">
        <v>1105</v>
      </c>
      <c r="BL28" s="90" t="s">
        <v>1348</v>
      </c>
      <c r="BM28" s="90"/>
      <c r="BN28" s="90" t="s">
        <v>1349</v>
      </c>
      <c r="BO28" s="90" t="s">
        <v>1350</v>
      </c>
      <c r="BP28" s="90" t="s">
        <v>1106</v>
      </c>
      <c r="BQ28" s="90" t="s">
        <v>1128</v>
      </c>
      <c r="BR28" s="95"/>
      <c r="BS28" s="90" t="s">
        <v>1351</v>
      </c>
      <c r="BT28" s="90" t="s">
        <v>1352</v>
      </c>
      <c r="BU28" s="90" t="s">
        <v>1353</v>
      </c>
      <c r="BV28" s="90"/>
      <c r="BW28" s="90"/>
      <c r="BX28" s="90"/>
      <c r="BY28" s="90"/>
      <c r="BZ28" s="90"/>
      <c r="CA28" s="90"/>
      <c r="CB28" s="90"/>
      <c r="CC28" s="91"/>
      <c r="CD28" s="90"/>
      <c r="CE28" s="91"/>
      <c r="CF28" s="90"/>
      <c r="CG28" s="91"/>
      <c r="CH28" s="90"/>
      <c r="CI28" s="91"/>
      <c r="CJ28" s="90"/>
      <c r="CK28" s="91"/>
      <c r="CL28" s="90"/>
      <c r="CM28" s="91"/>
      <c r="CN28" s="96"/>
      <c r="CO28" s="91"/>
      <c r="CP28" s="90" t="s">
        <v>775</v>
      </c>
      <c r="CQ28" s="90" t="s">
        <v>1354</v>
      </c>
      <c r="CR28" s="90" t="s">
        <v>1107</v>
      </c>
      <c r="CS28" s="90">
        <v>5</v>
      </c>
      <c r="CT28" s="91">
        <v>44375</v>
      </c>
      <c r="CU28" s="90" t="s">
        <v>1326</v>
      </c>
      <c r="CV28" s="97"/>
    </row>
    <row r="29" spans="1:100" ht="15" customHeight="1" x14ac:dyDescent="0.3">
      <c r="A29" s="117" t="s">
        <v>1366</v>
      </c>
      <c r="B29" s="118">
        <v>44440</v>
      </c>
      <c r="C29" s="117" t="s">
        <v>1365</v>
      </c>
      <c r="D29" s="117" t="s">
        <v>364</v>
      </c>
      <c r="E29" s="119" t="s">
        <v>1125</v>
      </c>
      <c r="F29" s="117" t="s">
        <v>1126</v>
      </c>
      <c r="G29" s="117" t="s">
        <v>390</v>
      </c>
      <c r="H29" s="117" t="s">
        <v>1129</v>
      </c>
      <c r="I29" s="117" t="s">
        <v>13</v>
      </c>
      <c r="J29" s="117" t="s">
        <v>1140</v>
      </c>
      <c r="K29" s="117" t="s">
        <v>83</v>
      </c>
      <c r="L29" s="117" t="s">
        <v>1141</v>
      </c>
      <c r="M29" s="119" t="s">
        <v>346</v>
      </c>
      <c r="N29" s="117" t="s">
        <v>1367</v>
      </c>
      <c r="O29" s="117" t="s">
        <v>1368</v>
      </c>
      <c r="P29" s="117" t="s">
        <v>1369</v>
      </c>
      <c r="Q29" s="118">
        <v>44440</v>
      </c>
      <c r="R29" s="118">
        <v>44530</v>
      </c>
      <c r="S29" s="117" t="s">
        <v>1370</v>
      </c>
      <c r="T29" s="118">
        <v>44449</v>
      </c>
      <c r="U29" s="120" t="s">
        <v>295</v>
      </c>
      <c r="V29" s="120" t="s">
        <v>295</v>
      </c>
      <c r="W29" s="121" t="s">
        <v>262</v>
      </c>
      <c r="X29" s="117" t="s">
        <v>1371</v>
      </c>
      <c r="Y29" s="117"/>
      <c r="Z29" s="117"/>
      <c r="AA29" s="117" t="s">
        <v>4</v>
      </c>
      <c r="AB29" s="117" t="s">
        <v>1372</v>
      </c>
      <c r="AC29" s="118">
        <v>44449</v>
      </c>
      <c r="AD29" s="117" t="s">
        <v>349</v>
      </c>
      <c r="AE29" s="117" t="s">
        <v>1122</v>
      </c>
      <c r="AF29" s="90" t="s">
        <v>1104</v>
      </c>
      <c r="AG29" s="90" t="s">
        <v>0</v>
      </c>
      <c r="AH29" s="93" t="s">
        <v>972</v>
      </c>
      <c r="AI29" s="93" t="b">
        <v>0</v>
      </c>
      <c r="AJ29" s="93"/>
      <c r="AK29" s="93" t="b">
        <v>0</v>
      </c>
      <c r="AL29" s="93"/>
      <c r="AM29" s="93" t="b">
        <v>0</v>
      </c>
      <c r="AN29" s="93" t="b">
        <v>0</v>
      </c>
      <c r="AO29" s="93" t="b">
        <v>0</v>
      </c>
      <c r="AP29" s="93" t="b">
        <v>0</v>
      </c>
      <c r="AQ29" s="93" t="b">
        <v>1</v>
      </c>
      <c r="AR29" s="93" t="b">
        <v>0</v>
      </c>
      <c r="AS29" s="93" t="b">
        <v>0</v>
      </c>
      <c r="AT29" s="107" t="s">
        <v>1374</v>
      </c>
      <c r="AU29" s="94">
        <v>9882334</v>
      </c>
      <c r="AV29" s="90" t="s">
        <v>973</v>
      </c>
      <c r="AW29" s="108" t="s">
        <v>991</v>
      </c>
      <c r="AX29" s="91">
        <v>44509</v>
      </c>
      <c r="AY29" s="108" t="s">
        <v>1136</v>
      </c>
      <c r="AZ29" s="90" t="s">
        <v>13</v>
      </c>
      <c r="BA29" s="90" t="s">
        <v>83</v>
      </c>
      <c r="BB29" s="90" t="s">
        <v>40</v>
      </c>
      <c r="BC29" s="90"/>
      <c r="BD29" s="90" t="s">
        <v>30</v>
      </c>
      <c r="BE29" s="90"/>
      <c r="BF29" s="90"/>
      <c r="BG29" s="91"/>
      <c r="BH29" s="93" t="b">
        <v>0</v>
      </c>
      <c r="BI29" s="90" t="s">
        <v>1373</v>
      </c>
      <c r="BJ29" s="90"/>
      <c r="BK29" s="90" t="s">
        <v>1105</v>
      </c>
      <c r="BL29" s="90"/>
      <c r="BM29" s="90"/>
      <c r="BN29" s="90"/>
      <c r="BO29" s="90"/>
      <c r="BP29" s="90"/>
      <c r="BQ29" s="90"/>
      <c r="BR29" s="95"/>
      <c r="BS29" s="90"/>
      <c r="BT29" s="90"/>
      <c r="BU29" s="90"/>
      <c r="BV29" s="90"/>
      <c r="BW29" s="90"/>
      <c r="BX29" s="90"/>
      <c r="BY29" s="90"/>
      <c r="BZ29" s="90"/>
      <c r="CA29" s="90"/>
      <c r="CB29" s="90"/>
      <c r="CC29" s="91"/>
      <c r="CD29" s="90"/>
      <c r="CE29" s="91"/>
      <c r="CF29" s="90"/>
      <c r="CG29" s="91"/>
      <c r="CH29" s="90"/>
      <c r="CI29" s="91"/>
      <c r="CJ29" s="90"/>
      <c r="CK29" s="91"/>
      <c r="CL29" s="90"/>
      <c r="CM29" s="91"/>
      <c r="CN29" s="96"/>
      <c r="CO29" s="91"/>
      <c r="CP29" s="90"/>
      <c r="CQ29" s="90"/>
      <c r="CR29" s="90"/>
      <c r="CS29" s="90"/>
      <c r="CT29" s="91"/>
      <c r="CU29" s="90"/>
      <c r="CV29" s="97"/>
    </row>
    <row r="30" spans="1:100" ht="15" customHeight="1" x14ac:dyDescent="0.3">
      <c r="A30" s="117" t="s">
        <v>1376</v>
      </c>
      <c r="B30" s="118">
        <v>44425</v>
      </c>
      <c r="C30" s="117" t="s">
        <v>1375</v>
      </c>
      <c r="D30" s="117" t="s">
        <v>364</v>
      </c>
      <c r="E30" s="119" t="s">
        <v>1125</v>
      </c>
      <c r="F30" s="117" t="s">
        <v>1126</v>
      </c>
      <c r="G30" s="117" t="s">
        <v>390</v>
      </c>
      <c r="H30" s="117" t="s">
        <v>1129</v>
      </c>
      <c r="I30" s="117" t="s">
        <v>391</v>
      </c>
      <c r="J30" s="117" t="s">
        <v>1377</v>
      </c>
      <c r="K30" s="117" t="s">
        <v>141</v>
      </c>
      <c r="L30" s="117" t="s">
        <v>1378</v>
      </c>
      <c r="M30" s="119" t="s">
        <v>346</v>
      </c>
      <c r="N30" s="117" t="s">
        <v>1379</v>
      </c>
      <c r="O30" s="117" t="s">
        <v>1380</v>
      </c>
      <c r="P30" s="117" t="s">
        <v>1381</v>
      </c>
      <c r="Q30" s="118">
        <v>44434</v>
      </c>
      <c r="R30" s="118">
        <v>44516</v>
      </c>
      <c r="S30" s="117" t="s">
        <v>1495</v>
      </c>
      <c r="T30" s="118">
        <v>44555</v>
      </c>
      <c r="U30" s="120" t="s">
        <v>295</v>
      </c>
      <c r="V30" s="120" t="s">
        <v>295</v>
      </c>
      <c r="W30" s="121" t="s">
        <v>262</v>
      </c>
      <c r="X30" s="117" t="s">
        <v>1496</v>
      </c>
      <c r="Y30" s="117"/>
      <c r="Z30" s="117"/>
      <c r="AA30" s="117" t="s">
        <v>4</v>
      </c>
      <c r="AB30" s="117" t="s">
        <v>1497</v>
      </c>
      <c r="AC30" s="118">
        <v>44555</v>
      </c>
      <c r="AD30" s="117" t="s">
        <v>349</v>
      </c>
      <c r="AE30" s="117" t="s">
        <v>1122</v>
      </c>
      <c r="AF30" s="90" t="s">
        <v>1104</v>
      </c>
      <c r="AG30" s="90" t="s">
        <v>0</v>
      </c>
      <c r="AH30" s="93" t="s">
        <v>972</v>
      </c>
      <c r="AI30" s="93" t="b">
        <v>0</v>
      </c>
      <c r="AJ30" s="93"/>
      <c r="AK30" s="93" t="b">
        <v>0</v>
      </c>
      <c r="AL30" s="93"/>
      <c r="AM30" s="93" t="b">
        <v>1</v>
      </c>
      <c r="AN30" s="93" t="b">
        <v>0</v>
      </c>
      <c r="AO30" s="93" t="b">
        <v>0</v>
      </c>
      <c r="AP30" s="93" t="b">
        <v>0</v>
      </c>
      <c r="AQ30" s="93" t="b">
        <v>0</v>
      </c>
      <c r="AR30" s="93" t="b">
        <v>0</v>
      </c>
      <c r="AS30" s="93" t="b">
        <v>0</v>
      </c>
      <c r="AT30" s="107" t="s">
        <v>1498</v>
      </c>
      <c r="AU30" s="94">
        <v>9882334</v>
      </c>
      <c r="AV30" s="90" t="s">
        <v>973</v>
      </c>
      <c r="AW30" s="108" t="s">
        <v>991</v>
      </c>
      <c r="AX30" s="91">
        <v>44567</v>
      </c>
      <c r="AY30" s="108" t="s">
        <v>1453</v>
      </c>
      <c r="AZ30" s="90" t="s">
        <v>391</v>
      </c>
      <c r="BA30" s="90" t="s">
        <v>141</v>
      </c>
      <c r="BB30" s="90" t="s">
        <v>50</v>
      </c>
      <c r="BC30" s="90"/>
      <c r="BD30" s="90" t="s">
        <v>756</v>
      </c>
      <c r="BE30" s="90"/>
      <c r="BF30" s="90" t="s">
        <v>574</v>
      </c>
      <c r="BG30" s="91">
        <v>44577</v>
      </c>
      <c r="BH30" s="93" t="b">
        <v>0</v>
      </c>
      <c r="BI30" s="90"/>
      <c r="BJ30" s="90" t="s">
        <v>1455</v>
      </c>
      <c r="BK30" s="90" t="s">
        <v>1445</v>
      </c>
      <c r="BL30" s="90"/>
      <c r="BM30" s="90"/>
      <c r="BN30" s="90"/>
      <c r="BO30" s="90"/>
      <c r="BP30" s="90"/>
      <c r="BQ30" s="90"/>
      <c r="BR30" s="95"/>
      <c r="BS30" s="90"/>
      <c r="BT30" s="90"/>
      <c r="BU30" s="90"/>
      <c r="BV30" s="90"/>
      <c r="BW30" s="90"/>
      <c r="BX30" s="90"/>
      <c r="BY30" s="90"/>
      <c r="BZ30" s="90"/>
      <c r="CA30" s="90"/>
      <c r="CB30" s="90"/>
      <c r="CC30" s="91"/>
      <c r="CD30" s="90"/>
      <c r="CE30" s="91"/>
      <c r="CF30" s="90"/>
      <c r="CG30" s="91"/>
      <c r="CH30" s="90"/>
      <c r="CI30" s="91"/>
      <c r="CJ30" s="90"/>
      <c r="CK30" s="91"/>
      <c r="CL30" s="90"/>
      <c r="CM30" s="91"/>
      <c r="CN30" s="96"/>
      <c r="CO30" s="91"/>
      <c r="CP30" s="90"/>
      <c r="CQ30" s="90"/>
      <c r="CR30" s="90"/>
      <c r="CS30" s="90"/>
      <c r="CT30" s="91"/>
      <c r="CU30" s="90"/>
      <c r="CV30" s="97"/>
    </row>
    <row r="31" spans="1:100" ht="15" customHeight="1" x14ac:dyDescent="0.3">
      <c r="A31" s="117" t="s">
        <v>1383</v>
      </c>
      <c r="B31" s="118">
        <v>44435</v>
      </c>
      <c r="C31" s="117" t="s">
        <v>1382</v>
      </c>
      <c r="D31" s="117" t="s">
        <v>352</v>
      </c>
      <c r="E31" s="119" t="s">
        <v>1118</v>
      </c>
      <c r="F31" s="117" t="s">
        <v>1119</v>
      </c>
      <c r="G31" s="117" t="s">
        <v>374</v>
      </c>
      <c r="H31" s="117" t="s">
        <v>1384</v>
      </c>
      <c r="I31" s="117" t="s">
        <v>354</v>
      </c>
      <c r="J31" s="117" t="s">
        <v>1120</v>
      </c>
      <c r="K31" s="117" t="s">
        <v>424</v>
      </c>
      <c r="L31" s="117" t="s">
        <v>1378</v>
      </c>
      <c r="M31" s="119" t="s">
        <v>346</v>
      </c>
      <c r="N31" s="117" t="s">
        <v>1385</v>
      </c>
      <c r="O31" s="117" t="s">
        <v>1386</v>
      </c>
      <c r="P31" s="117" t="s">
        <v>1387</v>
      </c>
      <c r="Q31" s="118">
        <v>44442</v>
      </c>
      <c r="R31" s="118">
        <v>44526</v>
      </c>
      <c r="S31" s="117" t="s">
        <v>1388</v>
      </c>
      <c r="T31" s="118">
        <v>44472</v>
      </c>
      <c r="U31" s="120" t="s">
        <v>295</v>
      </c>
      <c r="V31" s="120" t="s">
        <v>295</v>
      </c>
      <c r="W31" s="121" t="s">
        <v>262</v>
      </c>
      <c r="X31" s="117" t="s">
        <v>1389</v>
      </c>
      <c r="Y31" s="117"/>
      <c r="Z31" s="117"/>
      <c r="AA31" s="117" t="s">
        <v>804</v>
      </c>
      <c r="AB31" s="117" t="s">
        <v>1389</v>
      </c>
      <c r="AC31" s="118">
        <v>44472</v>
      </c>
      <c r="AD31" s="117" t="s">
        <v>349</v>
      </c>
      <c r="AE31" s="117" t="s">
        <v>1122</v>
      </c>
      <c r="AF31" s="90" t="s">
        <v>1104</v>
      </c>
      <c r="AG31" s="90" t="s">
        <v>0</v>
      </c>
      <c r="AH31" s="93" t="s">
        <v>972</v>
      </c>
      <c r="AI31" s="93" t="b">
        <v>0</v>
      </c>
      <c r="AJ31" s="93"/>
      <c r="AK31" s="93" t="b">
        <v>0</v>
      </c>
      <c r="AL31" s="93"/>
      <c r="AM31" s="93" t="b">
        <v>0</v>
      </c>
      <c r="AN31" s="93" t="b">
        <v>0</v>
      </c>
      <c r="AO31" s="93" t="b">
        <v>0</v>
      </c>
      <c r="AP31" s="93" t="b">
        <v>0</v>
      </c>
      <c r="AQ31" s="93" t="b">
        <v>0</v>
      </c>
      <c r="AR31" s="93" t="b">
        <v>0</v>
      </c>
      <c r="AS31" s="93" t="b">
        <v>0</v>
      </c>
      <c r="AT31" s="107" t="s">
        <v>1454</v>
      </c>
      <c r="AU31" s="94">
        <v>9882334</v>
      </c>
      <c r="AV31" s="90" t="s">
        <v>973</v>
      </c>
      <c r="AW31" s="108" t="s">
        <v>991</v>
      </c>
      <c r="AX31" s="91">
        <v>44537</v>
      </c>
      <c r="AY31" s="108" t="s">
        <v>1453</v>
      </c>
      <c r="AZ31" s="90" t="s">
        <v>584</v>
      </c>
      <c r="BA31" s="90" t="s">
        <v>82</v>
      </c>
      <c r="BB31" s="90" t="s">
        <v>50</v>
      </c>
      <c r="BC31" s="90"/>
      <c r="BD31" s="90" t="s">
        <v>29</v>
      </c>
      <c r="BE31" s="90"/>
      <c r="BF31" s="90"/>
      <c r="BG31" s="91"/>
      <c r="BH31" s="93" t="b">
        <v>0</v>
      </c>
      <c r="BI31" s="90"/>
      <c r="BJ31" s="90"/>
      <c r="BK31" s="90" t="s">
        <v>1105</v>
      </c>
      <c r="BL31" s="90" t="s">
        <v>1390</v>
      </c>
      <c r="BM31" s="90"/>
      <c r="BN31" s="90"/>
      <c r="BO31" s="90"/>
      <c r="BP31" s="90"/>
      <c r="BQ31" s="90"/>
      <c r="BR31" s="95"/>
      <c r="BS31" s="90"/>
      <c r="BT31" s="90"/>
      <c r="BU31" s="90"/>
      <c r="BV31" s="90"/>
      <c r="BW31" s="90"/>
      <c r="BX31" s="90"/>
      <c r="BY31" s="90"/>
      <c r="BZ31" s="90"/>
      <c r="CA31" s="90"/>
      <c r="CB31" s="90"/>
      <c r="CC31" s="91"/>
      <c r="CD31" s="90"/>
      <c r="CE31" s="91"/>
      <c r="CF31" s="90"/>
      <c r="CG31" s="91"/>
      <c r="CH31" s="90"/>
      <c r="CI31" s="91"/>
      <c r="CJ31" s="90"/>
      <c r="CK31" s="91"/>
      <c r="CL31" s="90"/>
      <c r="CM31" s="91"/>
      <c r="CN31" s="96"/>
      <c r="CO31" s="91"/>
      <c r="CP31" s="90"/>
      <c r="CQ31" s="90"/>
      <c r="CR31" s="90"/>
      <c r="CS31" s="90"/>
      <c r="CT31" s="91"/>
      <c r="CU31" s="90"/>
      <c r="CV31" s="97"/>
    </row>
    <row r="32" spans="1:100" ht="15" customHeight="1" x14ac:dyDescent="0.3">
      <c r="A32" s="122" t="s">
        <v>1392</v>
      </c>
      <c r="B32" s="123">
        <v>44435</v>
      </c>
      <c r="C32" s="122" t="s">
        <v>1391</v>
      </c>
      <c r="D32" s="122" t="s">
        <v>352</v>
      </c>
      <c r="E32" s="124" t="s">
        <v>1118</v>
      </c>
      <c r="F32" s="122" t="s">
        <v>1119</v>
      </c>
      <c r="G32" s="122" t="s">
        <v>374</v>
      </c>
      <c r="H32" s="122" t="s">
        <v>1384</v>
      </c>
      <c r="I32" s="122" t="s">
        <v>354</v>
      </c>
      <c r="J32" s="122" t="s">
        <v>1120</v>
      </c>
      <c r="K32" s="122" t="s">
        <v>417</v>
      </c>
      <c r="L32" s="122" t="s">
        <v>1124</v>
      </c>
      <c r="M32" s="124" t="s">
        <v>346</v>
      </c>
      <c r="N32" s="122" t="s">
        <v>1393</v>
      </c>
      <c r="O32" s="122" t="s">
        <v>1394</v>
      </c>
      <c r="P32" s="122" t="s">
        <v>1395</v>
      </c>
      <c r="Q32" s="123">
        <v>44498</v>
      </c>
      <c r="R32" s="123">
        <v>44526</v>
      </c>
      <c r="S32" s="122" t="s">
        <v>1396</v>
      </c>
      <c r="T32" s="123">
        <v>44529</v>
      </c>
      <c r="U32" s="125" t="s">
        <v>295</v>
      </c>
      <c r="V32" s="125" t="s">
        <v>295</v>
      </c>
      <c r="W32" s="126" t="s">
        <v>262</v>
      </c>
      <c r="X32" s="122" t="s">
        <v>1499</v>
      </c>
      <c r="Y32" s="122"/>
      <c r="Z32" s="122"/>
      <c r="AA32" s="122" t="s">
        <v>5</v>
      </c>
      <c r="AB32" s="122"/>
      <c r="AC32" s="123"/>
      <c r="AD32" s="122" t="s">
        <v>261</v>
      </c>
      <c r="AE32" s="122" t="s">
        <v>1122</v>
      </c>
      <c r="AF32" s="90" t="s">
        <v>1104</v>
      </c>
      <c r="AG32" s="90" t="s">
        <v>0</v>
      </c>
      <c r="AH32" s="93" t="s">
        <v>972</v>
      </c>
      <c r="AI32" s="93" t="b">
        <v>0</v>
      </c>
      <c r="AJ32" s="93"/>
      <c r="AK32" s="93" t="b">
        <v>0</v>
      </c>
      <c r="AL32" s="93"/>
      <c r="AM32" s="93" t="b">
        <v>0</v>
      </c>
      <c r="AN32" s="93" t="b">
        <v>0</v>
      </c>
      <c r="AO32" s="93" t="b">
        <v>0</v>
      </c>
      <c r="AP32" s="93" t="b">
        <v>0</v>
      </c>
      <c r="AQ32" s="93" t="b">
        <v>0</v>
      </c>
      <c r="AR32" s="93" t="b">
        <v>0</v>
      </c>
      <c r="AS32" s="93" t="b">
        <v>0</v>
      </c>
      <c r="AT32" s="107" t="s">
        <v>1500</v>
      </c>
      <c r="AU32" s="94">
        <v>9882334</v>
      </c>
      <c r="AV32" s="90" t="s">
        <v>973</v>
      </c>
      <c r="AW32" s="108" t="s">
        <v>991</v>
      </c>
      <c r="AX32" s="91">
        <v>44567</v>
      </c>
      <c r="AY32" s="108" t="s">
        <v>1453</v>
      </c>
      <c r="AZ32" s="90" t="s">
        <v>19</v>
      </c>
      <c r="BA32" s="90" t="s">
        <v>189</v>
      </c>
      <c r="BB32" s="90" t="s">
        <v>43</v>
      </c>
      <c r="BC32" s="90"/>
      <c r="BD32" s="90" t="s">
        <v>755</v>
      </c>
      <c r="BE32" s="90"/>
      <c r="BF32" s="90" t="s">
        <v>573</v>
      </c>
      <c r="BG32" s="91">
        <v>44646</v>
      </c>
      <c r="BH32" s="93" t="b">
        <v>0</v>
      </c>
      <c r="BI32" s="90"/>
      <c r="BJ32" s="90" t="s">
        <v>1456</v>
      </c>
      <c r="BK32" s="90" t="s">
        <v>1445</v>
      </c>
      <c r="BL32" s="90" t="s">
        <v>1390</v>
      </c>
      <c r="BM32" s="90"/>
      <c r="BN32" s="90"/>
      <c r="BO32" s="90"/>
      <c r="BP32" s="90"/>
      <c r="BQ32" s="90"/>
      <c r="BR32" s="95"/>
      <c r="BS32" s="90"/>
      <c r="BT32" s="90"/>
      <c r="BU32" s="90"/>
      <c r="BV32" s="90"/>
      <c r="BW32" s="90"/>
      <c r="BX32" s="90"/>
      <c r="BY32" s="90"/>
      <c r="BZ32" s="90"/>
      <c r="CA32" s="90"/>
      <c r="CB32" s="90"/>
      <c r="CC32" s="91"/>
      <c r="CD32" s="90"/>
      <c r="CE32" s="91"/>
      <c r="CF32" s="90"/>
      <c r="CG32" s="91"/>
      <c r="CH32" s="90"/>
      <c r="CI32" s="91"/>
      <c r="CJ32" s="90"/>
      <c r="CK32" s="91"/>
      <c r="CL32" s="90"/>
      <c r="CM32" s="91"/>
      <c r="CN32" s="96"/>
      <c r="CO32" s="91"/>
      <c r="CP32" s="90"/>
      <c r="CQ32" s="90"/>
      <c r="CR32" s="90"/>
      <c r="CS32" s="90"/>
      <c r="CT32" s="91"/>
      <c r="CU32" s="90"/>
      <c r="CV32" s="97"/>
    </row>
    <row r="33" spans="1:100" ht="15" customHeight="1" x14ac:dyDescent="0.3">
      <c r="A33" s="122" t="s">
        <v>1398</v>
      </c>
      <c r="B33" s="123">
        <v>44435</v>
      </c>
      <c r="C33" s="122" t="s">
        <v>1397</v>
      </c>
      <c r="D33" s="122" t="s">
        <v>352</v>
      </c>
      <c r="E33" s="124" t="s">
        <v>1118</v>
      </c>
      <c r="F33" s="122" t="s">
        <v>1119</v>
      </c>
      <c r="G33" s="122" t="s">
        <v>374</v>
      </c>
      <c r="H33" s="122" t="s">
        <v>1384</v>
      </c>
      <c r="I33" s="122" t="s">
        <v>354</v>
      </c>
      <c r="J33" s="122" t="s">
        <v>1120</v>
      </c>
      <c r="K33" s="122" t="s">
        <v>412</v>
      </c>
      <c r="L33" s="122" t="s">
        <v>1124</v>
      </c>
      <c r="M33" s="124" t="s">
        <v>346</v>
      </c>
      <c r="N33" s="122" t="s">
        <v>1399</v>
      </c>
      <c r="O33" s="122" t="s">
        <v>1400</v>
      </c>
      <c r="P33" s="122" t="s">
        <v>1401</v>
      </c>
      <c r="Q33" s="123">
        <v>44447</v>
      </c>
      <c r="R33" s="123">
        <v>44526</v>
      </c>
      <c r="S33" s="122" t="s">
        <v>1402</v>
      </c>
      <c r="T33" s="123">
        <v>44494</v>
      </c>
      <c r="U33" s="125" t="s">
        <v>295</v>
      </c>
      <c r="V33" s="125" t="s">
        <v>295</v>
      </c>
      <c r="W33" s="126" t="s">
        <v>262</v>
      </c>
      <c r="X33" s="122" t="s">
        <v>1501</v>
      </c>
      <c r="Y33" s="122"/>
      <c r="Z33" s="122"/>
      <c r="AA33" s="122" t="s">
        <v>4</v>
      </c>
      <c r="AB33" s="122"/>
      <c r="AC33" s="123"/>
      <c r="AD33" s="122" t="s">
        <v>261</v>
      </c>
      <c r="AE33" s="122" t="s">
        <v>1122</v>
      </c>
      <c r="AF33" s="90" t="s">
        <v>1104</v>
      </c>
      <c r="AG33" s="90" t="s">
        <v>0</v>
      </c>
      <c r="AH33" s="93" t="s">
        <v>972</v>
      </c>
      <c r="AI33" s="93" t="b">
        <v>0</v>
      </c>
      <c r="AJ33" s="93"/>
      <c r="AK33" s="93" t="b">
        <v>0</v>
      </c>
      <c r="AL33" s="93"/>
      <c r="AM33" s="93" t="b">
        <v>0</v>
      </c>
      <c r="AN33" s="93" t="b">
        <v>0</v>
      </c>
      <c r="AO33" s="93" t="b">
        <v>0</v>
      </c>
      <c r="AP33" s="93" t="b">
        <v>0</v>
      </c>
      <c r="AQ33" s="93" t="b">
        <v>0</v>
      </c>
      <c r="AR33" s="93" t="b">
        <v>0</v>
      </c>
      <c r="AS33" s="93" t="b">
        <v>0</v>
      </c>
      <c r="AT33" s="107" t="s">
        <v>1502</v>
      </c>
      <c r="AU33" s="94">
        <v>9882334</v>
      </c>
      <c r="AV33" s="90" t="s">
        <v>973</v>
      </c>
      <c r="AW33" s="108" t="s">
        <v>991</v>
      </c>
      <c r="AX33" s="91">
        <v>44567</v>
      </c>
      <c r="AY33" s="108" t="s">
        <v>1453</v>
      </c>
      <c r="AZ33" s="90" t="s">
        <v>14</v>
      </c>
      <c r="BA33" s="90" t="s">
        <v>100</v>
      </c>
      <c r="BB33" s="90" t="s">
        <v>38</v>
      </c>
      <c r="BC33" s="90"/>
      <c r="BD33" s="90" t="s">
        <v>756</v>
      </c>
      <c r="BE33" s="90"/>
      <c r="BF33" s="90"/>
      <c r="BG33" s="91"/>
      <c r="BH33" s="93" t="b">
        <v>0</v>
      </c>
      <c r="BI33" s="90"/>
      <c r="BJ33" s="90"/>
      <c r="BK33" s="90" t="s">
        <v>1445</v>
      </c>
      <c r="BL33" s="90" t="s">
        <v>1390</v>
      </c>
      <c r="BM33" s="90"/>
      <c r="BN33" s="90"/>
      <c r="BO33" s="90"/>
      <c r="BP33" s="90"/>
      <c r="BQ33" s="90"/>
      <c r="BR33" s="95"/>
      <c r="BS33" s="90"/>
      <c r="BT33" s="90"/>
      <c r="BU33" s="90"/>
      <c r="BV33" s="90"/>
      <c r="BW33" s="90"/>
      <c r="BX33" s="90"/>
      <c r="BY33" s="90"/>
      <c r="BZ33" s="90"/>
      <c r="CA33" s="90"/>
      <c r="CB33" s="90"/>
      <c r="CC33" s="91"/>
      <c r="CD33" s="90"/>
      <c r="CE33" s="91"/>
      <c r="CF33" s="90"/>
      <c r="CG33" s="91"/>
      <c r="CH33" s="90"/>
      <c r="CI33" s="91"/>
      <c r="CJ33" s="90"/>
      <c r="CK33" s="91"/>
      <c r="CL33" s="90"/>
      <c r="CM33" s="91"/>
      <c r="CN33" s="96"/>
      <c r="CO33" s="91"/>
      <c r="CP33" s="90"/>
      <c r="CQ33" s="90"/>
      <c r="CR33" s="90"/>
      <c r="CS33" s="90"/>
      <c r="CT33" s="91"/>
      <c r="CU33" s="90"/>
      <c r="CV33" s="97"/>
    </row>
    <row r="34" spans="1:100" ht="15" customHeight="1" x14ac:dyDescent="0.3">
      <c r="A34" s="117" t="s">
        <v>1404</v>
      </c>
      <c r="B34" s="118">
        <v>44435</v>
      </c>
      <c r="C34" s="117" t="s">
        <v>1403</v>
      </c>
      <c r="D34" s="117" t="s">
        <v>352</v>
      </c>
      <c r="E34" s="119" t="s">
        <v>1118</v>
      </c>
      <c r="F34" s="117" t="s">
        <v>1119</v>
      </c>
      <c r="G34" s="117" t="s">
        <v>374</v>
      </c>
      <c r="H34" s="117" t="s">
        <v>1384</v>
      </c>
      <c r="I34" s="117" t="s">
        <v>354</v>
      </c>
      <c r="J34" s="117" t="s">
        <v>1120</v>
      </c>
      <c r="K34" s="117" t="s">
        <v>412</v>
      </c>
      <c r="L34" s="117" t="s">
        <v>1123</v>
      </c>
      <c r="M34" s="119" t="s">
        <v>346</v>
      </c>
      <c r="N34" s="117" t="s">
        <v>1405</v>
      </c>
      <c r="O34" s="117" t="s">
        <v>1386</v>
      </c>
      <c r="P34" s="117" t="s">
        <v>1406</v>
      </c>
      <c r="Q34" s="118">
        <v>44454</v>
      </c>
      <c r="R34" s="118">
        <v>44469</v>
      </c>
      <c r="S34" s="117" t="s">
        <v>1493</v>
      </c>
      <c r="T34" s="118">
        <v>44484</v>
      </c>
      <c r="U34" s="120" t="s">
        <v>295</v>
      </c>
      <c r="V34" s="120" t="s">
        <v>295</v>
      </c>
      <c r="W34" s="121" t="s">
        <v>262</v>
      </c>
      <c r="X34" s="117" t="s">
        <v>1407</v>
      </c>
      <c r="Y34" s="117"/>
      <c r="Z34" s="117"/>
      <c r="AA34" s="117" t="s">
        <v>804</v>
      </c>
      <c r="AB34" s="117" t="s">
        <v>1408</v>
      </c>
      <c r="AC34" s="118">
        <v>44484</v>
      </c>
      <c r="AD34" s="117" t="s">
        <v>349</v>
      </c>
      <c r="AE34" s="117" t="s">
        <v>1122</v>
      </c>
      <c r="AF34" s="90" t="s">
        <v>1104</v>
      </c>
      <c r="AG34" s="90" t="s">
        <v>0</v>
      </c>
      <c r="AH34" s="93" t="s">
        <v>972</v>
      </c>
      <c r="AI34" s="93" t="b">
        <v>0</v>
      </c>
      <c r="AJ34" s="93"/>
      <c r="AK34" s="93" t="b">
        <v>0</v>
      </c>
      <c r="AL34" s="93"/>
      <c r="AM34" s="93" t="b">
        <v>0</v>
      </c>
      <c r="AN34" s="93" t="b">
        <v>0</v>
      </c>
      <c r="AO34" s="93" t="b">
        <v>0</v>
      </c>
      <c r="AP34" s="93" t="b">
        <v>0</v>
      </c>
      <c r="AQ34" s="93" t="b">
        <v>0</v>
      </c>
      <c r="AR34" s="93" t="b">
        <v>0</v>
      </c>
      <c r="AS34" s="93" t="b">
        <v>0</v>
      </c>
      <c r="AT34" s="107" t="s">
        <v>1494</v>
      </c>
      <c r="AU34" s="94">
        <v>9882334</v>
      </c>
      <c r="AV34" s="90" t="s">
        <v>973</v>
      </c>
      <c r="AW34" s="108" t="s">
        <v>991</v>
      </c>
      <c r="AX34" s="91">
        <v>44566</v>
      </c>
      <c r="AY34" s="108" t="s">
        <v>1453</v>
      </c>
      <c r="AZ34" s="90" t="s">
        <v>19</v>
      </c>
      <c r="BA34" s="90" t="s">
        <v>146</v>
      </c>
      <c r="BB34" s="90" t="s">
        <v>38</v>
      </c>
      <c r="BC34" s="90"/>
      <c r="BD34" s="90" t="s">
        <v>756</v>
      </c>
      <c r="BE34" s="90"/>
      <c r="BF34" s="90"/>
      <c r="BG34" s="91"/>
      <c r="BH34" s="93" t="b">
        <v>0</v>
      </c>
      <c r="BI34" s="90"/>
      <c r="BJ34" s="90"/>
      <c r="BK34" s="90" t="s">
        <v>1105</v>
      </c>
      <c r="BL34" s="90" t="s">
        <v>1390</v>
      </c>
      <c r="BM34" s="90"/>
      <c r="BN34" s="90"/>
      <c r="BO34" s="90"/>
      <c r="BP34" s="90"/>
      <c r="BQ34" s="90"/>
      <c r="BR34" s="95"/>
      <c r="BS34" s="90"/>
      <c r="BT34" s="90"/>
      <c r="BU34" s="90"/>
      <c r="BV34" s="90"/>
      <c r="BW34" s="90"/>
      <c r="BX34" s="90"/>
      <c r="BY34" s="90"/>
      <c r="BZ34" s="90"/>
      <c r="CA34" s="90"/>
      <c r="CB34" s="90"/>
      <c r="CC34" s="91"/>
      <c r="CD34" s="90"/>
      <c r="CE34" s="91"/>
      <c r="CF34" s="90"/>
      <c r="CG34" s="91"/>
      <c r="CH34" s="90"/>
      <c r="CI34" s="91"/>
      <c r="CJ34" s="90"/>
      <c r="CK34" s="91"/>
      <c r="CL34" s="90"/>
      <c r="CM34" s="91"/>
      <c r="CN34" s="96"/>
      <c r="CO34" s="91"/>
      <c r="CP34" s="90"/>
      <c r="CQ34" s="90"/>
      <c r="CR34" s="90"/>
      <c r="CS34" s="90"/>
      <c r="CT34" s="91"/>
      <c r="CU34" s="90"/>
      <c r="CV34" s="97"/>
    </row>
    <row r="35" spans="1:100" ht="15" customHeight="1" x14ac:dyDescent="0.3">
      <c r="A35" s="117" t="s">
        <v>1410</v>
      </c>
      <c r="B35" s="118">
        <v>44435</v>
      </c>
      <c r="C35" s="117" t="s">
        <v>1409</v>
      </c>
      <c r="D35" s="117" t="s">
        <v>352</v>
      </c>
      <c r="E35" s="119" t="s">
        <v>1118</v>
      </c>
      <c r="F35" s="117" t="s">
        <v>1119</v>
      </c>
      <c r="G35" s="117" t="s">
        <v>374</v>
      </c>
      <c r="H35" s="117" t="s">
        <v>1384</v>
      </c>
      <c r="I35" s="117" t="s">
        <v>354</v>
      </c>
      <c r="J35" s="117" t="s">
        <v>1120</v>
      </c>
      <c r="K35" s="117" t="s">
        <v>412</v>
      </c>
      <c r="L35" s="117" t="s">
        <v>1123</v>
      </c>
      <c r="M35" s="119" t="s">
        <v>346</v>
      </c>
      <c r="N35" s="117" t="s">
        <v>1411</v>
      </c>
      <c r="O35" s="117" t="s">
        <v>1412</v>
      </c>
      <c r="P35" s="117" t="s">
        <v>1413</v>
      </c>
      <c r="Q35" s="118">
        <v>44440</v>
      </c>
      <c r="R35" s="118">
        <v>44454</v>
      </c>
      <c r="S35" s="117" t="s">
        <v>1414</v>
      </c>
      <c r="T35" s="118">
        <v>44440</v>
      </c>
      <c r="U35" s="120" t="s">
        <v>295</v>
      </c>
      <c r="V35" s="120" t="s">
        <v>295</v>
      </c>
      <c r="W35" s="121" t="s">
        <v>262</v>
      </c>
      <c r="X35" s="117" t="s">
        <v>1415</v>
      </c>
      <c r="Y35" s="117"/>
      <c r="Z35" s="117"/>
      <c r="AA35" s="117" t="s">
        <v>1</v>
      </c>
      <c r="AB35" s="117" t="s">
        <v>1416</v>
      </c>
      <c r="AC35" s="118">
        <v>44440</v>
      </c>
      <c r="AD35" s="117" t="s">
        <v>349</v>
      </c>
      <c r="AE35" s="117" t="s">
        <v>1122</v>
      </c>
      <c r="AF35" s="90" t="s">
        <v>1104</v>
      </c>
      <c r="AG35" s="90" t="s">
        <v>0</v>
      </c>
      <c r="AH35" s="93" t="s">
        <v>972</v>
      </c>
      <c r="AI35" s="93" t="b">
        <v>0</v>
      </c>
      <c r="AJ35" s="93"/>
      <c r="AK35" s="93" t="b">
        <v>0</v>
      </c>
      <c r="AL35" s="93"/>
      <c r="AM35" s="93" t="b">
        <v>0</v>
      </c>
      <c r="AN35" s="93" t="b">
        <v>0</v>
      </c>
      <c r="AO35" s="93" t="b">
        <v>0</v>
      </c>
      <c r="AP35" s="93" t="b">
        <v>0</v>
      </c>
      <c r="AQ35" s="93" t="b">
        <v>0</v>
      </c>
      <c r="AR35" s="93" t="b">
        <v>0</v>
      </c>
      <c r="AS35" s="93" t="b">
        <v>0</v>
      </c>
      <c r="AT35" s="107" t="s">
        <v>1417</v>
      </c>
      <c r="AU35" s="94">
        <v>9882334</v>
      </c>
      <c r="AV35" s="90" t="s">
        <v>973</v>
      </c>
      <c r="AW35" s="108" t="s">
        <v>991</v>
      </c>
      <c r="AX35" s="91">
        <v>44509</v>
      </c>
      <c r="AY35" s="108" t="s">
        <v>1136</v>
      </c>
      <c r="AZ35" s="90" t="s">
        <v>582</v>
      </c>
      <c r="BA35" s="90" t="s">
        <v>69</v>
      </c>
      <c r="BB35" s="90" t="s">
        <v>38</v>
      </c>
      <c r="BC35" s="90"/>
      <c r="BD35" s="90" t="s">
        <v>30</v>
      </c>
      <c r="BE35" s="90"/>
      <c r="BF35" s="90"/>
      <c r="BG35" s="91"/>
      <c r="BH35" s="93" t="b">
        <v>0</v>
      </c>
      <c r="BI35" s="90"/>
      <c r="BJ35" s="90"/>
      <c r="BK35" s="90" t="s">
        <v>1105</v>
      </c>
      <c r="BL35" s="90" t="s">
        <v>1390</v>
      </c>
      <c r="BM35" s="90"/>
      <c r="BN35" s="90"/>
      <c r="BO35" s="90"/>
      <c r="BP35" s="90"/>
      <c r="BQ35" s="90"/>
      <c r="BR35" s="95"/>
      <c r="BS35" s="90"/>
      <c r="BT35" s="90"/>
      <c r="BU35" s="90"/>
      <c r="BV35" s="90"/>
      <c r="BW35" s="90"/>
      <c r="BX35" s="90"/>
      <c r="BY35" s="90"/>
      <c r="BZ35" s="90"/>
      <c r="CA35" s="90"/>
      <c r="CB35" s="90"/>
      <c r="CC35" s="91"/>
      <c r="CD35" s="90"/>
      <c r="CE35" s="91"/>
      <c r="CF35" s="90"/>
      <c r="CG35" s="91"/>
      <c r="CH35" s="90"/>
      <c r="CI35" s="91"/>
      <c r="CJ35" s="90"/>
      <c r="CK35" s="91"/>
      <c r="CL35" s="90"/>
      <c r="CM35" s="91"/>
      <c r="CN35" s="96"/>
      <c r="CO35" s="91"/>
      <c r="CP35" s="90"/>
      <c r="CQ35" s="90"/>
      <c r="CR35" s="90"/>
      <c r="CS35" s="90"/>
      <c r="CT35" s="91"/>
      <c r="CU35" s="90"/>
      <c r="CV35" s="97"/>
    </row>
    <row r="36" spans="1:100" ht="15" customHeight="1" x14ac:dyDescent="0.3">
      <c r="A36" s="117" t="s">
        <v>1419</v>
      </c>
      <c r="B36" s="118">
        <v>44435</v>
      </c>
      <c r="C36" s="117" t="s">
        <v>1418</v>
      </c>
      <c r="D36" s="117" t="s">
        <v>352</v>
      </c>
      <c r="E36" s="119" t="s">
        <v>1118</v>
      </c>
      <c r="F36" s="117" t="s">
        <v>1119</v>
      </c>
      <c r="G36" s="117" t="s">
        <v>374</v>
      </c>
      <c r="H36" s="117" t="s">
        <v>1384</v>
      </c>
      <c r="I36" s="117" t="s">
        <v>354</v>
      </c>
      <c r="J36" s="117" t="s">
        <v>1120</v>
      </c>
      <c r="K36" s="117" t="s">
        <v>412</v>
      </c>
      <c r="L36" s="117" t="s">
        <v>1123</v>
      </c>
      <c r="M36" s="119" t="s">
        <v>346</v>
      </c>
      <c r="N36" s="117" t="s">
        <v>1420</v>
      </c>
      <c r="O36" s="117" t="s">
        <v>1421</v>
      </c>
      <c r="P36" s="117" t="s">
        <v>1422</v>
      </c>
      <c r="Q36" s="118">
        <v>44459</v>
      </c>
      <c r="R36" s="118">
        <v>44469</v>
      </c>
      <c r="S36" s="117" t="s">
        <v>1423</v>
      </c>
      <c r="T36" s="118">
        <v>44459</v>
      </c>
      <c r="U36" s="120" t="s">
        <v>295</v>
      </c>
      <c r="V36" s="120" t="s">
        <v>295</v>
      </c>
      <c r="W36" s="121" t="s">
        <v>262</v>
      </c>
      <c r="X36" s="117" t="s">
        <v>1424</v>
      </c>
      <c r="Y36" s="117"/>
      <c r="Z36" s="117"/>
      <c r="AA36" s="117" t="s">
        <v>1</v>
      </c>
      <c r="AB36" s="117" t="s">
        <v>1425</v>
      </c>
      <c r="AC36" s="118">
        <v>44459</v>
      </c>
      <c r="AD36" s="117" t="s">
        <v>349</v>
      </c>
      <c r="AE36" s="117" t="s">
        <v>1122</v>
      </c>
      <c r="AF36" s="90" t="s">
        <v>1104</v>
      </c>
      <c r="AG36" s="90" t="s">
        <v>0</v>
      </c>
      <c r="AH36" s="93" t="s">
        <v>972</v>
      </c>
      <c r="AI36" s="93" t="b">
        <v>0</v>
      </c>
      <c r="AJ36" s="93"/>
      <c r="AK36" s="93" t="b">
        <v>0</v>
      </c>
      <c r="AL36" s="93"/>
      <c r="AM36" s="93" t="b">
        <v>0</v>
      </c>
      <c r="AN36" s="93" t="b">
        <v>0</v>
      </c>
      <c r="AO36" s="93" t="b">
        <v>0</v>
      </c>
      <c r="AP36" s="93" t="b">
        <v>0</v>
      </c>
      <c r="AQ36" s="93" t="b">
        <v>0</v>
      </c>
      <c r="AR36" s="93" t="b">
        <v>0</v>
      </c>
      <c r="AS36" s="93" t="b">
        <v>0</v>
      </c>
      <c r="AT36" s="107" t="s">
        <v>1426</v>
      </c>
      <c r="AU36" s="94">
        <v>9882334</v>
      </c>
      <c r="AV36" s="90" t="s">
        <v>973</v>
      </c>
      <c r="AW36" s="108" t="s">
        <v>991</v>
      </c>
      <c r="AX36" s="91">
        <v>44509</v>
      </c>
      <c r="AY36" s="108" t="s">
        <v>1136</v>
      </c>
      <c r="AZ36" s="90" t="s">
        <v>13</v>
      </c>
      <c r="BA36" s="90" t="s">
        <v>83</v>
      </c>
      <c r="BB36" s="90" t="s">
        <v>38</v>
      </c>
      <c r="BC36" s="90"/>
      <c r="BD36" s="90" t="s">
        <v>30</v>
      </c>
      <c r="BE36" s="90"/>
      <c r="BF36" s="90"/>
      <c r="BG36" s="91"/>
      <c r="BH36" s="93" t="b">
        <v>0</v>
      </c>
      <c r="BI36" s="90"/>
      <c r="BJ36" s="90"/>
      <c r="BK36" s="90" t="s">
        <v>1105</v>
      </c>
      <c r="BL36" s="90" t="s">
        <v>1390</v>
      </c>
      <c r="BM36" s="90"/>
      <c r="BN36" s="90"/>
      <c r="BO36" s="90"/>
      <c r="BP36" s="90"/>
      <c r="BQ36" s="90"/>
      <c r="BR36" s="95"/>
      <c r="BS36" s="90"/>
      <c r="BT36" s="90"/>
      <c r="BU36" s="90"/>
      <c r="BV36" s="90"/>
      <c r="BW36" s="90"/>
      <c r="BX36" s="90"/>
      <c r="BY36" s="90"/>
      <c r="BZ36" s="90"/>
      <c r="CA36" s="90"/>
      <c r="CB36" s="90"/>
      <c r="CC36" s="91"/>
      <c r="CD36" s="90"/>
      <c r="CE36" s="91"/>
      <c r="CF36" s="90"/>
      <c r="CG36" s="91"/>
      <c r="CH36" s="90"/>
      <c r="CI36" s="91"/>
      <c r="CJ36" s="90"/>
      <c r="CK36" s="91"/>
      <c r="CL36" s="90"/>
      <c r="CM36" s="91"/>
      <c r="CN36" s="96"/>
      <c r="CO36" s="91"/>
      <c r="CP36" s="90"/>
      <c r="CQ36" s="90"/>
      <c r="CR36" s="90"/>
      <c r="CS36" s="90"/>
      <c r="CT36" s="91"/>
      <c r="CU36" s="90"/>
      <c r="CV36" s="97"/>
    </row>
    <row r="37" spans="1:100" ht="15" customHeight="1" x14ac:dyDescent="0.3">
      <c r="A37" s="117" t="s">
        <v>1428</v>
      </c>
      <c r="B37" s="118">
        <v>44435</v>
      </c>
      <c r="C37" s="117" t="s">
        <v>1427</v>
      </c>
      <c r="D37" s="117" t="s">
        <v>352</v>
      </c>
      <c r="E37" s="119" t="s">
        <v>1118</v>
      </c>
      <c r="F37" s="117" t="s">
        <v>1119</v>
      </c>
      <c r="G37" s="117" t="s">
        <v>374</v>
      </c>
      <c r="H37" s="117" t="s">
        <v>1384</v>
      </c>
      <c r="I37" s="117" t="s">
        <v>354</v>
      </c>
      <c r="J37" s="117" t="s">
        <v>1120</v>
      </c>
      <c r="K37" s="117" t="s">
        <v>414</v>
      </c>
      <c r="L37" s="117" t="s">
        <v>1121</v>
      </c>
      <c r="M37" s="119" t="s">
        <v>346</v>
      </c>
      <c r="N37" s="117" t="s">
        <v>1429</v>
      </c>
      <c r="O37" s="117" t="s">
        <v>1430</v>
      </c>
      <c r="P37" s="117" t="s">
        <v>1431</v>
      </c>
      <c r="Q37" s="118">
        <v>44439</v>
      </c>
      <c r="R37" s="118">
        <v>44526</v>
      </c>
      <c r="S37" s="117" t="s">
        <v>1432</v>
      </c>
      <c r="T37" s="118">
        <v>44439</v>
      </c>
      <c r="U37" s="120" t="s">
        <v>295</v>
      </c>
      <c r="V37" s="120" t="s">
        <v>295</v>
      </c>
      <c r="W37" s="121" t="s">
        <v>262</v>
      </c>
      <c r="X37" s="117" t="s">
        <v>1433</v>
      </c>
      <c r="Y37" s="117"/>
      <c r="Z37" s="117"/>
      <c r="AA37" s="117" t="s">
        <v>804</v>
      </c>
      <c r="AB37" s="117" t="s">
        <v>1434</v>
      </c>
      <c r="AC37" s="118">
        <v>44439</v>
      </c>
      <c r="AD37" s="117" t="s">
        <v>349</v>
      </c>
      <c r="AE37" s="117" t="s">
        <v>1122</v>
      </c>
      <c r="AF37" s="90" t="s">
        <v>1104</v>
      </c>
      <c r="AG37" s="90" t="s">
        <v>0</v>
      </c>
      <c r="AH37" s="93" t="s">
        <v>972</v>
      </c>
      <c r="AI37" s="93" t="b">
        <v>0</v>
      </c>
      <c r="AJ37" s="93"/>
      <c r="AK37" s="93" t="b">
        <v>0</v>
      </c>
      <c r="AL37" s="93"/>
      <c r="AM37" s="93" t="b">
        <v>0</v>
      </c>
      <c r="AN37" s="93" t="b">
        <v>0</v>
      </c>
      <c r="AO37" s="93" t="b">
        <v>0</v>
      </c>
      <c r="AP37" s="93" t="b">
        <v>0</v>
      </c>
      <c r="AQ37" s="93" t="b">
        <v>0</v>
      </c>
      <c r="AR37" s="93" t="b">
        <v>0</v>
      </c>
      <c r="AS37" s="93" t="b">
        <v>0</v>
      </c>
      <c r="AT37" s="107" t="s">
        <v>1435</v>
      </c>
      <c r="AU37" s="94">
        <v>9882334</v>
      </c>
      <c r="AV37" s="90" t="s">
        <v>973</v>
      </c>
      <c r="AW37" s="108" t="s">
        <v>991</v>
      </c>
      <c r="AX37" s="91">
        <v>44509</v>
      </c>
      <c r="AY37" s="108" t="s">
        <v>1136</v>
      </c>
      <c r="AZ37" s="90" t="s">
        <v>582</v>
      </c>
      <c r="BA37" s="90" t="s">
        <v>69</v>
      </c>
      <c r="BB37" s="90" t="s">
        <v>40</v>
      </c>
      <c r="BC37" s="90"/>
      <c r="BD37" s="90" t="s">
        <v>30</v>
      </c>
      <c r="BE37" s="90"/>
      <c r="BF37" s="90"/>
      <c r="BG37" s="91"/>
      <c r="BH37" s="93" t="b">
        <v>0</v>
      </c>
      <c r="BI37" s="90"/>
      <c r="BJ37" s="90"/>
      <c r="BK37" s="90" t="s">
        <v>1105</v>
      </c>
      <c r="BL37" s="90" t="s">
        <v>1390</v>
      </c>
      <c r="BM37" s="90"/>
      <c r="BN37" s="90"/>
      <c r="BO37" s="90"/>
      <c r="BP37" s="90"/>
      <c r="BQ37" s="90"/>
      <c r="BR37" s="95"/>
      <c r="BS37" s="90"/>
      <c r="BT37" s="90"/>
      <c r="BU37" s="90"/>
      <c r="BV37" s="90"/>
      <c r="BW37" s="90"/>
      <c r="BX37" s="90"/>
      <c r="BY37" s="90"/>
      <c r="BZ37" s="90"/>
      <c r="CA37" s="90"/>
      <c r="CB37" s="90"/>
      <c r="CC37" s="91"/>
      <c r="CD37" s="90"/>
      <c r="CE37" s="91"/>
      <c r="CF37" s="90"/>
      <c r="CG37" s="91"/>
      <c r="CH37" s="90"/>
      <c r="CI37" s="91"/>
      <c r="CJ37" s="90"/>
      <c r="CK37" s="91"/>
      <c r="CL37" s="90"/>
      <c r="CM37" s="91"/>
      <c r="CN37" s="96"/>
      <c r="CO37" s="91"/>
      <c r="CP37" s="90"/>
      <c r="CQ37" s="90"/>
      <c r="CR37" s="90"/>
      <c r="CS37" s="90"/>
      <c r="CT37" s="91"/>
      <c r="CU37" s="90"/>
      <c r="CV37" s="97"/>
    </row>
    <row r="38" spans="1:100" ht="15" customHeight="1" x14ac:dyDescent="0.3">
      <c r="A38" s="117" t="s">
        <v>1437</v>
      </c>
      <c r="B38" s="118">
        <v>44435</v>
      </c>
      <c r="C38" s="117" t="s">
        <v>1436</v>
      </c>
      <c r="D38" s="117" t="s">
        <v>352</v>
      </c>
      <c r="E38" s="119" t="s">
        <v>1118</v>
      </c>
      <c r="F38" s="117" t="s">
        <v>1119</v>
      </c>
      <c r="G38" s="117" t="s">
        <v>374</v>
      </c>
      <c r="H38" s="117" t="s">
        <v>1384</v>
      </c>
      <c r="I38" s="117" t="s">
        <v>354</v>
      </c>
      <c r="J38" s="117" t="s">
        <v>1120</v>
      </c>
      <c r="K38" s="117" t="s">
        <v>412</v>
      </c>
      <c r="L38" s="117" t="s">
        <v>1123</v>
      </c>
      <c r="M38" s="119" t="s">
        <v>346</v>
      </c>
      <c r="N38" s="117" t="s">
        <v>1438</v>
      </c>
      <c r="O38" s="117" t="s">
        <v>1439</v>
      </c>
      <c r="P38" s="117" t="s">
        <v>1440</v>
      </c>
      <c r="Q38" s="118">
        <v>44438</v>
      </c>
      <c r="R38" s="118">
        <v>44469</v>
      </c>
      <c r="S38" s="117" t="s">
        <v>1441</v>
      </c>
      <c r="T38" s="118">
        <v>44482</v>
      </c>
      <c r="U38" s="120" t="s">
        <v>295</v>
      </c>
      <c r="V38" s="120" t="s">
        <v>295</v>
      </c>
      <c r="W38" s="121" t="s">
        <v>262</v>
      </c>
      <c r="X38" s="117" t="s">
        <v>1442</v>
      </c>
      <c r="Y38" s="117"/>
      <c r="Z38" s="117"/>
      <c r="AA38" s="117" t="s">
        <v>804</v>
      </c>
      <c r="AB38" s="117" t="s">
        <v>1442</v>
      </c>
      <c r="AC38" s="118">
        <v>44482</v>
      </c>
      <c r="AD38" s="117" t="s">
        <v>349</v>
      </c>
      <c r="AE38" s="117" t="s">
        <v>1122</v>
      </c>
      <c r="AF38" s="90" t="s">
        <v>1104</v>
      </c>
      <c r="AG38" s="90" t="s">
        <v>0</v>
      </c>
      <c r="AH38" s="93" t="s">
        <v>972</v>
      </c>
      <c r="AI38" s="93" t="b">
        <v>0</v>
      </c>
      <c r="AJ38" s="93"/>
      <c r="AK38" s="93" t="b">
        <v>0</v>
      </c>
      <c r="AL38" s="93"/>
      <c r="AM38" s="93" t="b">
        <v>0</v>
      </c>
      <c r="AN38" s="93" t="b">
        <v>0</v>
      </c>
      <c r="AO38" s="93" t="b">
        <v>0</v>
      </c>
      <c r="AP38" s="93" t="b">
        <v>0</v>
      </c>
      <c r="AQ38" s="93" t="b">
        <v>0</v>
      </c>
      <c r="AR38" s="93" t="b">
        <v>0</v>
      </c>
      <c r="AS38" s="93" t="b">
        <v>0</v>
      </c>
      <c r="AT38" s="107" t="s">
        <v>1444</v>
      </c>
      <c r="AU38" s="94">
        <v>9882334</v>
      </c>
      <c r="AV38" s="90" t="s">
        <v>973</v>
      </c>
      <c r="AW38" s="108" t="s">
        <v>991</v>
      </c>
      <c r="AX38" s="91">
        <v>44509</v>
      </c>
      <c r="AY38" s="108" t="s">
        <v>1136</v>
      </c>
      <c r="AZ38" s="90" t="s">
        <v>13</v>
      </c>
      <c r="BA38" s="90" t="s">
        <v>83</v>
      </c>
      <c r="BB38" s="90" t="s">
        <v>38</v>
      </c>
      <c r="BC38" s="90"/>
      <c r="BD38" s="90" t="s">
        <v>757</v>
      </c>
      <c r="BE38" s="90"/>
      <c r="BF38" s="90"/>
      <c r="BG38" s="91"/>
      <c r="BH38" s="93" t="b">
        <v>0</v>
      </c>
      <c r="BI38" s="90" t="s">
        <v>1443</v>
      </c>
      <c r="BJ38" s="90"/>
      <c r="BK38" s="90" t="s">
        <v>1105</v>
      </c>
      <c r="BL38" s="90" t="s">
        <v>1390</v>
      </c>
      <c r="BM38" s="90"/>
      <c r="BN38" s="90"/>
      <c r="BO38" s="90"/>
      <c r="BP38" s="90"/>
      <c r="BQ38" s="90"/>
      <c r="BR38" s="95"/>
      <c r="BS38" s="90"/>
      <c r="BT38" s="90"/>
      <c r="BU38" s="90"/>
      <c r="BV38" s="90"/>
      <c r="BW38" s="90"/>
      <c r="BX38" s="90"/>
      <c r="BY38" s="90"/>
      <c r="BZ38" s="90"/>
      <c r="CA38" s="90"/>
      <c r="CB38" s="90"/>
      <c r="CC38" s="91"/>
      <c r="CD38" s="90"/>
      <c r="CE38" s="91"/>
      <c r="CF38" s="90"/>
      <c r="CG38" s="91"/>
      <c r="CH38" s="90"/>
      <c r="CI38" s="91"/>
      <c r="CJ38" s="90"/>
      <c r="CK38" s="91"/>
      <c r="CL38" s="90"/>
      <c r="CM38" s="91"/>
      <c r="CN38" s="96"/>
      <c r="CO38" s="91"/>
      <c r="CP38" s="90"/>
      <c r="CQ38" s="90"/>
      <c r="CR38" s="90"/>
      <c r="CS38" s="90"/>
      <c r="CT38" s="91"/>
      <c r="CU38" s="90"/>
      <c r="CV38" s="97"/>
    </row>
    <row r="39" spans="1:100" ht="15" customHeight="1" x14ac:dyDescent="0.3">
      <c r="A39" s="117" t="s">
        <v>1446</v>
      </c>
      <c r="B39" s="118">
        <v>44513</v>
      </c>
      <c r="C39" s="117" t="s">
        <v>1447</v>
      </c>
      <c r="D39" s="117" t="s">
        <v>364</v>
      </c>
      <c r="E39" s="119" t="str">
        <f>LEFT(D39,1)&amp;"moge"</f>
        <v>Fmoge</v>
      </c>
      <c r="F39" s="117" t="str">
        <f>LEFT(D39,1)&amp;"hoge"</f>
        <v>Fhoge</v>
      </c>
      <c r="G39" s="117" t="s">
        <v>390</v>
      </c>
      <c r="H39" s="117" t="s">
        <v>1129</v>
      </c>
      <c r="I39" s="117" t="s">
        <v>19</v>
      </c>
      <c r="J39" s="117" t="str">
        <f>LEFT(I39,3)</f>
        <v>ELC</v>
      </c>
      <c r="K39" s="117" t="s">
        <v>147</v>
      </c>
      <c r="L39" s="117" t="str">
        <f>LEFT(K39,5)</f>
        <v>ELC04</v>
      </c>
      <c r="M39" s="119" t="s">
        <v>346</v>
      </c>
      <c r="N39" s="117" t="s">
        <v>1448</v>
      </c>
      <c r="O39" s="117" t="s">
        <v>1449</v>
      </c>
      <c r="P39" s="117" t="s">
        <v>1450</v>
      </c>
      <c r="Q39" s="118">
        <v>44514</v>
      </c>
      <c r="R39" s="118">
        <v>44603</v>
      </c>
      <c r="S39" s="117" t="s">
        <v>1451</v>
      </c>
      <c r="T39" s="118">
        <v>44520</v>
      </c>
      <c r="U39" s="120" t="s">
        <v>295</v>
      </c>
      <c r="V39" s="120" t="s">
        <v>295</v>
      </c>
      <c r="W39" s="121" t="s">
        <v>262</v>
      </c>
      <c r="X39" s="117" t="s">
        <v>1457</v>
      </c>
      <c r="Y39" s="117"/>
      <c r="Z39" s="117"/>
      <c r="AA39" s="117" t="s">
        <v>4</v>
      </c>
      <c r="AB39" s="117" t="s">
        <v>1458</v>
      </c>
      <c r="AC39" s="118">
        <v>44520</v>
      </c>
      <c r="AD39" s="117" t="s">
        <v>349</v>
      </c>
      <c r="AE39" s="117" t="s">
        <v>1122</v>
      </c>
      <c r="AF39" s="90" t="s">
        <v>1104</v>
      </c>
      <c r="AG39" s="90" t="s">
        <v>0</v>
      </c>
      <c r="AH39" s="93" t="s">
        <v>972</v>
      </c>
      <c r="AI39" s="93" t="b">
        <v>0</v>
      </c>
      <c r="AJ39" s="93"/>
      <c r="AK39" s="93" t="b">
        <v>0</v>
      </c>
      <c r="AL39" s="93"/>
      <c r="AM39" s="93" t="b">
        <v>1</v>
      </c>
      <c r="AN39" s="93" t="b">
        <v>0</v>
      </c>
      <c r="AO39" s="93" t="b">
        <v>0</v>
      </c>
      <c r="AP39" s="93" t="b">
        <v>0</v>
      </c>
      <c r="AQ39" s="93" t="b">
        <v>1</v>
      </c>
      <c r="AR39" s="93" t="b">
        <v>1</v>
      </c>
      <c r="AS39" s="93" t="b">
        <v>0</v>
      </c>
      <c r="AT39" s="107" t="s">
        <v>1459</v>
      </c>
      <c r="AU39" s="94">
        <v>9882334</v>
      </c>
      <c r="AV39" s="90" t="s">
        <v>973</v>
      </c>
      <c r="AW39" s="108" t="s">
        <v>991</v>
      </c>
      <c r="AX39" s="91">
        <v>44537</v>
      </c>
      <c r="AY39" s="108" t="s">
        <v>1453</v>
      </c>
      <c r="AZ39" s="90" t="s">
        <v>19</v>
      </c>
      <c r="BA39" s="90" t="s">
        <v>147</v>
      </c>
      <c r="BB39" s="90" t="s">
        <v>50</v>
      </c>
      <c r="BC39" s="90"/>
      <c r="BD39" s="90" t="s">
        <v>30</v>
      </c>
      <c r="BE39" s="90"/>
      <c r="BF39" s="90"/>
      <c r="BG39" s="91"/>
      <c r="BH39" s="93" t="b">
        <v>0</v>
      </c>
      <c r="BI39" s="90" t="s">
        <v>1452</v>
      </c>
      <c r="BJ39" s="90"/>
      <c r="BK39" s="90" t="s">
        <v>1105</v>
      </c>
      <c r="BL39" s="90"/>
      <c r="BM39" s="90"/>
      <c r="BN39" s="90"/>
      <c r="BO39" s="90"/>
      <c r="BP39" s="90"/>
      <c r="BQ39" s="90"/>
      <c r="BR39" s="95"/>
      <c r="BS39" s="90"/>
      <c r="BT39" s="90"/>
      <c r="BU39" s="90"/>
      <c r="BV39" s="90"/>
      <c r="BW39" s="90"/>
      <c r="BX39" s="90"/>
      <c r="BY39" s="90"/>
      <c r="BZ39" s="90"/>
      <c r="CA39" s="90"/>
      <c r="CB39" s="90"/>
      <c r="CC39" s="91"/>
      <c r="CD39" s="90"/>
      <c r="CE39" s="91"/>
      <c r="CF39" s="90"/>
      <c r="CG39" s="91"/>
      <c r="CH39" s="90"/>
      <c r="CI39" s="91"/>
      <c r="CJ39" s="90"/>
      <c r="CK39" s="91"/>
      <c r="CL39" s="90"/>
      <c r="CM39" s="91"/>
      <c r="CN39" s="96"/>
      <c r="CO39" s="91"/>
      <c r="CP39" s="90"/>
      <c r="CQ39" s="90"/>
      <c r="CR39" s="90"/>
      <c r="CS39" s="90"/>
      <c r="CT39" s="91"/>
      <c r="CU39" s="90"/>
      <c r="CV39" s="97"/>
    </row>
    <row r="40" spans="1:100" ht="15" customHeight="1" x14ac:dyDescent="0.3">
      <c r="A40" s="117" t="s">
        <v>1461</v>
      </c>
      <c r="B40" s="118">
        <v>44509</v>
      </c>
      <c r="C40" s="117" t="s">
        <v>1462</v>
      </c>
      <c r="D40" s="117" t="s">
        <v>337</v>
      </c>
      <c r="E40" s="119" t="str">
        <f>LEFT(D40,1)&amp;"moge"</f>
        <v>Amoge</v>
      </c>
      <c r="F40" s="117" t="str">
        <f>LEFT(D40,1)&amp;"hoge"</f>
        <v>Ahoge</v>
      </c>
      <c r="G40" s="117" t="s">
        <v>370</v>
      </c>
      <c r="H40" s="117" t="s">
        <v>1464</v>
      </c>
      <c r="I40" s="117" t="s">
        <v>339</v>
      </c>
      <c r="J40" s="117" t="str">
        <f>LEFT(I40,3)</f>
        <v>VET</v>
      </c>
      <c r="K40" s="117" t="s">
        <v>757</v>
      </c>
      <c r="L40" s="117" t="str">
        <f>LEFT(K40,5)</f>
        <v>VET11</v>
      </c>
      <c r="M40" s="119" t="s">
        <v>346</v>
      </c>
      <c r="N40" s="117" t="s">
        <v>1466</v>
      </c>
      <c r="O40" s="117" t="s">
        <v>1467</v>
      </c>
      <c r="P40" s="117" t="s">
        <v>1474</v>
      </c>
      <c r="Q40" s="118">
        <v>44529</v>
      </c>
      <c r="R40" s="118">
        <v>44539</v>
      </c>
      <c r="S40" s="117" t="s">
        <v>1475</v>
      </c>
      <c r="T40" s="118">
        <v>44529</v>
      </c>
      <c r="U40" s="120" t="s">
        <v>295</v>
      </c>
      <c r="V40" s="120" t="s">
        <v>295</v>
      </c>
      <c r="W40" s="121" t="s">
        <v>262</v>
      </c>
      <c r="X40" s="117" t="s">
        <v>1477</v>
      </c>
      <c r="Y40" s="117"/>
      <c r="Z40" s="117"/>
      <c r="AA40" s="117" t="s">
        <v>1</v>
      </c>
      <c r="AB40" s="117" t="s">
        <v>1476</v>
      </c>
      <c r="AC40" s="118">
        <v>44529</v>
      </c>
      <c r="AD40" s="117" t="s">
        <v>349</v>
      </c>
      <c r="AE40" s="117" t="s">
        <v>1473</v>
      </c>
      <c r="AF40" s="90" t="s">
        <v>1104</v>
      </c>
      <c r="AG40" s="90" t="s">
        <v>0</v>
      </c>
      <c r="AH40" s="93" t="s">
        <v>972</v>
      </c>
      <c r="AI40" s="93" t="b">
        <v>0</v>
      </c>
      <c r="AJ40" s="93"/>
      <c r="AK40" s="93" t="b">
        <v>0</v>
      </c>
      <c r="AL40" s="93"/>
      <c r="AM40" s="93" t="b">
        <v>0</v>
      </c>
      <c r="AN40" s="93" t="b">
        <v>0</v>
      </c>
      <c r="AO40" s="93" t="b">
        <v>0</v>
      </c>
      <c r="AP40" s="93" t="b">
        <v>0</v>
      </c>
      <c r="AQ40" s="93" t="b">
        <v>0</v>
      </c>
      <c r="AR40" s="93" t="b">
        <v>0</v>
      </c>
      <c r="AS40" s="93" t="b">
        <v>0</v>
      </c>
      <c r="AT40" s="107" t="s">
        <v>1478</v>
      </c>
      <c r="AU40" s="94">
        <v>9882334</v>
      </c>
      <c r="AV40" s="90" t="s">
        <v>973</v>
      </c>
      <c r="AW40" s="108" t="s">
        <v>991</v>
      </c>
      <c r="AX40" s="91">
        <v>44540</v>
      </c>
      <c r="AY40" s="108" t="s">
        <v>1453</v>
      </c>
      <c r="AZ40" s="90" t="s">
        <v>10</v>
      </c>
      <c r="BA40" s="90" t="s">
        <v>80</v>
      </c>
      <c r="BB40" s="90" t="s">
        <v>41</v>
      </c>
      <c r="BC40" s="90"/>
      <c r="BD40" s="90" t="s">
        <v>757</v>
      </c>
      <c r="BE40" s="90" t="s">
        <v>1465</v>
      </c>
      <c r="BF40" s="90"/>
      <c r="BG40" s="91"/>
      <c r="BH40" s="93" t="b">
        <v>0</v>
      </c>
      <c r="BI40" s="90"/>
      <c r="BJ40" s="90"/>
      <c r="BK40" s="90" t="s">
        <v>1105</v>
      </c>
      <c r="BL40" s="90" t="s">
        <v>1463</v>
      </c>
      <c r="BM40" s="90"/>
      <c r="BN40" s="90" t="s">
        <v>1471</v>
      </c>
      <c r="BO40" s="90" t="s">
        <v>1472</v>
      </c>
      <c r="BP40" s="90" t="s">
        <v>1106</v>
      </c>
      <c r="BQ40" s="90" t="s">
        <v>1329</v>
      </c>
      <c r="BR40" s="95"/>
      <c r="BS40" s="90" t="s">
        <v>1468</v>
      </c>
      <c r="BT40" s="90" t="s">
        <v>1469</v>
      </c>
      <c r="BU40" s="90" t="s">
        <v>1470</v>
      </c>
      <c r="BV40" s="90"/>
      <c r="BW40" s="90"/>
      <c r="BX40" s="90"/>
      <c r="BY40" s="90"/>
      <c r="BZ40" s="90"/>
      <c r="CA40" s="90"/>
      <c r="CB40" s="90"/>
      <c r="CC40" s="91"/>
      <c r="CD40" s="90"/>
      <c r="CE40" s="91"/>
      <c r="CF40" s="90"/>
      <c r="CG40" s="91"/>
      <c r="CH40" s="90"/>
      <c r="CI40" s="91"/>
      <c r="CJ40" s="90"/>
      <c r="CK40" s="91"/>
      <c r="CL40" s="90"/>
      <c r="CM40" s="91"/>
      <c r="CN40" s="96"/>
      <c r="CO40" s="91"/>
      <c r="CP40" s="90" t="s">
        <v>771</v>
      </c>
      <c r="CQ40" s="90" t="s">
        <v>568</v>
      </c>
      <c r="CR40" s="90" t="s">
        <v>1107</v>
      </c>
      <c r="CS40" s="90">
        <v>8</v>
      </c>
      <c r="CT40" s="91">
        <v>44525</v>
      </c>
      <c r="CU40" s="90" t="s">
        <v>1473</v>
      </c>
      <c r="CV40" s="97">
        <v>44525</v>
      </c>
    </row>
    <row r="41" spans="1:100" ht="15" customHeight="1" x14ac:dyDescent="0.3">
      <c r="A41" s="117" t="s">
        <v>1479</v>
      </c>
      <c r="B41" s="118">
        <v>44541</v>
      </c>
      <c r="C41" s="117" t="s">
        <v>1480</v>
      </c>
      <c r="D41" s="117" t="s">
        <v>364</v>
      </c>
      <c r="E41" s="119" t="str">
        <f>LEFT(D41,1)&amp;"moge"</f>
        <v>Fmoge</v>
      </c>
      <c r="F41" s="117" t="str">
        <f>LEFT(D41,1)&amp;"hoge"</f>
        <v>Fhoge</v>
      </c>
      <c r="G41" s="117" t="s">
        <v>389</v>
      </c>
      <c r="H41" s="117" t="s">
        <v>1481</v>
      </c>
      <c r="I41" s="117" t="s">
        <v>7</v>
      </c>
      <c r="J41" s="117" t="str">
        <f>LEFT(I41,3)</f>
        <v>ACC</v>
      </c>
      <c r="K41" s="117" t="s">
        <v>59</v>
      </c>
      <c r="L41" s="117" t="str">
        <f>LEFT(K41,5)</f>
        <v>ACC07</v>
      </c>
      <c r="M41" s="119" t="s">
        <v>341</v>
      </c>
      <c r="N41" s="129" t="s">
        <v>1482</v>
      </c>
      <c r="O41" s="117" t="s">
        <v>1483</v>
      </c>
      <c r="P41" s="129" t="s">
        <v>1484</v>
      </c>
      <c r="Q41" s="118">
        <v>44541</v>
      </c>
      <c r="R41" s="118">
        <v>44559</v>
      </c>
      <c r="S41" s="117" t="s">
        <v>1492</v>
      </c>
      <c r="T41" s="118">
        <v>44555</v>
      </c>
      <c r="U41" s="120" t="s">
        <v>295</v>
      </c>
      <c r="V41" s="120" t="s">
        <v>1504</v>
      </c>
      <c r="W41" s="121" t="s">
        <v>262</v>
      </c>
      <c r="X41" s="117" t="s">
        <v>1503</v>
      </c>
      <c r="Y41" s="117"/>
      <c r="Z41" s="117"/>
      <c r="AA41" s="117" t="s">
        <v>5</v>
      </c>
      <c r="AB41" s="117" t="s">
        <v>1503</v>
      </c>
      <c r="AC41" s="118">
        <v>44555</v>
      </c>
      <c r="AD41" s="117" t="s">
        <v>349</v>
      </c>
      <c r="AE41" s="117" t="s">
        <v>1122</v>
      </c>
      <c r="AF41" s="90" t="s">
        <v>1104</v>
      </c>
      <c r="AG41" s="90" t="s">
        <v>0</v>
      </c>
      <c r="AH41" s="93" t="s">
        <v>972</v>
      </c>
      <c r="AI41" s="93" t="b">
        <v>1</v>
      </c>
      <c r="AJ41" s="93" t="s">
        <v>1504</v>
      </c>
      <c r="AK41" s="93" t="b">
        <v>0</v>
      </c>
      <c r="AL41" s="93"/>
      <c r="AM41" s="93" t="b">
        <v>0</v>
      </c>
      <c r="AN41" s="93" t="b">
        <v>0</v>
      </c>
      <c r="AO41" s="93" t="b">
        <v>0</v>
      </c>
      <c r="AP41" s="93" t="b">
        <v>0</v>
      </c>
      <c r="AQ41" s="93" t="b">
        <v>0</v>
      </c>
      <c r="AR41" s="93" t="b">
        <v>1</v>
      </c>
      <c r="AS41" s="93" t="b">
        <v>0</v>
      </c>
      <c r="AT41" s="107" t="s">
        <v>1505</v>
      </c>
      <c r="AU41" s="94">
        <v>9882334</v>
      </c>
      <c r="AV41" s="90" t="s">
        <v>973</v>
      </c>
      <c r="AW41" s="108" t="s">
        <v>991</v>
      </c>
      <c r="AX41" s="91">
        <v>44567</v>
      </c>
      <c r="AY41" s="108" t="s">
        <v>1453</v>
      </c>
      <c r="AZ41" s="90" t="s">
        <v>7</v>
      </c>
      <c r="BA41" s="90" t="s">
        <v>59</v>
      </c>
      <c r="BB41" s="90" t="s">
        <v>44</v>
      </c>
      <c r="BC41" s="90"/>
      <c r="BD41" s="90" t="s">
        <v>755</v>
      </c>
      <c r="BE41" s="90"/>
      <c r="BF41" s="90"/>
      <c r="BG41" s="91"/>
      <c r="BH41" s="93" t="b">
        <v>1</v>
      </c>
      <c r="BI41" s="90" t="s">
        <v>499</v>
      </c>
      <c r="BJ41" s="90"/>
      <c r="BK41" s="90" t="s">
        <v>1105</v>
      </c>
      <c r="BL41" s="90"/>
      <c r="BM41" s="90"/>
      <c r="BN41" s="90"/>
      <c r="BO41" s="90"/>
      <c r="BP41" s="90"/>
      <c r="BQ41" s="90"/>
      <c r="BR41" s="95"/>
      <c r="BS41" s="90"/>
      <c r="BT41" s="90"/>
      <c r="BU41" s="90"/>
      <c r="BV41" s="90"/>
      <c r="BW41" s="90"/>
      <c r="BX41" s="90"/>
      <c r="BY41" s="90"/>
      <c r="BZ41" s="90"/>
      <c r="CA41" s="90"/>
      <c r="CB41" s="90"/>
      <c r="CC41" s="91"/>
      <c r="CD41" s="90"/>
      <c r="CE41" s="91"/>
      <c r="CF41" s="90"/>
      <c r="CG41" s="91"/>
      <c r="CH41" s="90"/>
      <c r="CI41" s="91"/>
      <c r="CJ41" s="90"/>
      <c r="CK41" s="91"/>
      <c r="CL41" s="90"/>
      <c r="CM41" s="91"/>
      <c r="CN41" s="96"/>
      <c r="CO41" s="91"/>
      <c r="CP41" s="90"/>
      <c r="CQ41" s="90"/>
      <c r="CR41" s="90"/>
      <c r="CS41" s="90"/>
      <c r="CT41" s="91"/>
      <c r="CU41" s="90"/>
      <c r="CV41" s="97"/>
    </row>
    <row r="42" spans="1:100" ht="15" customHeight="1" x14ac:dyDescent="0.3">
      <c r="A42" s="117" t="s">
        <v>1485</v>
      </c>
      <c r="B42" s="118">
        <v>44534</v>
      </c>
      <c r="C42" s="117" t="s">
        <v>1486</v>
      </c>
      <c r="D42" s="117" t="s">
        <v>364</v>
      </c>
      <c r="E42" s="119" t="str">
        <f>LEFT(D42,1)&amp;"moge"</f>
        <v>Fmoge</v>
      </c>
      <c r="F42" s="117" t="str">
        <f>LEFT(D42,1)&amp;"hoge"</f>
        <v>Fhoge</v>
      </c>
      <c r="G42" s="117" t="s">
        <v>390</v>
      </c>
      <c r="H42" s="117" t="s">
        <v>1129</v>
      </c>
      <c r="I42" s="117" t="s">
        <v>14</v>
      </c>
      <c r="J42" s="117" t="str">
        <f>LEFT(I42,3)</f>
        <v>MEN</v>
      </c>
      <c r="K42" s="117" t="s">
        <v>98</v>
      </c>
      <c r="L42" s="117" t="str">
        <f>LEFT(K42,5)</f>
        <v>MEN15</v>
      </c>
      <c r="M42" s="119" t="s">
        <v>346</v>
      </c>
      <c r="N42" s="129" t="s">
        <v>1491</v>
      </c>
      <c r="O42" s="117" t="s">
        <v>1487</v>
      </c>
      <c r="P42" s="129" t="s">
        <v>1488</v>
      </c>
      <c r="Q42" s="118">
        <v>44564</v>
      </c>
      <c r="R42" s="118">
        <v>44624</v>
      </c>
      <c r="S42" s="117" t="s">
        <v>1489</v>
      </c>
      <c r="T42" s="118">
        <v>44565</v>
      </c>
      <c r="U42" s="120" t="s">
        <v>295</v>
      </c>
      <c r="V42" s="120" t="s">
        <v>295</v>
      </c>
      <c r="W42" s="121" t="s">
        <v>262</v>
      </c>
      <c r="X42" s="117" t="s">
        <v>1506</v>
      </c>
      <c r="Y42" s="117"/>
      <c r="Z42" s="117"/>
      <c r="AA42" s="117" t="s">
        <v>4</v>
      </c>
      <c r="AB42" s="117" t="s">
        <v>1506</v>
      </c>
      <c r="AC42" s="118">
        <v>44565</v>
      </c>
      <c r="AD42" s="117" t="s">
        <v>349</v>
      </c>
      <c r="AE42" s="117" t="s">
        <v>1122</v>
      </c>
      <c r="AF42" s="90" t="s">
        <v>1104</v>
      </c>
      <c r="AG42" s="90" t="s">
        <v>0</v>
      </c>
      <c r="AH42" s="93" t="s">
        <v>972</v>
      </c>
      <c r="AI42" s="93" t="b">
        <v>0</v>
      </c>
      <c r="AJ42" s="93"/>
      <c r="AK42" s="93" t="b">
        <v>0</v>
      </c>
      <c r="AL42" s="93"/>
      <c r="AM42" s="93" t="b">
        <v>0</v>
      </c>
      <c r="AN42" s="93" t="b">
        <v>0</v>
      </c>
      <c r="AO42" s="93" t="b">
        <v>0</v>
      </c>
      <c r="AP42" s="93" t="b">
        <v>0</v>
      </c>
      <c r="AQ42" s="93" t="b">
        <v>0</v>
      </c>
      <c r="AR42" s="93" t="b">
        <v>0</v>
      </c>
      <c r="AS42" s="93" t="b">
        <v>0</v>
      </c>
      <c r="AT42" s="107" t="s">
        <v>1507</v>
      </c>
      <c r="AU42" s="94">
        <v>9882334</v>
      </c>
      <c r="AV42" s="90" t="s">
        <v>973</v>
      </c>
      <c r="AW42" s="108" t="s">
        <v>991</v>
      </c>
      <c r="AX42" s="91">
        <v>44567</v>
      </c>
      <c r="AY42" s="108" t="s">
        <v>1453</v>
      </c>
      <c r="AZ42" s="90" t="s">
        <v>14</v>
      </c>
      <c r="BA42" s="90" t="s">
        <v>98</v>
      </c>
      <c r="BB42" s="90" t="s">
        <v>43</v>
      </c>
      <c r="BC42" s="90"/>
      <c r="BD42" s="90" t="s">
        <v>756</v>
      </c>
      <c r="BE42" s="90"/>
      <c r="BF42" s="90"/>
      <c r="BG42" s="91"/>
      <c r="BH42" s="93" t="b">
        <v>0</v>
      </c>
      <c r="BI42" s="90" t="s">
        <v>1490</v>
      </c>
      <c r="BJ42" s="90"/>
      <c r="BK42" s="90" t="s">
        <v>1105</v>
      </c>
      <c r="BL42" s="90"/>
      <c r="BM42" s="90"/>
      <c r="BN42" s="90"/>
      <c r="BO42" s="90"/>
      <c r="BP42" s="90"/>
      <c r="BQ42" s="90"/>
      <c r="BR42" s="95"/>
      <c r="BS42" s="90"/>
      <c r="BT42" s="90"/>
      <c r="BU42" s="90"/>
      <c r="BV42" s="90"/>
      <c r="BW42" s="90"/>
      <c r="BX42" s="90"/>
      <c r="BY42" s="90"/>
      <c r="BZ42" s="90"/>
      <c r="CA42" s="90"/>
      <c r="CB42" s="90"/>
      <c r="CC42" s="91"/>
      <c r="CD42" s="90"/>
      <c r="CE42" s="91"/>
      <c r="CF42" s="90"/>
      <c r="CG42" s="91"/>
      <c r="CH42" s="90"/>
      <c r="CI42" s="91"/>
      <c r="CJ42" s="90"/>
      <c r="CK42" s="91"/>
      <c r="CL42" s="90"/>
      <c r="CM42" s="91"/>
      <c r="CN42" s="96"/>
      <c r="CO42" s="91"/>
      <c r="CP42" s="90"/>
      <c r="CQ42" s="90"/>
      <c r="CR42" s="90"/>
      <c r="CS42" s="90"/>
      <c r="CT42" s="91"/>
      <c r="CU42" s="90"/>
      <c r="CV42" s="97"/>
    </row>
    <row r="43" spans="1:100" ht="15" customHeight="1" x14ac:dyDescent="0.3">
      <c r="A43" s="109" t="s">
        <v>1060</v>
      </c>
      <c r="AG43" s="14"/>
      <c r="AH43" s="12"/>
      <c r="AI43" s="12"/>
      <c r="AJ43" s="12"/>
      <c r="AK43" s="12"/>
      <c r="AL43" s="12"/>
      <c r="AM43" s="12"/>
      <c r="AN43" s="12"/>
      <c r="AO43" s="12"/>
      <c r="AP43" s="12"/>
      <c r="AQ43" s="12"/>
      <c r="AR43" s="12"/>
      <c r="AS43" s="12"/>
      <c r="AT43" s="12"/>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row>
  </sheetData>
  <sheetProtection algorithmName="SHA-512" hashValue="d1jdhPb9TtV+EkL8oLa7vge5HKXLZOHh7IC+GFnuiJvrNxS+f639rPgsvjTQhd5wPlxC3HGJFHQvxi8Vy4iTwA==" saltValue="8gQO8VH7aj+juqlgkiIy5Q=="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1631950</xdr:colOff>
                <xdr:row>1</xdr:row>
                <xdr:rowOff>63500</xdr:rowOff>
              </from>
              <to>
                <xdr:col>13</xdr:col>
                <xdr:colOff>336550</xdr:colOff>
                <xdr:row>2</xdr:row>
                <xdr:rowOff>203200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31750</xdr:colOff>
                <xdr:row>3</xdr:row>
                <xdr:rowOff>38100</xdr:rowOff>
              </from>
              <to>
                <xdr:col>10</xdr:col>
                <xdr:colOff>1663700</xdr:colOff>
                <xdr:row>4</xdr:row>
                <xdr:rowOff>215900</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450850</xdr:colOff>
                <xdr:row>4</xdr:row>
                <xdr:rowOff>203200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31750</xdr:colOff>
                <xdr:row>1</xdr:row>
                <xdr:rowOff>63500</xdr:rowOff>
              </from>
              <to>
                <xdr:col>10</xdr:col>
                <xdr:colOff>1612900</xdr:colOff>
                <xdr:row>2</xdr:row>
                <xdr:rowOff>222250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25400</xdr:colOff>
                <xdr:row>0</xdr:row>
                <xdr:rowOff>0</xdr:rowOff>
              </from>
              <to>
                <xdr:col>3</xdr:col>
                <xdr:colOff>69850</xdr:colOff>
                <xdr:row>1</xdr:row>
                <xdr:rowOff>0</xdr:rowOff>
              </to>
            </anchor>
          </controlPr>
        </control>
      </mc:Choice>
      <mc:Fallback>
        <control shapeId="8299" r:id="rId12"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36"/>
  <sheetViews>
    <sheetView workbookViewId="0">
      <selection activeCell="A2" sqref="A2"/>
    </sheetView>
  </sheetViews>
  <sheetFormatPr defaultRowHeight="13" x14ac:dyDescent="0.2"/>
  <cols>
    <col min="1" max="1" width="24.81640625" bestFit="1" customWidth="1"/>
    <col min="2" max="2" width="11" bestFit="1" customWidth="1"/>
    <col min="17" max="17" width="10.90625" bestFit="1" customWidth="1"/>
    <col min="18" max="18" width="11.453125" customWidth="1"/>
    <col min="20" max="20" width="12.179687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x14ac:dyDescent="0.3">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x14ac:dyDescent="0.2">
      <c r="A2" t="s">
        <v>1137</v>
      </c>
      <c r="B2" s="128">
        <v>44193</v>
      </c>
      <c r="C2" t="s">
        <v>1138</v>
      </c>
      <c r="D2" t="s">
        <v>364</v>
      </c>
      <c r="E2" t="s">
        <v>1125</v>
      </c>
      <c r="F2" t="s">
        <v>1126</v>
      </c>
      <c r="G2" t="s">
        <v>390</v>
      </c>
      <c r="H2" t="s">
        <v>1139</v>
      </c>
      <c r="I2" t="s">
        <v>13</v>
      </c>
      <c r="J2" t="s">
        <v>1140</v>
      </c>
      <c r="K2" t="s">
        <v>83</v>
      </c>
      <c r="L2" t="s">
        <v>1141</v>
      </c>
      <c r="M2" t="s">
        <v>346</v>
      </c>
      <c r="N2" t="s">
        <v>1142</v>
      </c>
      <c r="O2" t="s">
        <v>1143</v>
      </c>
      <c r="P2" t="s">
        <v>1144</v>
      </c>
      <c r="Q2" s="128">
        <v>44194</v>
      </c>
      <c r="R2" s="128">
        <v>44282</v>
      </c>
      <c r="S2" t="s">
        <v>1145</v>
      </c>
      <c r="T2" s="128">
        <v>44256</v>
      </c>
      <c r="U2">
        <v>0</v>
      </c>
      <c r="V2">
        <v>0</v>
      </c>
      <c r="W2" t="s">
        <v>262</v>
      </c>
      <c r="X2" t="s">
        <v>1146</v>
      </c>
      <c r="AA2" t="s">
        <v>5</v>
      </c>
      <c r="AB2" t="s">
        <v>1147</v>
      </c>
      <c r="AC2" s="128">
        <v>44256</v>
      </c>
      <c r="AD2" t="s">
        <v>349</v>
      </c>
      <c r="AE2" t="s">
        <v>1148</v>
      </c>
      <c r="AF2" t="s">
        <v>1104</v>
      </c>
      <c r="AG2" t="s">
        <v>0</v>
      </c>
      <c r="AH2">
        <v>1</v>
      </c>
      <c r="AI2" t="b">
        <v>0</v>
      </c>
      <c r="AK2" t="b">
        <v>0</v>
      </c>
      <c r="AM2" t="b">
        <v>0</v>
      </c>
      <c r="AN2" t="b">
        <v>0</v>
      </c>
      <c r="AO2" t="b">
        <v>0</v>
      </c>
      <c r="AP2" t="b">
        <v>0</v>
      </c>
      <c r="AQ2" t="b">
        <v>0</v>
      </c>
      <c r="AR2" t="b">
        <v>0</v>
      </c>
      <c r="AS2" t="b">
        <v>0</v>
      </c>
      <c r="AT2" t="s">
        <v>1149</v>
      </c>
      <c r="AU2">
        <v>9882334</v>
      </c>
      <c r="AV2" t="s">
        <v>973</v>
      </c>
      <c r="AW2" t="s">
        <v>991</v>
      </c>
      <c r="AX2" s="128">
        <v>44509</v>
      </c>
      <c r="AY2" t="s">
        <v>1136</v>
      </c>
      <c r="AZ2" t="s">
        <v>13</v>
      </c>
      <c r="BA2" t="s">
        <v>83</v>
      </c>
      <c r="BB2" t="s">
        <v>52</v>
      </c>
      <c r="BD2" t="s">
        <v>801</v>
      </c>
      <c r="BG2" s="128"/>
      <c r="BH2" t="b">
        <v>0</v>
      </c>
      <c r="BK2" t="s">
        <v>1105</v>
      </c>
      <c r="CC2" s="128"/>
      <c r="CE2" s="128"/>
      <c r="CG2" s="128"/>
      <c r="CI2" s="128"/>
      <c r="CK2" s="128"/>
      <c r="CM2" s="128"/>
      <c r="CO2" s="128"/>
      <c r="CT2" s="128"/>
      <c r="CV2" s="128"/>
    </row>
    <row r="3" spans="1:100" x14ac:dyDescent="0.2">
      <c r="A3" t="s">
        <v>1150</v>
      </c>
      <c r="B3" s="128">
        <v>44271</v>
      </c>
      <c r="C3" t="s">
        <v>1151</v>
      </c>
      <c r="D3" t="s">
        <v>368</v>
      </c>
      <c r="E3" t="s">
        <v>1152</v>
      </c>
      <c r="F3" t="s">
        <v>1153</v>
      </c>
      <c r="G3" t="s">
        <v>397</v>
      </c>
      <c r="H3" t="s">
        <v>1154</v>
      </c>
      <c r="I3" t="s">
        <v>366</v>
      </c>
      <c r="J3" t="s">
        <v>1155</v>
      </c>
      <c r="K3" t="s">
        <v>471</v>
      </c>
      <c r="L3" t="s">
        <v>1156</v>
      </c>
      <c r="M3" t="s">
        <v>346</v>
      </c>
      <c r="N3" t="s">
        <v>1157</v>
      </c>
      <c r="O3" t="s">
        <v>262</v>
      </c>
      <c r="P3" t="s">
        <v>262</v>
      </c>
      <c r="Q3" s="128">
        <v>44271</v>
      </c>
      <c r="R3" s="128">
        <v>44271</v>
      </c>
      <c r="S3" t="s">
        <v>262</v>
      </c>
      <c r="T3" s="128" t="s">
        <v>1158</v>
      </c>
      <c r="U3">
        <v>0</v>
      </c>
      <c r="V3">
        <v>0</v>
      </c>
      <c r="W3" t="s">
        <v>262</v>
      </c>
      <c r="X3" t="s">
        <v>1108</v>
      </c>
      <c r="AA3" t="s">
        <v>5</v>
      </c>
      <c r="AC3" s="128">
        <v>44271</v>
      </c>
      <c r="AD3" t="s">
        <v>349</v>
      </c>
      <c r="AF3" t="s">
        <v>1104</v>
      </c>
      <c r="AG3" t="s">
        <v>0</v>
      </c>
      <c r="AH3">
        <v>1</v>
      </c>
      <c r="AI3" t="b">
        <v>0</v>
      </c>
      <c r="AK3" t="b">
        <v>0</v>
      </c>
      <c r="AM3" t="b">
        <v>0</v>
      </c>
      <c r="AN3" t="b">
        <v>0</v>
      </c>
      <c r="AO3" t="b">
        <v>0</v>
      </c>
      <c r="AP3" t="b">
        <v>0</v>
      </c>
      <c r="AQ3" t="b">
        <v>0</v>
      </c>
      <c r="AR3" t="b">
        <v>0</v>
      </c>
      <c r="AS3" t="b">
        <v>0</v>
      </c>
      <c r="AT3" t="s">
        <v>1159</v>
      </c>
      <c r="AU3">
        <v>9882334</v>
      </c>
      <c r="AV3" t="s">
        <v>973</v>
      </c>
      <c r="AW3" t="s">
        <v>991</v>
      </c>
      <c r="AX3" s="128">
        <v>44509</v>
      </c>
      <c r="AY3" t="s">
        <v>1136</v>
      </c>
      <c r="BB3" t="s">
        <v>402</v>
      </c>
      <c r="BD3" t="s">
        <v>801</v>
      </c>
      <c r="BG3" s="128"/>
      <c r="BH3" t="b">
        <v>0</v>
      </c>
      <c r="BI3" t="s">
        <v>499</v>
      </c>
      <c r="BK3" t="s">
        <v>1105</v>
      </c>
      <c r="CC3" s="128"/>
      <c r="CE3" s="128"/>
      <c r="CG3" s="128"/>
      <c r="CI3" s="128"/>
      <c r="CK3" s="128"/>
      <c r="CM3" s="128"/>
      <c r="CO3" s="128"/>
      <c r="CT3" s="128"/>
      <c r="CV3" s="128"/>
    </row>
    <row r="4" spans="1:100" x14ac:dyDescent="0.2">
      <c r="A4" t="s">
        <v>1160</v>
      </c>
      <c r="B4" s="128">
        <v>44284</v>
      </c>
      <c r="C4" t="s">
        <v>1161</v>
      </c>
      <c r="D4" t="s">
        <v>364</v>
      </c>
      <c r="E4" t="s">
        <v>1125</v>
      </c>
      <c r="F4" t="s">
        <v>1126</v>
      </c>
      <c r="G4" t="s">
        <v>390</v>
      </c>
      <c r="H4" t="s">
        <v>1139</v>
      </c>
      <c r="I4" t="s">
        <v>19</v>
      </c>
      <c r="J4" t="s">
        <v>1133</v>
      </c>
      <c r="K4" t="s">
        <v>146</v>
      </c>
      <c r="L4" t="s">
        <v>1162</v>
      </c>
      <c r="M4" t="s">
        <v>346</v>
      </c>
      <c r="N4" t="s">
        <v>1163</v>
      </c>
      <c r="O4" t="s">
        <v>1164</v>
      </c>
      <c r="P4" t="s">
        <v>1165</v>
      </c>
      <c r="Q4" s="128">
        <v>44284</v>
      </c>
      <c r="R4" s="128">
        <v>44316</v>
      </c>
      <c r="S4" t="s">
        <v>1166</v>
      </c>
      <c r="T4" s="128">
        <v>44306</v>
      </c>
      <c r="U4">
        <v>0</v>
      </c>
      <c r="V4">
        <v>0</v>
      </c>
      <c r="W4" t="s">
        <v>262</v>
      </c>
      <c r="X4" t="s">
        <v>1167</v>
      </c>
      <c r="AA4" t="s">
        <v>4</v>
      </c>
      <c r="AB4" t="s">
        <v>1168</v>
      </c>
      <c r="AC4" s="128">
        <v>44306</v>
      </c>
      <c r="AD4" t="s">
        <v>349</v>
      </c>
      <c r="AE4" t="s">
        <v>1169</v>
      </c>
      <c r="AF4" t="s">
        <v>1104</v>
      </c>
      <c r="AG4" t="s">
        <v>0</v>
      </c>
      <c r="AH4">
        <v>1</v>
      </c>
      <c r="AI4" t="b">
        <v>0</v>
      </c>
      <c r="AK4" t="b">
        <v>0</v>
      </c>
      <c r="AM4" t="b">
        <v>0</v>
      </c>
      <c r="AN4" t="b">
        <v>0</v>
      </c>
      <c r="AO4" t="b">
        <v>0</v>
      </c>
      <c r="AP4" t="b">
        <v>0</v>
      </c>
      <c r="AQ4" t="b">
        <v>0</v>
      </c>
      <c r="AR4" t="b">
        <v>0</v>
      </c>
      <c r="AS4" t="b">
        <v>0</v>
      </c>
      <c r="AT4" t="s">
        <v>1171</v>
      </c>
      <c r="AU4">
        <v>9882334</v>
      </c>
      <c r="AV4" t="s">
        <v>973</v>
      </c>
      <c r="AW4" t="s">
        <v>991</v>
      </c>
      <c r="AX4" s="128">
        <v>44509</v>
      </c>
      <c r="AY4" t="s">
        <v>1136</v>
      </c>
      <c r="AZ4" t="s">
        <v>19</v>
      </c>
      <c r="BA4" t="s">
        <v>146</v>
      </c>
      <c r="BB4" t="s">
        <v>34</v>
      </c>
      <c r="BD4" t="s">
        <v>801</v>
      </c>
      <c r="BG4" s="128"/>
      <c r="BH4" t="b">
        <v>0</v>
      </c>
      <c r="BI4" t="s">
        <v>1170</v>
      </c>
      <c r="BK4" t="s">
        <v>1105</v>
      </c>
      <c r="CC4" s="128"/>
      <c r="CE4" s="128"/>
      <c r="CG4" s="128"/>
      <c r="CI4" s="128"/>
      <c r="CK4" s="128"/>
      <c r="CM4" s="128"/>
      <c r="CO4" s="128"/>
      <c r="CT4" s="128"/>
      <c r="CV4" s="128"/>
    </row>
    <row r="5" spans="1:100" x14ac:dyDescent="0.2">
      <c r="A5" t="s">
        <v>1172</v>
      </c>
      <c r="B5" s="128">
        <v>44284</v>
      </c>
      <c r="C5" t="s">
        <v>1173</v>
      </c>
      <c r="D5" t="s">
        <v>364</v>
      </c>
      <c r="E5" t="s">
        <v>1125</v>
      </c>
      <c r="F5" t="s">
        <v>1126</v>
      </c>
      <c r="G5" t="s">
        <v>390</v>
      </c>
      <c r="H5" t="s">
        <v>1139</v>
      </c>
      <c r="I5" t="s">
        <v>22</v>
      </c>
      <c r="J5" t="s">
        <v>1174</v>
      </c>
      <c r="K5" t="s">
        <v>162</v>
      </c>
      <c r="L5" t="s">
        <v>1175</v>
      </c>
      <c r="M5" t="s">
        <v>346</v>
      </c>
      <c r="N5" t="s">
        <v>1176</v>
      </c>
      <c r="O5" t="s">
        <v>499</v>
      </c>
      <c r="P5" t="s">
        <v>1177</v>
      </c>
      <c r="Q5" s="128">
        <v>44284</v>
      </c>
      <c r="R5" s="128">
        <v>44374</v>
      </c>
      <c r="S5" t="s">
        <v>1178</v>
      </c>
      <c r="T5" s="128">
        <v>44284</v>
      </c>
      <c r="U5">
        <v>0</v>
      </c>
      <c r="V5">
        <v>0</v>
      </c>
      <c r="W5" t="s">
        <v>262</v>
      </c>
      <c r="X5" t="s">
        <v>1179</v>
      </c>
      <c r="AA5" t="s">
        <v>1</v>
      </c>
      <c r="AB5" t="s">
        <v>1180</v>
      </c>
      <c r="AC5" s="128">
        <v>44284</v>
      </c>
      <c r="AD5" t="s">
        <v>349</v>
      </c>
      <c r="AE5" t="s">
        <v>1148</v>
      </c>
      <c r="AF5" t="s">
        <v>1104</v>
      </c>
      <c r="AG5" t="s">
        <v>0</v>
      </c>
      <c r="AH5">
        <v>1</v>
      </c>
      <c r="AI5" t="b">
        <v>0</v>
      </c>
      <c r="AK5" t="b">
        <v>0</v>
      </c>
      <c r="AM5" t="b">
        <v>0</v>
      </c>
      <c r="AN5" t="b">
        <v>0</v>
      </c>
      <c r="AO5" t="b">
        <v>0</v>
      </c>
      <c r="AP5" t="b">
        <v>0</v>
      </c>
      <c r="AQ5" t="b">
        <v>0</v>
      </c>
      <c r="AR5" t="b">
        <v>0</v>
      </c>
      <c r="AS5" t="b">
        <v>0</v>
      </c>
      <c r="AT5" t="s">
        <v>1181</v>
      </c>
      <c r="AU5">
        <v>9882334</v>
      </c>
      <c r="AV5" t="s">
        <v>973</v>
      </c>
      <c r="AW5" t="s">
        <v>991</v>
      </c>
      <c r="AX5" s="128">
        <v>44509</v>
      </c>
      <c r="AY5" t="s">
        <v>1136</v>
      </c>
      <c r="AZ5" t="s">
        <v>22</v>
      </c>
      <c r="BA5" t="s">
        <v>162</v>
      </c>
      <c r="BB5" t="s">
        <v>40</v>
      </c>
      <c r="BD5" t="s">
        <v>30</v>
      </c>
      <c r="BG5" s="128"/>
      <c r="BH5" t="b">
        <v>0</v>
      </c>
      <c r="BK5" t="s">
        <v>1105</v>
      </c>
      <c r="CC5" s="128"/>
      <c r="CE5" s="128"/>
      <c r="CG5" s="128"/>
      <c r="CI5" s="128"/>
      <c r="CK5" s="128"/>
      <c r="CM5" s="128"/>
      <c r="CO5" s="128"/>
      <c r="CT5" s="128"/>
      <c r="CV5" s="128"/>
    </row>
    <row r="6" spans="1:100" x14ac:dyDescent="0.2">
      <c r="A6" t="s">
        <v>1182</v>
      </c>
      <c r="B6" s="128">
        <v>44285</v>
      </c>
      <c r="C6" t="s">
        <v>1183</v>
      </c>
      <c r="D6" t="s">
        <v>364</v>
      </c>
      <c r="E6" t="s">
        <v>1125</v>
      </c>
      <c r="F6" t="s">
        <v>1126</v>
      </c>
      <c r="G6" t="s">
        <v>390</v>
      </c>
      <c r="H6" t="s">
        <v>1184</v>
      </c>
      <c r="I6" t="s">
        <v>14</v>
      </c>
      <c r="J6" t="s">
        <v>1131</v>
      </c>
      <c r="K6" t="s">
        <v>100</v>
      </c>
      <c r="L6" t="s">
        <v>1185</v>
      </c>
      <c r="M6" t="s">
        <v>346</v>
      </c>
      <c r="N6" t="s">
        <v>1186</v>
      </c>
      <c r="O6" t="s">
        <v>1187</v>
      </c>
      <c r="P6" t="s">
        <v>1188</v>
      </c>
      <c r="Q6" s="128">
        <v>44285</v>
      </c>
      <c r="R6" s="128">
        <v>44375</v>
      </c>
      <c r="S6" t="s">
        <v>1189</v>
      </c>
      <c r="T6" s="128">
        <v>44285</v>
      </c>
      <c r="U6">
        <v>0</v>
      </c>
      <c r="V6">
        <v>0</v>
      </c>
      <c r="W6" t="s">
        <v>262</v>
      </c>
      <c r="X6" t="s">
        <v>1190</v>
      </c>
      <c r="AA6" t="s">
        <v>1</v>
      </c>
      <c r="AB6" t="s">
        <v>1191</v>
      </c>
      <c r="AC6" s="128">
        <v>44285</v>
      </c>
      <c r="AD6" t="s">
        <v>349</v>
      </c>
      <c r="AE6" t="s">
        <v>1148</v>
      </c>
      <c r="AF6" t="s">
        <v>1104</v>
      </c>
      <c r="AG6" t="s">
        <v>0</v>
      </c>
      <c r="AH6">
        <v>1</v>
      </c>
      <c r="AI6" t="b">
        <v>0</v>
      </c>
      <c r="AK6" t="b">
        <v>0</v>
      </c>
      <c r="AM6" t="b">
        <v>0</v>
      </c>
      <c r="AN6" t="b">
        <v>0</v>
      </c>
      <c r="AO6" t="b">
        <v>0</v>
      </c>
      <c r="AP6" t="b">
        <v>0</v>
      </c>
      <c r="AQ6" t="b">
        <v>0</v>
      </c>
      <c r="AR6" t="b">
        <v>0</v>
      </c>
      <c r="AS6" t="b">
        <v>0</v>
      </c>
      <c r="AT6" t="s">
        <v>1192</v>
      </c>
      <c r="AU6">
        <v>9882334</v>
      </c>
      <c r="AV6" t="s">
        <v>973</v>
      </c>
      <c r="AW6" t="s">
        <v>991</v>
      </c>
      <c r="AX6" s="128">
        <v>44509</v>
      </c>
      <c r="AY6" t="s">
        <v>1136</v>
      </c>
      <c r="AZ6" t="s">
        <v>14</v>
      </c>
      <c r="BA6" t="s">
        <v>100</v>
      </c>
      <c r="BB6" t="s">
        <v>43</v>
      </c>
      <c r="BD6" t="s">
        <v>756</v>
      </c>
      <c r="BG6" s="128"/>
      <c r="BH6" t="b">
        <v>0</v>
      </c>
      <c r="BK6" t="s">
        <v>1105</v>
      </c>
      <c r="CC6" s="128"/>
      <c r="CE6" s="128"/>
      <c r="CG6" s="128"/>
      <c r="CI6" s="128"/>
      <c r="CK6" s="128"/>
      <c r="CM6" s="128"/>
      <c r="CO6" s="128"/>
      <c r="CT6" s="128"/>
      <c r="CV6" s="128"/>
    </row>
    <row r="7" spans="1:100" x14ac:dyDescent="0.2">
      <c r="A7" t="s">
        <v>1193</v>
      </c>
      <c r="B7" s="128">
        <v>44304</v>
      </c>
      <c r="C7" t="s">
        <v>1194</v>
      </c>
      <c r="D7" t="s">
        <v>364</v>
      </c>
      <c r="E7" t="s">
        <v>1125</v>
      </c>
      <c r="F7" t="s">
        <v>1126</v>
      </c>
      <c r="G7" t="s">
        <v>390</v>
      </c>
      <c r="H7" t="s">
        <v>1139</v>
      </c>
      <c r="I7" t="s">
        <v>14</v>
      </c>
      <c r="J7" t="s">
        <v>1131</v>
      </c>
      <c r="K7" t="s">
        <v>100</v>
      </c>
      <c r="L7" t="s">
        <v>1185</v>
      </c>
      <c r="M7" t="s">
        <v>346</v>
      </c>
      <c r="N7" t="s">
        <v>1195</v>
      </c>
      <c r="O7" t="s">
        <v>1196</v>
      </c>
      <c r="P7" t="s">
        <v>1197</v>
      </c>
      <c r="Q7" s="128">
        <v>44304</v>
      </c>
      <c r="R7" s="128">
        <v>44394</v>
      </c>
      <c r="S7" t="s">
        <v>1198</v>
      </c>
      <c r="T7" s="128">
        <v>44308</v>
      </c>
      <c r="U7">
        <v>0</v>
      </c>
      <c r="V7">
        <v>0</v>
      </c>
      <c r="W7" t="s">
        <v>262</v>
      </c>
      <c r="X7" t="s">
        <v>1199</v>
      </c>
      <c r="AA7" t="s">
        <v>4</v>
      </c>
      <c r="AB7" t="s">
        <v>1200</v>
      </c>
      <c r="AC7" s="128">
        <v>44308</v>
      </c>
      <c r="AD7" t="s">
        <v>349</v>
      </c>
      <c r="AE7" t="s">
        <v>1122</v>
      </c>
      <c r="AF7" t="s">
        <v>1104</v>
      </c>
      <c r="AG7" t="s">
        <v>0</v>
      </c>
      <c r="AH7">
        <v>1</v>
      </c>
      <c r="AI7" t="b">
        <v>0</v>
      </c>
      <c r="AK7" t="b">
        <v>0</v>
      </c>
      <c r="AM7" t="b">
        <v>0</v>
      </c>
      <c r="AN7" t="b">
        <v>0</v>
      </c>
      <c r="AO7" t="b">
        <v>0</v>
      </c>
      <c r="AP7" t="b">
        <v>0</v>
      </c>
      <c r="AQ7" t="b">
        <v>0</v>
      </c>
      <c r="AR7" t="b">
        <v>0</v>
      </c>
      <c r="AS7" t="b">
        <v>0</v>
      </c>
      <c r="AT7" t="s">
        <v>1201</v>
      </c>
      <c r="AU7">
        <v>9882334</v>
      </c>
      <c r="AV7" t="s">
        <v>973</v>
      </c>
      <c r="AW7" t="s">
        <v>991</v>
      </c>
      <c r="AX7" s="128">
        <v>44509</v>
      </c>
      <c r="AY7" t="s">
        <v>1136</v>
      </c>
      <c r="AZ7" t="s">
        <v>14</v>
      </c>
      <c r="BA7" t="s">
        <v>100</v>
      </c>
      <c r="BB7" t="s">
        <v>43</v>
      </c>
      <c r="BD7" t="s">
        <v>756</v>
      </c>
      <c r="BG7" s="128"/>
      <c r="BH7" t="b">
        <v>0</v>
      </c>
      <c r="BK7" t="s">
        <v>1105</v>
      </c>
      <c r="CC7" s="128"/>
      <c r="CE7" s="128"/>
      <c r="CG7" s="128"/>
      <c r="CI7" s="128"/>
      <c r="CK7" s="128"/>
      <c r="CM7" s="128"/>
      <c r="CO7" s="128"/>
      <c r="CT7" s="128"/>
      <c r="CV7" s="128"/>
    </row>
    <row r="8" spans="1:100" x14ac:dyDescent="0.2">
      <c r="A8" t="s">
        <v>1202</v>
      </c>
      <c r="B8" s="128">
        <v>44260</v>
      </c>
      <c r="C8" t="s">
        <v>1203</v>
      </c>
      <c r="D8" t="s">
        <v>364</v>
      </c>
      <c r="E8" t="s">
        <v>1125</v>
      </c>
      <c r="F8" t="s">
        <v>1126</v>
      </c>
      <c r="G8" t="s">
        <v>390</v>
      </c>
      <c r="H8" t="s">
        <v>1139</v>
      </c>
      <c r="I8" t="s">
        <v>14</v>
      </c>
      <c r="J8" t="s">
        <v>1131</v>
      </c>
      <c r="K8" t="s">
        <v>100</v>
      </c>
      <c r="L8" t="s">
        <v>1185</v>
      </c>
      <c r="M8" t="s">
        <v>346</v>
      </c>
      <c r="N8" t="s">
        <v>1204</v>
      </c>
      <c r="O8" t="s">
        <v>1205</v>
      </c>
      <c r="P8" t="s">
        <v>1206</v>
      </c>
      <c r="Q8" s="128">
        <v>44308</v>
      </c>
      <c r="R8" s="128">
        <v>44352</v>
      </c>
      <c r="S8" t="s">
        <v>1207</v>
      </c>
      <c r="T8" s="128">
        <v>44321</v>
      </c>
      <c r="U8">
        <v>0</v>
      </c>
      <c r="V8">
        <v>0</v>
      </c>
      <c r="W8" t="s">
        <v>262</v>
      </c>
      <c r="X8" t="s">
        <v>1208</v>
      </c>
      <c r="AA8" t="s">
        <v>4</v>
      </c>
      <c r="AB8" t="s">
        <v>1209</v>
      </c>
      <c r="AC8" s="128">
        <v>44321</v>
      </c>
      <c r="AD8" t="s">
        <v>349</v>
      </c>
      <c r="AE8" t="s">
        <v>1122</v>
      </c>
      <c r="AF8" t="s">
        <v>1104</v>
      </c>
      <c r="AG8" t="s">
        <v>0</v>
      </c>
      <c r="AH8">
        <v>1</v>
      </c>
      <c r="AI8" t="b">
        <v>0</v>
      </c>
      <c r="AK8" t="b">
        <v>0</v>
      </c>
      <c r="AM8" t="b">
        <v>0</v>
      </c>
      <c r="AN8" t="b">
        <v>0</v>
      </c>
      <c r="AO8" t="b">
        <v>0</v>
      </c>
      <c r="AP8" t="b">
        <v>0</v>
      </c>
      <c r="AQ8" t="b">
        <v>0</v>
      </c>
      <c r="AR8" t="b">
        <v>0</v>
      </c>
      <c r="AS8" t="b">
        <v>0</v>
      </c>
      <c r="AT8" t="s">
        <v>1210</v>
      </c>
      <c r="AU8">
        <v>9882334</v>
      </c>
      <c r="AV8" t="s">
        <v>973</v>
      </c>
      <c r="AW8" t="s">
        <v>991</v>
      </c>
      <c r="AX8" s="128">
        <v>44509</v>
      </c>
      <c r="AY8" t="s">
        <v>1136</v>
      </c>
      <c r="AZ8" t="s">
        <v>14</v>
      </c>
      <c r="BA8" t="s">
        <v>100</v>
      </c>
      <c r="BB8" t="s">
        <v>43</v>
      </c>
      <c r="BD8" t="s">
        <v>756</v>
      </c>
      <c r="BG8" s="128"/>
      <c r="BH8" t="b">
        <v>0</v>
      </c>
      <c r="BK8" t="s">
        <v>1105</v>
      </c>
      <c r="CC8" s="128"/>
      <c r="CE8" s="128"/>
      <c r="CG8" s="128"/>
      <c r="CI8" s="128"/>
      <c r="CK8" s="128"/>
      <c r="CM8" s="128"/>
      <c r="CO8" s="128"/>
      <c r="CT8" s="128"/>
      <c r="CV8" s="128"/>
    </row>
    <row r="9" spans="1:100" x14ac:dyDescent="0.2">
      <c r="A9" t="s">
        <v>1211</v>
      </c>
      <c r="B9" s="128">
        <v>44320</v>
      </c>
      <c r="C9" t="s">
        <v>1212</v>
      </c>
      <c r="D9" t="s">
        <v>358</v>
      </c>
      <c r="E9" t="s">
        <v>1109</v>
      </c>
      <c r="F9" t="s">
        <v>1110</v>
      </c>
      <c r="G9" t="s">
        <v>379</v>
      </c>
      <c r="H9" t="s">
        <v>1213</v>
      </c>
      <c r="I9" t="s">
        <v>360</v>
      </c>
      <c r="J9" t="s">
        <v>1111</v>
      </c>
      <c r="K9" t="s">
        <v>336</v>
      </c>
      <c r="L9" t="s">
        <v>1214</v>
      </c>
      <c r="M9" t="s">
        <v>346</v>
      </c>
      <c r="N9" t="s">
        <v>1215</v>
      </c>
      <c r="O9" t="s">
        <v>1216</v>
      </c>
      <c r="P9" t="s">
        <v>1217</v>
      </c>
      <c r="Q9" s="128">
        <v>44321</v>
      </c>
      <c r="R9" s="128">
        <v>44333</v>
      </c>
      <c r="S9" t="s">
        <v>1218</v>
      </c>
      <c r="T9" s="128">
        <v>44323</v>
      </c>
      <c r="U9">
        <v>0</v>
      </c>
      <c r="V9">
        <v>0</v>
      </c>
      <c r="W9" t="s">
        <v>262</v>
      </c>
      <c r="X9" t="s">
        <v>1218</v>
      </c>
      <c r="AA9" t="s">
        <v>5</v>
      </c>
      <c r="AB9" t="s">
        <v>1219</v>
      </c>
      <c r="AC9" s="128">
        <v>44323</v>
      </c>
      <c r="AD9" t="s">
        <v>349</v>
      </c>
      <c r="AE9" t="s">
        <v>1220</v>
      </c>
      <c r="AF9" t="s">
        <v>1104</v>
      </c>
      <c r="AG9" t="s">
        <v>0</v>
      </c>
      <c r="AH9">
        <v>1</v>
      </c>
      <c r="AI9" t="b">
        <v>0</v>
      </c>
      <c r="AK9" t="b">
        <v>0</v>
      </c>
      <c r="AM9" t="b">
        <v>0</v>
      </c>
      <c r="AN9" t="b">
        <v>0</v>
      </c>
      <c r="AO9" t="b">
        <v>0</v>
      </c>
      <c r="AP9" t="b">
        <v>0</v>
      </c>
      <c r="AQ9" t="b">
        <v>0</v>
      </c>
      <c r="AR9" t="b">
        <v>0</v>
      </c>
      <c r="AS9" t="b">
        <v>0</v>
      </c>
      <c r="AT9" t="s">
        <v>1228</v>
      </c>
      <c r="AU9">
        <v>9882334</v>
      </c>
      <c r="AV9" t="s">
        <v>973</v>
      </c>
      <c r="AW9" t="s">
        <v>991</v>
      </c>
      <c r="AX9" s="128">
        <v>44509</v>
      </c>
      <c r="AY9" t="s">
        <v>1136</v>
      </c>
      <c r="BB9" t="s">
        <v>336</v>
      </c>
      <c r="BC9">
        <v>16</v>
      </c>
      <c r="BD9" t="s">
        <v>756</v>
      </c>
      <c r="BG9" s="128"/>
      <c r="BH9" t="b">
        <v>0</v>
      </c>
      <c r="BK9" t="s">
        <v>1105</v>
      </c>
      <c r="BL9" t="s">
        <v>1222</v>
      </c>
      <c r="BM9" t="s">
        <v>849</v>
      </c>
      <c r="BN9" t="s">
        <v>1223</v>
      </c>
      <c r="BO9" t="s">
        <v>1224</v>
      </c>
      <c r="BP9" t="s">
        <v>1112</v>
      </c>
      <c r="BQ9" t="s">
        <v>1113</v>
      </c>
      <c r="BR9" s="127">
        <v>355.70175925925923</v>
      </c>
      <c r="BS9" t="s">
        <v>1225</v>
      </c>
      <c r="BT9" t="s">
        <v>1226</v>
      </c>
      <c r="BU9" t="s">
        <v>1227</v>
      </c>
      <c r="BV9" t="s">
        <v>1114</v>
      </c>
      <c r="BW9" t="s">
        <v>1115</v>
      </c>
      <c r="BX9" t="s">
        <v>1116</v>
      </c>
      <c r="BY9" t="s">
        <v>1117</v>
      </c>
      <c r="BZ9" t="s">
        <v>346</v>
      </c>
      <c r="CA9" t="s">
        <v>341</v>
      </c>
      <c r="CB9" t="s">
        <v>1220</v>
      </c>
      <c r="CC9" s="128">
        <v>44322</v>
      </c>
      <c r="CD9" t="s">
        <v>346</v>
      </c>
      <c r="CE9" s="128"/>
      <c r="CF9" t="s">
        <v>346</v>
      </c>
      <c r="CG9" s="128"/>
      <c r="CH9" t="s">
        <v>346</v>
      </c>
      <c r="CI9" s="128"/>
      <c r="CJ9" t="s">
        <v>341</v>
      </c>
      <c r="CK9" s="128">
        <v>44322</v>
      </c>
      <c r="CL9" t="s">
        <v>341</v>
      </c>
      <c r="CM9" s="128">
        <v>44320</v>
      </c>
      <c r="CO9" s="128"/>
      <c r="CT9" s="128"/>
      <c r="CV9" s="128"/>
    </row>
    <row r="10" spans="1:100" x14ac:dyDescent="0.2">
      <c r="A10" t="s">
        <v>1230</v>
      </c>
      <c r="B10" s="128">
        <v>44334</v>
      </c>
      <c r="C10" t="s">
        <v>1229</v>
      </c>
      <c r="D10" t="s">
        <v>364</v>
      </c>
      <c r="E10" t="s">
        <v>1125</v>
      </c>
      <c r="F10" t="s">
        <v>1126</v>
      </c>
      <c r="G10" t="s">
        <v>390</v>
      </c>
      <c r="H10" t="s">
        <v>1231</v>
      </c>
      <c r="I10" t="s">
        <v>17</v>
      </c>
      <c r="J10" t="s">
        <v>1130</v>
      </c>
      <c r="K10" t="s">
        <v>188</v>
      </c>
      <c r="L10" t="s">
        <v>1232</v>
      </c>
      <c r="M10" t="s">
        <v>346</v>
      </c>
      <c r="N10" t="s">
        <v>1233</v>
      </c>
      <c r="O10" t="s">
        <v>1234</v>
      </c>
      <c r="P10" t="s">
        <v>1235</v>
      </c>
      <c r="Q10" s="128">
        <v>44334</v>
      </c>
      <c r="R10" s="128">
        <v>44334</v>
      </c>
      <c r="S10" t="s">
        <v>1236</v>
      </c>
      <c r="T10" s="128">
        <v>44334</v>
      </c>
      <c r="U10">
        <v>0</v>
      </c>
      <c r="V10">
        <v>0</v>
      </c>
      <c r="W10" t="s">
        <v>262</v>
      </c>
      <c r="X10" t="s">
        <v>1237</v>
      </c>
      <c r="AA10" t="s">
        <v>4</v>
      </c>
      <c r="AB10" t="s">
        <v>1238</v>
      </c>
      <c r="AC10" s="128">
        <v>44334</v>
      </c>
      <c r="AD10" t="s">
        <v>349</v>
      </c>
      <c r="AE10" t="s">
        <v>1122</v>
      </c>
      <c r="AF10" t="s">
        <v>1104</v>
      </c>
      <c r="AG10" t="s">
        <v>0</v>
      </c>
      <c r="AH10">
        <v>1</v>
      </c>
      <c r="AI10" t="b">
        <v>0</v>
      </c>
      <c r="AK10" t="b">
        <v>0</v>
      </c>
      <c r="AM10" t="b">
        <v>0</v>
      </c>
      <c r="AN10" t="b">
        <v>0</v>
      </c>
      <c r="AO10" t="b">
        <v>0</v>
      </c>
      <c r="AP10" t="b">
        <v>0</v>
      </c>
      <c r="AQ10" t="b">
        <v>0</v>
      </c>
      <c r="AR10" t="b">
        <v>0</v>
      </c>
      <c r="AS10" t="b">
        <v>0</v>
      </c>
      <c r="AT10" t="s">
        <v>1239</v>
      </c>
      <c r="AU10">
        <v>9882334</v>
      </c>
      <c r="AV10" t="s">
        <v>973</v>
      </c>
      <c r="AW10" t="s">
        <v>991</v>
      </c>
      <c r="AX10" s="128">
        <v>44509</v>
      </c>
      <c r="AY10" t="s">
        <v>1136</v>
      </c>
      <c r="AZ10" t="s">
        <v>17</v>
      </c>
      <c r="BA10" t="s">
        <v>188</v>
      </c>
      <c r="BB10" t="s">
        <v>34</v>
      </c>
      <c r="BD10" t="s">
        <v>756</v>
      </c>
      <c r="BG10" s="128"/>
      <c r="BH10" t="b">
        <v>0</v>
      </c>
      <c r="BK10" t="s">
        <v>1105</v>
      </c>
      <c r="CC10" s="128"/>
      <c r="CE10" s="128"/>
      <c r="CG10" s="128"/>
      <c r="CI10" s="128"/>
      <c r="CK10" s="128"/>
      <c r="CM10" s="128"/>
      <c r="CO10" s="128"/>
      <c r="CT10" s="128"/>
      <c r="CV10" s="128"/>
    </row>
    <row r="11" spans="1:100" x14ac:dyDescent="0.2">
      <c r="A11" t="s">
        <v>1240</v>
      </c>
      <c r="B11" s="128">
        <v>44346</v>
      </c>
      <c r="C11" t="s">
        <v>1241</v>
      </c>
      <c r="D11" t="s">
        <v>364</v>
      </c>
      <c r="E11" t="s">
        <v>1125</v>
      </c>
      <c r="F11" t="s">
        <v>1126</v>
      </c>
      <c r="G11" t="s">
        <v>390</v>
      </c>
      <c r="H11" t="s">
        <v>1231</v>
      </c>
      <c r="I11" t="s">
        <v>17</v>
      </c>
      <c r="J11" t="s">
        <v>1130</v>
      </c>
      <c r="K11" t="s">
        <v>187</v>
      </c>
      <c r="L11" t="s">
        <v>1242</v>
      </c>
      <c r="M11" t="s">
        <v>346</v>
      </c>
      <c r="N11" t="s">
        <v>1243</v>
      </c>
      <c r="O11" t="s">
        <v>1244</v>
      </c>
      <c r="P11" t="s">
        <v>1245</v>
      </c>
      <c r="Q11" s="128">
        <v>44346</v>
      </c>
      <c r="R11" s="128">
        <v>44436</v>
      </c>
      <c r="S11" t="s">
        <v>1246</v>
      </c>
      <c r="T11" s="128">
        <v>44377</v>
      </c>
      <c r="U11">
        <v>0</v>
      </c>
      <c r="V11">
        <v>0</v>
      </c>
      <c r="W11" t="s">
        <v>262</v>
      </c>
      <c r="X11" t="s">
        <v>1247</v>
      </c>
      <c r="AA11" t="s">
        <v>1</v>
      </c>
      <c r="AB11" t="s">
        <v>1248</v>
      </c>
      <c r="AC11" s="128">
        <v>44347</v>
      </c>
      <c r="AD11" t="s">
        <v>349</v>
      </c>
      <c r="AE11" t="s">
        <v>1122</v>
      </c>
      <c r="AF11" t="s">
        <v>1104</v>
      </c>
      <c r="AG11" t="s">
        <v>0</v>
      </c>
      <c r="AH11">
        <v>1</v>
      </c>
      <c r="AI11" t="b">
        <v>0</v>
      </c>
      <c r="AK11" t="b">
        <v>0</v>
      </c>
      <c r="AM11" t="b">
        <v>0</v>
      </c>
      <c r="AN11" t="b">
        <v>0</v>
      </c>
      <c r="AO11" t="b">
        <v>0</v>
      </c>
      <c r="AP11" t="b">
        <v>0</v>
      </c>
      <c r="AQ11" t="b">
        <v>0</v>
      </c>
      <c r="AR11" t="b">
        <v>0</v>
      </c>
      <c r="AS11" t="b">
        <v>0</v>
      </c>
      <c r="AT11" t="s">
        <v>1250</v>
      </c>
      <c r="AU11">
        <v>9882334</v>
      </c>
      <c r="AV11" t="s">
        <v>973</v>
      </c>
      <c r="AW11" t="s">
        <v>991</v>
      </c>
      <c r="AX11" s="128">
        <v>44509</v>
      </c>
      <c r="AY11" t="s">
        <v>1136</v>
      </c>
      <c r="AZ11" t="s">
        <v>17</v>
      </c>
      <c r="BA11" t="s">
        <v>187</v>
      </c>
      <c r="BB11" t="s">
        <v>43</v>
      </c>
      <c r="BD11" t="s">
        <v>756</v>
      </c>
      <c r="BG11" s="128"/>
      <c r="BH11" t="b">
        <v>0</v>
      </c>
      <c r="BI11" t="s">
        <v>1249</v>
      </c>
      <c r="BK11" t="s">
        <v>1105</v>
      </c>
      <c r="CC11" s="128"/>
      <c r="CE11" s="128"/>
      <c r="CG11" s="128"/>
      <c r="CI11" s="128"/>
      <c r="CK11" s="128"/>
      <c r="CM11" s="128"/>
      <c r="CO11" s="128"/>
      <c r="CT11" s="128"/>
      <c r="CV11" s="128"/>
    </row>
    <row r="12" spans="1:100" x14ac:dyDescent="0.2">
      <c r="A12" t="s">
        <v>1251</v>
      </c>
      <c r="B12" s="128">
        <v>44247</v>
      </c>
      <c r="C12" t="s">
        <v>1252</v>
      </c>
      <c r="D12" t="s">
        <v>352</v>
      </c>
      <c r="E12" t="s">
        <v>1118</v>
      </c>
      <c r="F12" t="s">
        <v>1119</v>
      </c>
      <c r="G12" t="s">
        <v>374</v>
      </c>
      <c r="H12" t="s">
        <v>1253</v>
      </c>
      <c r="I12" t="s">
        <v>354</v>
      </c>
      <c r="J12" t="s">
        <v>1120</v>
      </c>
      <c r="K12" t="s">
        <v>405</v>
      </c>
      <c r="L12" t="s">
        <v>1254</v>
      </c>
      <c r="M12" t="s">
        <v>346</v>
      </c>
      <c r="N12" t="s">
        <v>1255</v>
      </c>
      <c r="O12" t="s">
        <v>1256</v>
      </c>
      <c r="P12" t="s">
        <v>1257</v>
      </c>
      <c r="Q12" s="128">
        <v>44247</v>
      </c>
      <c r="R12" s="128">
        <v>44337</v>
      </c>
      <c r="S12" t="s">
        <v>1258</v>
      </c>
      <c r="T12" s="128">
        <v>44260</v>
      </c>
      <c r="U12">
        <v>0</v>
      </c>
      <c r="V12">
        <v>0</v>
      </c>
      <c r="W12" t="s">
        <v>262</v>
      </c>
      <c r="X12" t="s">
        <v>1259</v>
      </c>
      <c r="AA12" t="s">
        <v>5</v>
      </c>
      <c r="AB12" t="s">
        <v>1260</v>
      </c>
      <c r="AC12" s="128">
        <v>44260</v>
      </c>
      <c r="AD12" t="s">
        <v>349</v>
      </c>
      <c r="AE12" t="s">
        <v>1122</v>
      </c>
      <c r="AF12" t="s">
        <v>1104</v>
      </c>
      <c r="AG12" t="s">
        <v>0</v>
      </c>
      <c r="AH12">
        <v>1</v>
      </c>
      <c r="AI12" t="b">
        <v>0</v>
      </c>
      <c r="AK12" t="b">
        <v>0</v>
      </c>
      <c r="AM12" t="b">
        <v>0</v>
      </c>
      <c r="AN12" t="b">
        <v>0</v>
      </c>
      <c r="AO12" t="b">
        <v>0</v>
      </c>
      <c r="AP12" t="b">
        <v>0</v>
      </c>
      <c r="AQ12" t="b">
        <v>0</v>
      </c>
      <c r="AR12" t="b">
        <v>0</v>
      </c>
      <c r="AS12" t="b">
        <v>0</v>
      </c>
      <c r="AT12" t="s">
        <v>1261</v>
      </c>
      <c r="AU12">
        <v>9882334</v>
      </c>
      <c r="AV12" t="s">
        <v>973</v>
      </c>
      <c r="AW12" t="s">
        <v>991</v>
      </c>
      <c r="AX12" s="128">
        <v>44509</v>
      </c>
      <c r="AY12" t="s">
        <v>1136</v>
      </c>
      <c r="AZ12" t="s">
        <v>24</v>
      </c>
      <c r="BA12" t="s">
        <v>191</v>
      </c>
      <c r="BB12" t="s">
        <v>32</v>
      </c>
      <c r="BD12" t="s">
        <v>26</v>
      </c>
      <c r="BG12" s="128"/>
      <c r="BH12" t="b">
        <v>0</v>
      </c>
      <c r="BI12" t="s">
        <v>499</v>
      </c>
      <c r="BK12" t="s">
        <v>1105</v>
      </c>
      <c r="CC12" s="128"/>
      <c r="CE12" s="128"/>
      <c r="CG12" s="128"/>
      <c r="CI12" s="128"/>
      <c r="CK12" s="128"/>
      <c r="CM12" s="128"/>
      <c r="CO12" s="128"/>
      <c r="CT12" s="128"/>
      <c r="CV12" s="128"/>
    </row>
    <row r="13" spans="1:100" x14ac:dyDescent="0.2">
      <c r="A13" t="s">
        <v>1262</v>
      </c>
      <c r="B13" s="128">
        <v>44247</v>
      </c>
      <c r="C13" t="s">
        <v>1263</v>
      </c>
      <c r="D13" t="s">
        <v>352</v>
      </c>
      <c r="E13" t="s">
        <v>1118</v>
      </c>
      <c r="F13" t="s">
        <v>1119</v>
      </c>
      <c r="G13" t="s">
        <v>374</v>
      </c>
      <c r="H13" t="s">
        <v>1134</v>
      </c>
      <c r="I13" t="s">
        <v>354</v>
      </c>
      <c r="J13" t="s">
        <v>1120</v>
      </c>
      <c r="K13" t="s">
        <v>412</v>
      </c>
      <c r="L13" t="s">
        <v>1123</v>
      </c>
      <c r="M13" t="s">
        <v>346</v>
      </c>
      <c r="N13" t="s">
        <v>1264</v>
      </c>
      <c r="O13" t="s">
        <v>1265</v>
      </c>
      <c r="P13" t="s">
        <v>1266</v>
      </c>
      <c r="Q13" s="128">
        <v>44247</v>
      </c>
      <c r="R13" s="128">
        <v>44337</v>
      </c>
      <c r="S13" t="s">
        <v>1267</v>
      </c>
      <c r="T13" s="128">
        <v>44267</v>
      </c>
      <c r="U13">
        <v>0</v>
      </c>
      <c r="V13">
        <v>0</v>
      </c>
      <c r="W13" t="s">
        <v>262</v>
      </c>
      <c r="X13" t="s">
        <v>1268</v>
      </c>
      <c r="AA13" t="s">
        <v>804</v>
      </c>
      <c r="AB13" t="s">
        <v>1269</v>
      </c>
      <c r="AC13" s="128">
        <v>44267</v>
      </c>
      <c r="AD13" t="s">
        <v>349</v>
      </c>
      <c r="AE13" t="s">
        <v>1122</v>
      </c>
      <c r="AF13" t="s">
        <v>1104</v>
      </c>
      <c r="AG13" t="s">
        <v>0</v>
      </c>
      <c r="AH13">
        <v>1</v>
      </c>
      <c r="AI13" t="b">
        <v>0</v>
      </c>
      <c r="AK13" t="b">
        <v>0</v>
      </c>
      <c r="AM13" t="b">
        <v>0</v>
      </c>
      <c r="AN13" t="b">
        <v>0</v>
      </c>
      <c r="AO13" t="b">
        <v>0</v>
      </c>
      <c r="AP13" t="b">
        <v>0</v>
      </c>
      <c r="AQ13" t="b">
        <v>0</v>
      </c>
      <c r="AR13" t="b">
        <v>0</v>
      </c>
      <c r="AS13" t="b">
        <v>0</v>
      </c>
      <c r="AT13" t="s">
        <v>1270</v>
      </c>
      <c r="AU13">
        <v>9882334</v>
      </c>
      <c r="AV13" t="s">
        <v>973</v>
      </c>
      <c r="AW13" t="s">
        <v>991</v>
      </c>
      <c r="AX13" s="128">
        <v>44509</v>
      </c>
      <c r="AY13" t="s">
        <v>1136</v>
      </c>
      <c r="AZ13" t="s">
        <v>23</v>
      </c>
      <c r="BA13" t="s">
        <v>165</v>
      </c>
      <c r="BB13" t="s">
        <v>38</v>
      </c>
      <c r="BD13" t="s">
        <v>28</v>
      </c>
      <c r="BG13" s="128"/>
      <c r="BH13" t="b">
        <v>0</v>
      </c>
      <c r="BI13" t="s">
        <v>1135</v>
      </c>
      <c r="BK13" t="s">
        <v>1105</v>
      </c>
      <c r="CC13" s="128"/>
      <c r="CE13" s="128"/>
      <c r="CG13" s="128"/>
      <c r="CI13" s="128"/>
      <c r="CK13" s="128"/>
      <c r="CM13" s="128"/>
      <c r="CO13" s="128"/>
      <c r="CT13" s="128"/>
      <c r="CV13" s="128"/>
    </row>
    <row r="14" spans="1:100" x14ac:dyDescent="0.2">
      <c r="A14" t="s">
        <v>1271</v>
      </c>
      <c r="B14" s="128">
        <v>44247</v>
      </c>
      <c r="C14" t="s">
        <v>1272</v>
      </c>
      <c r="D14" t="s">
        <v>352</v>
      </c>
      <c r="E14" t="s">
        <v>1118</v>
      </c>
      <c r="F14" t="s">
        <v>1119</v>
      </c>
      <c r="G14" t="s">
        <v>374</v>
      </c>
      <c r="H14" t="s">
        <v>1253</v>
      </c>
      <c r="I14" t="s">
        <v>354</v>
      </c>
      <c r="J14" t="s">
        <v>1120</v>
      </c>
      <c r="K14" t="s">
        <v>412</v>
      </c>
      <c r="L14" t="s">
        <v>1123</v>
      </c>
      <c r="M14" t="s">
        <v>346</v>
      </c>
      <c r="N14" t="s">
        <v>1273</v>
      </c>
      <c r="O14" t="s">
        <v>1274</v>
      </c>
      <c r="P14" t="s">
        <v>1275</v>
      </c>
      <c r="Q14" s="128">
        <v>44248</v>
      </c>
      <c r="R14" s="128">
        <v>44337</v>
      </c>
      <c r="S14" t="s">
        <v>1276</v>
      </c>
      <c r="T14" s="128">
        <v>44255</v>
      </c>
      <c r="U14">
        <v>0</v>
      </c>
      <c r="V14">
        <v>0</v>
      </c>
      <c r="W14" t="s">
        <v>262</v>
      </c>
      <c r="X14" t="s">
        <v>1277</v>
      </c>
      <c r="AA14" t="s">
        <v>804</v>
      </c>
      <c r="AB14" t="s">
        <v>1277</v>
      </c>
      <c r="AC14" s="128">
        <v>44255</v>
      </c>
      <c r="AD14" t="s">
        <v>349</v>
      </c>
      <c r="AE14" t="s">
        <v>1122</v>
      </c>
      <c r="AF14" t="s">
        <v>1104</v>
      </c>
      <c r="AG14" t="s">
        <v>0</v>
      </c>
      <c r="AH14">
        <v>1</v>
      </c>
      <c r="AI14" t="b">
        <v>0</v>
      </c>
      <c r="AK14" t="b">
        <v>0</v>
      </c>
      <c r="AM14" t="b">
        <v>0</v>
      </c>
      <c r="AN14" t="b">
        <v>0</v>
      </c>
      <c r="AO14" t="b">
        <v>0</v>
      </c>
      <c r="AP14" t="b">
        <v>0</v>
      </c>
      <c r="AQ14" t="b">
        <v>0</v>
      </c>
      <c r="AR14" t="b">
        <v>0</v>
      </c>
      <c r="AS14" t="b">
        <v>0</v>
      </c>
      <c r="AT14" t="s">
        <v>1278</v>
      </c>
      <c r="AU14">
        <v>9882334</v>
      </c>
      <c r="AV14" t="s">
        <v>973</v>
      </c>
      <c r="AW14" t="s">
        <v>991</v>
      </c>
      <c r="AX14" s="128">
        <v>44509</v>
      </c>
      <c r="AY14" t="s">
        <v>1136</v>
      </c>
      <c r="AZ14" t="s">
        <v>23</v>
      </c>
      <c r="BA14" t="s">
        <v>165</v>
      </c>
      <c r="BB14" t="s">
        <v>38</v>
      </c>
      <c r="BD14" t="s">
        <v>28</v>
      </c>
      <c r="BG14" s="128"/>
      <c r="BH14" t="b">
        <v>0</v>
      </c>
      <c r="BI14" t="s">
        <v>1135</v>
      </c>
      <c r="BK14" t="s">
        <v>1105</v>
      </c>
      <c r="CC14" s="128"/>
      <c r="CE14" s="128"/>
      <c r="CG14" s="128"/>
      <c r="CI14" s="128"/>
      <c r="CK14" s="128"/>
      <c r="CM14" s="128"/>
      <c r="CO14" s="128"/>
      <c r="CT14" s="128"/>
      <c r="CV14" s="128"/>
    </row>
    <row r="15" spans="1:100" x14ac:dyDescent="0.2">
      <c r="A15" t="s">
        <v>1279</v>
      </c>
      <c r="B15" s="128">
        <v>44247</v>
      </c>
      <c r="C15" t="s">
        <v>1280</v>
      </c>
      <c r="D15" t="s">
        <v>352</v>
      </c>
      <c r="E15" t="s">
        <v>1118</v>
      </c>
      <c r="F15" t="s">
        <v>1119</v>
      </c>
      <c r="G15" t="s">
        <v>374</v>
      </c>
      <c r="H15" t="s">
        <v>1281</v>
      </c>
      <c r="I15" t="s">
        <v>354</v>
      </c>
      <c r="J15" t="s">
        <v>1120</v>
      </c>
      <c r="K15" t="s">
        <v>409</v>
      </c>
      <c r="L15" t="s">
        <v>1132</v>
      </c>
      <c r="M15" t="s">
        <v>346</v>
      </c>
      <c r="N15" t="s">
        <v>1282</v>
      </c>
      <c r="O15" t="s">
        <v>1283</v>
      </c>
      <c r="P15" t="s">
        <v>1284</v>
      </c>
      <c r="Q15" s="128">
        <v>44247</v>
      </c>
      <c r="R15" s="128">
        <v>44337</v>
      </c>
      <c r="S15" t="s">
        <v>1285</v>
      </c>
      <c r="T15" s="128">
        <v>44255</v>
      </c>
      <c r="U15">
        <v>0</v>
      </c>
      <c r="V15">
        <v>0</v>
      </c>
      <c r="W15" t="s">
        <v>262</v>
      </c>
      <c r="X15" t="s">
        <v>1286</v>
      </c>
      <c r="AA15" t="s">
        <v>3</v>
      </c>
      <c r="AB15" t="s">
        <v>1286</v>
      </c>
      <c r="AC15" s="128">
        <v>44255</v>
      </c>
      <c r="AD15" t="s">
        <v>349</v>
      </c>
      <c r="AE15" t="s">
        <v>1122</v>
      </c>
      <c r="AF15" t="s">
        <v>1104</v>
      </c>
      <c r="AG15" t="s">
        <v>0</v>
      </c>
      <c r="AH15">
        <v>1</v>
      </c>
      <c r="AI15" t="b">
        <v>0</v>
      </c>
      <c r="AK15" t="b">
        <v>0</v>
      </c>
      <c r="AM15" t="b">
        <v>0</v>
      </c>
      <c r="AN15" t="b">
        <v>0</v>
      </c>
      <c r="AO15" t="b">
        <v>0</v>
      </c>
      <c r="AP15" t="b">
        <v>0</v>
      </c>
      <c r="AQ15" t="b">
        <v>0</v>
      </c>
      <c r="AR15" t="b">
        <v>0</v>
      </c>
      <c r="AS15" t="b">
        <v>0</v>
      </c>
      <c r="AT15" t="s">
        <v>1287</v>
      </c>
      <c r="AU15">
        <v>9882334</v>
      </c>
      <c r="AV15" t="s">
        <v>973</v>
      </c>
      <c r="AW15" t="s">
        <v>991</v>
      </c>
      <c r="AX15" s="128">
        <v>44509</v>
      </c>
      <c r="AY15" t="s">
        <v>1136</v>
      </c>
      <c r="AZ15" t="s">
        <v>12</v>
      </c>
      <c r="BA15" t="s">
        <v>177</v>
      </c>
      <c r="BB15" t="s">
        <v>36</v>
      </c>
      <c r="BD15" t="s">
        <v>28</v>
      </c>
      <c r="BG15" s="128"/>
      <c r="BH15" t="b">
        <v>0</v>
      </c>
      <c r="BI15" t="s">
        <v>499</v>
      </c>
      <c r="BK15" t="s">
        <v>1105</v>
      </c>
      <c r="CC15" s="128"/>
      <c r="CE15" s="128"/>
      <c r="CG15" s="128"/>
      <c r="CI15" s="128"/>
      <c r="CK15" s="128"/>
      <c r="CM15" s="128"/>
      <c r="CO15" s="128"/>
      <c r="CT15" s="128"/>
      <c r="CV15" s="128"/>
    </row>
    <row r="16" spans="1:100" x14ac:dyDescent="0.2">
      <c r="A16" t="s">
        <v>1288</v>
      </c>
      <c r="B16" s="128">
        <v>44247</v>
      </c>
      <c r="C16" t="s">
        <v>1289</v>
      </c>
      <c r="D16" t="s">
        <v>352</v>
      </c>
      <c r="E16" t="s">
        <v>1118</v>
      </c>
      <c r="F16" t="s">
        <v>1119</v>
      </c>
      <c r="G16" t="s">
        <v>374</v>
      </c>
      <c r="H16" t="s">
        <v>1134</v>
      </c>
      <c r="I16" t="s">
        <v>354</v>
      </c>
      <c r="J16" t="s">
        <v>1120</v>
      </c>
      <c r="K16" t="s">
        <v>420</v>
      </c>
      <c r="L16" t="s">
        <v>1290</v>
      </c>
      <c r="M16" t="s">
        <v>346</v>
      </c>
      <c r="N16" t="s">
        <v>1291</v>
      </c>
      <c r="O16" t="s">
        <v>1292</v>
      </c>
      <c r="P16" t="s">
        <v>1293</v>
      </c>
      <c r="Q16" s="128">
        <v>44247</v>
      </c>
      <c r="R16" s="128">
        <v>44337</v>
      </c>
      <c r="S16" t="s">
        <v>1294</v>
      </c>
      <c r="T16" s="128">
        <v>44316</v>
      </c>
      <c r="U16">
        <v>0</v>
      </c>
      <c r="V16">
        <v>0</v>
      </c>
      <c r="W16" t="s">
        <v>262</v>
      </c>
      <c r="X16" t="s">
        <v>1295</v>
      </c>
      <c r="AA16" t="s">
        <v>3</v>
      </c>
      <c r="AB16" t="s">
        <v>1296</v>
      </c>
      <c r="AC16" s="128">
        <v>44316</v>
      </c>
      <c r="AD16" t="s">
        <v>349</v>
      </c>
      <c r="AE16" t="s">
        <v>1122</v>
      </c>
      <c r="AF16" t="s">
        <v>1104</v>
      </c>
      <c r="AG16" t="s">
        <v>0</v>
      </c>
      <c r="AH16">
        <v>1</v>
      </c>
      <c r="AI16" t="b">
        <v>0</v>
      </c>
      <c r="AK16" t="b">
        <v>0</v>
      </c>
      <c r="AM16" t="b">
        <v>0</v>
      </c>
      <c r="AN16" t="b">
        <v>0</v>
      </c>
      <c r="AO16" t="b">
        <v>0</v>
      </c>
      <c r="AP16" t="b">
        <v>0</v>
      </c>
      <c r="AQ16" t="b">
        <v>0</v>
      </c>
      <c r="AR16" t="b">
        <v>0</v>
      </c>
      <c r="AS16" t="b">
        <v>0</v>
      </c>
      <c r="AT16" t="s">
        <v>1297</v>
      </c>
      <c r="AU16">
        <v>9882334</v>
      </c>
      <c r="AV16" t="s">
        <v>973</v>
      </c>
      <c r="AW16" t="s">
        <v>991</v>
      </c>
      <c r="AX16" s="128">
        <v>44509</v>
      </c>
      <c r="AY16" t="s">
        <v>1136</v>
      </c>
      <c r="AZ16" t="s">
        <v>584</v>
      </c>
      <c r="BA16" t="s">
        <v>82</v>
      </c>
      <c r="BB16" t="s">
        <v>46</v>
      </c>
      <c r="BD16" t="s">
        <v>29</v>
      </c>
      <c r="BG16" s="128"/>
      <c r="BH16" t="b">
        <v>0</v>
      </c>
      <c r="BI16" t="s">
        <v>1135</v>
      </c>
      <c r="BK16" t="s">
        <v>1105</v>
      </c>
      <c r="CC16" s="128"/>
      <c r="CE16" s="128"/>
      <c r="CG16" s="128"/>
      <c r="CI16" s="128"/>
      <c r="CK16" s="128"/>
      <c r="CM16" s="128"/>
      <c r="CO16" s="128"/>
      <c r="CT16" s="128"/>
      <c r="CV16" s="128"/>
    </row>
    <row r="17" spans="1:100" x14ac:dyDescent="0.2">
      <c r="A17" t="s">
        <v>1298</v>
      </c>
      <c r="B17" s="128">
        <v>44313</v>
      </c>
      <c r="C17" t="s">
        <v>1299</v>
      </c>
      <c r="D17" t="s">
        <v>364</v>
      </c>
      <c r="E17" t="s">
        <v>1125</v>
      </c>
      <c r="F17" t="s">
        <v>1126</v>
      </c>
      <c r="G17" t="s">
        <v>390</v>
      </c>
      <c r="H17" t="s">
        <v>1300</v>
      </c>
      <c r="I17" t="s">
        <v>582</v>
      </c>
      <c r="J17" t="s">
        <v>1301</v>
      </c>
      <c r="K17" t="s">
        <v>69</v>
      </c>
      <c r="L17" t="s">
        <v>1302</v>
      </c>
      <c r="M17" t="s">
        <v>346</v>
      </c>
      <c r="N17" t="s">
        <v>1303</v>
      </c>
      <c r="O17" t="s">
        <v>1304</v>
      </c>
      <c r="P17" t="s">
        <v>1305</v>
      </c>
      <c r="Q17" s="128">
        <v>44313</v>
      </c>
      <c r="R17" s="128">
        <v>44403</v>
      </c>
      <c r="S17" t="s">
        <v>1306</v>
      </c>
      <c r="T17" s="128">
        <v>44373</v>
      </c>
      <c r="U17">
        <v>0</v>
      </c>
      <c r="V17">
        <v>0</v>
      </c>
      <c r="W17" t="s">
        <v>262</v>
      </c>
      <c r="X17" t="s">
        <v>1307</v>
      </c>
      <c r="AA17" t="s">
        <v>167</v>
      </c>
      <c r="AB17" t="s">
        <v>1308</v>
      </c>
      <c r="AC17" s="128">
        <v>44373</v>
      </c>
      <c r="AD17" t="s">
        <v>349</v>
      </c>
      <c r="AE17" t="s">
        <v>1122</v>
      </c>
      <c r="AF17" t="s">
        <v>1104</v>
      </c>
      <c r="AG17" t="s">
        <v>0</v>
      </c>
      <c r="AH17">
        <v>1</v>
      </c>
      <c r="AI17" t="b">
        <v>0</v>
      </c>
      <c r="AK17" t="b">
        <v>0</v>
      </c>
      <c r="AM17" t="b">
        <v>0</v>
      </c>
      <c r="AN17" t="b">
        <v>0</v>
      </c>
      <c r="AO17" t="b">
        <v>0</v>
      </c>
      <c r="AP17" t="b">
        <v>0</v>
      </c>
      <c r="AQ17" t="b">
        <v>0</v>
      </c>
      <c r="AR17" t="b">
        <v>0</v>
      </c>
      <c r="AS17" t="b">
        <v>0</v>
      </c>
      <c r="AT17" t="s">
        <v>1309</v>
      </c>
      <c r="AU17">
        <v>9882334</v>
      </c>
      <c r="AV17" t="s">
        <v>973</v>
      </c>
      <c r="AW17" t="s">
        <v>991</v>
      </c>
      <c r="AX17" s="128">
        <v>44509</v>
      </c>
      <c r="AY17" t="s">
        <v>1136</v>
      </c>
      <c r="AZ17" t="s">
        <v>582</v>
      </c>
      <c r="BA17" t="s">
        <v>69</v>
      </c>
      <c r="BB17" t="s">
        <v>40</v>
      </c>
      <c r="BD17" t="s">
        <v>30</v>
      </c>
      <c r="BG17" s="128"/>
      <c r="BH17" t="b">
        <v>0</v>
      </c>
      <c r="BK17" t="s">
        <v>1105</v>
      </c>
      <c r="CC17" s="128"/>
      <c r="CE17" s="128"/>
      <c r="CG17" s="128"/>
      <c r="CI17" s="128"/>
      <c r="CK17" s="128"/>
      <c r="CM17" s="128"/>
      <c r="CO17" s="128"/>
      <c r="CT17" s="128"/>
      <c r="CV17" s="128"/>
    </row>
    <row r="18" spans="1:100" ht="409.5" x14ac:dyDescent="0.2">
      <c r="A18" t="s">
        <v>1310</v>
      </c>
      <c r="B18" s="128">
        <v>44362</v>
      </c>
      <c r="C18" t="s">
        <v>1311</v>
      </c>
      <c r="D18" t="s">
        <v>364</v>
      </c>
      <c r="E18" t="s">
        <v>1125</v>
      </c>
      <c r="F18" t="s">
        <v>1126</v>
      </c>
      <c r="G18" t="s">
        <v>390</v>
      </c>
      <c r="H18" t="s">
        <v>1231</v>
      </c>
      <c r="I18" t="s">
        <v>22</v>
      </c>
      <c r="J18" t="s">
        <v>1174</v>
      </c>
      <c r="K18" t="s">
        <v>158</v>
      </c>
      <c r="L18" t="s">
        <v>1312</v>
      </c>
      <c r="M18" t="s">
        <v>346</v>
      </c>
      <c r="N18" t="s">
        <v>1313</v>
      </c>
      <c r="O18" t="s">
        <v>1314</v>
      </c>
      <c r="P18" t="s">
        <v>1315</v>
      </c>
      <c r="Q18" s="128">
        <v>44372</v>
      </c>
      <c r="R18" s="128">
        <v>44452</v>
      </c>
      <c r="S18" t="s">
        <v>1316</v>
      </c>
      <c r="T18" s="128">
        <v>44427</v>
      </c>
      <c r="U18">
        <v>0</v>
      </c>
      <c r="V18">
        <v>0</v>
      </c>
      <c r="W18" t="s">
        <v>262</v>
      </c>
      <c r="X18" s="99" t="s">
        <v>1317</v>
      </c>
      <c r="AA18" t="s">
        <v>3</v>
      </c>
      <c r="AB18" t="s">
        <v>1318</v>
      </c>
      <c r="AC18" s="128">
        <v>44427</v>
      </c>
      <c r="AD18" t="s">
        <v>349</v>
      </c>
      <c r="AE18" t="s">
        <v>1122</v>
      </c>
      <c r="AF18" t="s">
        <v>1104</v>
      </c>
      <c r="AG18" t="s">
        <v>0</v>
      </c>
      <c r="AH18">
        <v>1</v>
      </c>
      <c r="AI18" t="b">
        <v>0</v>
      </c>
      <c r="AK18" t="b">
        <v>0</v>
      </c>
      <c r="AM18" t="b">
        <v>0</v>
      </c>
      <c r="AN18" t="b">
        <v>0</v>
      </c>
      <c r="AO18" t="b">
        <v>0</v>
      </c>
      <c r="AP18" t="b">
        <v>0</v>
      </c>
      <c r="AQ18" t="b">
        <v>0</v>
      </c>
      <c r="AR18" t="b">
        <v>0</v>
      </c>
      <c r="AS18" t="b">
        <v>0</v>
      </c>
      <c r="AT18" t="s">
        <v>1319</v>
      </c>
      <c r="AU18">
        <v>9882334</v>
      </c>
      <c r="AV18" t="s">
        <v>973</v>
      </c>
      <c r="AW18" t="s">
        <v>991</v>
      </c>
      <c r="AX18" s="128">
        <v>44509</v>
      </c>
      <c r="AY18" t="s">
        <v>1136</v>
      </c>
      <c r="AZ18" t="s">
        <v>22</v>
      </c>
      <c r="BA18" t="s">
        <v>158</v>
      </c>
      <c r="BB18" t="s">
        <v>52</v>
      </c>
      <c r="BD18" t="s">
        <v>801</v>
      </c>
      <c r="BG18" s="128"/>
      <c r="BH18" t="b">
        <v>0</v>
      </c>
      <c r="BK18" t="s">
        <v>1105</v>
      </c>
      <c r="CC18" s="128"/>
      <c r="CE18" s="128"/>
      <c r="CG18" s="128"/>
      <c r="CI18" s="128"/>
      <c r="CK18" s="128"/>
      <c r="CM18" s="128"/>
      <c r="CO18" s="128"/>
      <c r="CT18" s="128"/>
      <c r="CV18" s="128"/>
    </row>
    <row r="19" spans="1:100" ht="409.5" x14ac:dyDescent="0.2">
      <c r="A19" t="s">
        <v>1320</v>
      </c>
      <c r="B19" s="128">
        <v>44252</v>
      </c>
      <c r="C19" t="s">
        <v>1289</v>
      </c>
      <c r="D19" t="s">
        <v>337</v>
      </c>
      <c r="E19" t="s">
        <v>1101</v>
      </c>
      <c r="F19" t="s">
        <v>1102</v>
      </c>
      <c r="G19" t="s">
        <v>370</v>
      </c>
      <c r="H19" t="s">
        <v>1321</v>
      </c>
      <c r="I19" t="s">
        <v>339</v>
      </c>
      <c r="J19" t="s">
        <v>1103</v>
      </c>
      <c r="K19" t="s">
        <v>28</v>
      </c>
      <c r="L19" t="s">
        <v>1127</v>
      </c>
      <c r="M19" t="s">
        <v>346</v>
      </c>
      <c r="N19" t="s">
        <v>1322</v>
      </c>
      <c r="O19" t="s">
        <v>1323</v>
      </c>
      <c r="Q19" s="128"/>
      <c r="R19" s="128">
        <v>44260</v>
      </c>
      <c r="T19" s="128"/>
      <c r="U19">
        <v>0</v>
      </c>
      <c r="V19">
        <v>0</v>
      </c>
      <c r="W19" t="s">
        <v>262</v>
      </c>
      <c r="X19" s="99" t="s">
        <v>1324</v>
      </c>
      <c r="AA19" t="s">
        <v>1</v>
      </c>
      <c r="AB19" t="s">
        <v>1325</v>
      </c>
      <c r="AC19" s="128">
        <v>44255</v>
      </c>
      <c r="AD19" t="s">
        <v>349</v>
      </c>
      <c r="AE19" t="s">
        <v>1326</v>
      </c>
      <c r="AF19" t="s">
        <v>1104</v>
      </c>
      <c r="AG19" t="s">
        <v>0</v>
      </c>
      <c r="AH19">
        <v>1</v>
      </c>
      <c r="AI19" t="b">
        <v>0</v>
      </c>
      <c r="AK19" t="b">
        <v>0</v>
      </c>
      <c r="AM19" t="b">
        <v>0</v>
      </c>
      <c r="AN19" t="b">
        <v>0</v>
      </c>
      <c r="AO19" t="b">
        <v>0</v>
      </c>
      <c r="AP19" t="b">
        <v>0</v>
      </c>
      <c r="AQ19" t="b">
        <v>0</v>
      </c>
      <c r="AR19" t="b">
        <v>0</v>
      </c>
      <c r="AS19" t="b">
        <v>0</v>
      </c>
      <c r="AT19" t="s">
        <v>1332</v>
      </c>
      <c r="AU19">
        <v>9882334</v>
      </c>
      <c r="AV19" t="s">
        <v>973</v>
      </c>
      <c r="AW19" t="s">
        <v>991</v>
      </c>
      <c r="AX19" s="128">
        <v>44509</v>
      </c>
      <c r="AY19" t="s">
        <v>1136</v>
      </c>
      <c r="BB19" t="s">
        <v>38</v>
      </c>
      <c r="BD19" t="s">
        <v>28</v>
      </c>
      <c r="BE19">
        <v>5.29</v>
      </c>
      <c r="BG19" s="128"/>
      <c r="BH19" t="b">
        <v>0</v>
      </c>
      <c r="BK19" t="s">
        <v>1105</v>
      </c>
      <c r="BL19" t="s">
        <v>1328</v>
      </c>
      <c r="BN19" t="s">
        <v>1116</v>
      </c>
      <c r="BO19" t="s">
        <v>1116</v>
      </c>
      <c r="BP19" t="s">
        <v>1106</v>
      </c>
      <c r="BQ19" t="s">
        <v>1329</v>
      </c>
      <c r="BS19" t="s">
        <v>1330</v>
      </c>
      <c r="BT19" t="s">
        <v>1226</v>
      </c>
      <c r="BU19" t="s">
        <v>1331</v>
      </c>
      <c r="CC19" s="128"/>
      <c r="CE19" s="128"/>
      <c r="CG19" s="128"/>
      <c r="CI19" s="128"/>
      <c r="CK19" s="128"/>
      <c r="CM19" s="128"/>
      <c r="CO19" s="128"/>
      <c r="CP19" t="s">
        <v>771</v>
      </c>
      <c r="CR19" t="s">
        <v>1107</v>
      </c>
      <c r="CS19">
        <v>8</v>
      </c>
      <c r="CT19" s="128">
        <v>44270</v>
      </c>
      <c r="CU19" t="s">
        <v>1326</v>
      </c>
      <c r="CV19" s="128">
        <v>44270</v>
      </c>
    </row>
    <row r="20" spans="1:100" ht="409.5" x14ac:dyDescent="0.2">
      <c r="A20" t="s">
        <v>1333</v>
      </c>
      <c r="B20" s="128">
        <v>44252</v>
      </c>
      <c r="C20" t="s">
        <v>1299</v>
      </c>
      <c r="D20" t="s">
        <v>337</v>
      </c>
      <c r="E20" t="s">
        <v>1101</v>
      </c>
      <c r="F20" t="s">
        <v>1102</v>
      </c>
      <c r="G20" t="s">
        <v>370</v>
      </c>
      <c r="H20" t="s">
        <v>1321</v>
      </c>
      <c r="I20" t="s">
        <v>339</v>
      </c>
      <c r="J20" t="s">
        <v>1103</v>
      </c>
      <c r="K20" t="s">
        <v>28</v>
      </c>
      <c r="L20" t="s">
        <v>1127</v>
      </c>
      <c r="M20" t="s">
        <v>346</v>
      </c>
      <c r="N20" t="s">
        <v>1334</v>
      </c>
      <c r="O20" t="s">
        <v>1335</v>
      </c>
      <c r="Q20" s="128"/>
      <c r="R20" s="128"/>
      <c r="T20" s="128"/>
      <c r="U20">
        <v>0</v>
      </c>
      <c r="V20">
        <v>0</v>
      </c>
      <c r="W20" t="s">
        <v>262</v>
      </c>
      <c r="X20" s="99" t="s">
        <v>1336</v>
      </c>
      <c r="AB20" t="s">
        <v>1337</v>
      </c>
      <c r="AC20" s="128">
        <v>44252</v>
      </c>
      <c r="AD20" t="s">
        <v>349</v>
      </c>
      <c r="AE20" t="s">
        <v>1326</v>
      </c>
      <c r="AF20" t="s">
        <v>1104</v>
      </c>
      <c r="AG20" t="s">
        <v>0</v>
      </c>
      <c r="AH20">
        <v>1</v>
      </c>
      <c r="AI20" t="b">
        <v>0</v>
      </c>
      <c r="AK20" t="b">
        <v>0</v>
      </c>
      <c r="AM20" t="b">
        <v>0</v>
      </c>
      <c r="AN20" t="b">
        <v>0</v>
      </c>
      <c r="AO20" t="b">
        <v>0</v>
      </c>
      <c r="AP20" t="b">
        <v>0</v>
      </c>
      <c r="AQ20" t="b">
        <v>0</v>
      </c>
      <c r="AR20" t="b">
        <v>0</v>
      </c>
      <c r="AS20" t="b">
        <v>0</v>
      </c>
      <c r="AT20" t="s">
        <v>1339</v>
      </c>
      <c r="AU20">
        <v>9882334</v>
      </c>
      <c r="AV20" t="s">
        <v>973</v>
      </c>
      <c r="AW20" t="s">
        <v>991</v>
      </c>
      <c r="AX20" s="128">
        <v>44509</v>
      </c>
      <c r="AY20" t="s">
        <v>1136</v>
      </c>
      <c r="BB20" t="s">
        <v>38</v>
      </c>
      <c r="BD20" t="s">
        <v>28</v>
      </c>
      <c r="BE20">
        <v>5.34</v>
      </c>
      <c r="BG20" s="128"/>
      <c r="BH20" t="b">
        <v>0</v>
      </c>
      <c r="BK20" t="s">
        <v>1105</v>
      </c>
      <c r="BL20" t="s">
        <v>1328</v>
      </c>
      <c r="BN20" t="s">
        <v>1116</v>
      </c>
      <c r="BO20" t="s">
        <v>1116</v>
      </c>
      <c r="BP20" t="s">
        <v>1106</v>
      </c>
      <c r="BQ20" t="s">
        <v>1329</v>
      </c>
      <c r="BS20" t="s">
        <v>1330</v>
      </c>
      <c r="BT20" t="s">
        <v>1226</v>
      </c>
      <c r="BU20" t="s">
        <v>1331</v>
      </c>
      <c r="CC20" s="128"/>
      <c r="CE20" s="128"/>
      <c r="CG20" s="128"/>
      <c r="CI20" s="128"/>
      <c r="CK20" s="128"/>
      <c r="CM20" s="128"/>
      <c r="CO20" s="128"/>
      <c r="CP20" t="s">
        <v>771</v>
      </c>
      <c r="CR20" t="s">
        <v>1107</v>
      </c>
      <c r="CS20">
        <v>2</v>
      </c>
      <c r="CT20" s="128">
        <v>44270</v>
      </c>
      <c r="CU20" t="s">
        <v>1326</v>
      </c>
      <c r="CV20" s="128">
        <v>44270</v>
      </c>
    </row>
    <row r="21" spans="1:100" ht="409.5" x14ac:dyDescent="0.2">
      <c r="A21" t="s">
        <v>1340</v>
      </c>
      <c r="B21" s="128">
        <v>44363</v>
      </c>
      <c r="C21" t="s">
        <v>1311</v>
      </c>
      <c r="D21" t="s">
        <v>337</v>
      </c>
      <c r="E21" t="s">
        <v>1101</v>
      </c>
      <c r="F21" t="s">
        <v>1102</v>
      </c>
      <c r="G21" t="s">
        <v>338</v>
      </c>
      <c r="H21" t="s">
        <v>1341</v>
      </c>
      <c r="I21" t="s">
        <v>339</v>
      </c>
      <c r="J21" t="s">
        <v>1103</v>
      </c>
      <c r="K21" t="s">
        <v>26</v>
      </c>
      <c r="L21" t="s">
        <v>1342</v>
      </c>
      <c r="M21" t="s">
        <v>346</v>
      </c>
      <c r="N21" t="s">
        <v>1343</v>
      </c>
      <c r="O21" t="s">
        <v>1344</v>
      </c>
      <c r="Q21" s="128"/>
      <c r="R21" s="128"/>
      <c r="T21" s="128"/>
      <c r="U21">
        <v>0</v>
      </c>
      <c r="V21">
        <v>0</v>
      </c>
      <c r="W21" t="s">
        <v>262</v>
      </c>
      <c r="X21" s="99" t="s">
        <v>1345</v>
      </c>
      <c r="AA21" t="s">
        <v>5</v>
      </c>
      <c r="AB21" t="s">
        <v>1346</v>
      </c>
      <c r="AC21" s="128">
        <v>44363</v>
      </c>
      <c r="AD21" t="s">
        <v>349</v>
      </c>
      <c r="AE21" t="s">
        <v>1326</v>
      </c>
      <c r="AF21" t="s">
        <v>1104</v>
      </c>
      <c r="AG21" t="s">
        <v>0</v>
      </c>
      <c r="AH21">
        <v>1</v>
      </c>
      <c r="AI21" t="b">
        <v>0</v>
      </c>
      <c r="AK21" t="b">
        <v>0</v>
      </c>
      <c r="AM21" t="b">
        <v>0</v>
      </c>
      <c r="AN21" t="b">
        <v>0</v>
      </c>
      <c r="AO21" t="b">
        <v>0</v>
      </c>
      <c r="AP21" t="b">
        <v>0</v>
      </c>
      <c r="AQ21" t="b">
        <v>0</v>
      </c>
      <c r="AR21" t="b">
        <v>0</v>
      </c>
      <c r="AS21" t="b">
        <v>0</v>
      </c>
      <c r="AT21" t="s">
        <v>1355</v>
      </c>
      <c r="AU21">
        <v>9882334</v>
      </c>
      <c r="AV21" t="s">
        <v>973</v>
      </c>
      <c r="AW21" t="s">
        <v>991</v>
      </c>
      <c r="AX21" s="128">
        <v>44509</v>
      </c>
      <c r="AY21" t="s">
        <v>1136</v>
      </c>
      <c r="BB21" t="s">
        <v>41</v>
      </c>
      <c r="BD21" t="s">
        <v>26</v>
      </c>
      <c r="BE21">
        <v>2.7</v>
      </c>
      <c r="BG21" s="128"/>
      <c r="BH21" t="b">
        <v>0</v>
      </c>
      <c r="BK21" t="s">
        <v>1105</v>
      </c>
      <c r="BL21" t="s">
        <v>1348</v>
      </c>
      <c r="BN21" t="s">
        <v>1349</v>
      </c>
      <c r="BO21" t="s">
        <v>1350</v>
      </c>
      <c r="BP21" t="s">
        <v>1106</v>
      </c>
      <c r="BQ21" t="s">
        <v>1128</v>
      </c>
      <c r="BS21" t="s">
        <v>1351</v>
      </c>
      <c r="BT21" t="s">
        <v>1352</v>
      </c>
      <c r="BU21" t="s">
        <v>1353</v>
      </c>
      <c r="CC21" s="128"/>
      <c r="CE21" s="128"/>
      <c r="CG21" s="128"/>
      <c r="CI21" s="128"/>
      <c r="CK21" s="128"/>
      <c r="CM21" s="128"/>
      <c r="CO21" s="128"/>
      <c r="CP21" t="s">
        <v>775</v>
      </c>
      <c r="CQ21" t="s">
        <v>1354</v>
      </c>
      <c r="CR21" t="s">
        <v>1107</v>
      </c>
      <c r="CS21">
        <v>8</v>
      </c>
      <c r="CT21" s="128">
        <v>44375</v>
      </c>
      <c r="CU21" t="s">
        <v>1326</v>
      </c>
      <c r="CV21" s="128"/>
    </row>
    <row r="22" spans="1:100" ht="409.5" x14ac:dyDescent="0.2">
      <c r="A22" t="s">
        <v>1357</v>
      </c>
      <c r="B22" s="128">
        <v>44363</v>
      </c>
      <c r="C22" t="s">
        <v>1356</v>
      </c>
      <c r="D22" t="s">
        <v>337</v>
      </c>
      <c r="E22" t="s">
        <v>1101</v>
      </c>
      <c r="F22" t="s">
        <v>1102</v>
      </c>
      <c r="G22" t="s">
        <v>338</v>
      </c>
      <c r="H22" t="s">
        <v>1341</v>
      </c>
      <c r="I22" t="s">
        <v>339</v>
      </c>
      <c r="J22" t="s">
        <v>1103</v>
      </c>
      <c r="K22" t="s">
        <v>755</v>
      </c>
      <c r="L22" t="s">
        <v>1358</v>
      </c>
      <c r="M22" t="s">
        <v>346</v>
      </c>
      <c r="N22" t="s">
        <v>1359</v>
      </c>
      <c r="O22" t="s">
        <v>1360</v>
      </c>
      <c r="P22" t="s">
        <v>1361</v>
      </c>
      <c r="Q22" s="128"/>
      <c r="R22" s="128"/>
      <c r="S22" t="s">
        <v>1361</v>
      </c>
      <c r="T22" s="128"/>
      <c r="U22">
        <v>0</v>
      </c>
      <c r="V22">
        <v>0</v>
      </c>
      <c r="W22" t="s">
        <v>262</v>
      </c>
      <c r="X22" s="99" t="s">
        <v>1362</v>
      </c>
      <c r="AA22" t="s">
        <v>5</v>
      </c>
      <c r="AB22" t="s">
        <v>1361</v>
      </c>
      <c r="AC22" s="128">
        <v>44365</v>
      </c>
      <c r="AD22" t="s">
        <v>349</v>
      </c>
      <c r="AE22" t="s">
        <v>1326</v>
      </c>
      <c r="AF22" t="s">
        <v>1104</v>
      </c>
      <c r="AG22" t="s">
        <v>0</v>
      </c>
      <c r="AH22">
        <v>1</v>
      </c>
      <c r="AI22" t="b">
        <v>0</v>
      </c>
      <c r="AK22" t="b">
        <v>0</v>
      </c>
      <c r="AM22" t="b">
        <v>0</v>
      </c>
      <c r="AN22" t="b">
        <v>0</v>
      </c>
      <c r="AO22" t="b">
        <v>0</v>
      </c>
      <c r="AP22" t="b">
        <v>0</v>
      </c>
      <c r="AQ22" t="b">
        <v>0</v>
      </c>
      <c r="AR22" t="b">
        <v>0</v>
      </c>
      <c r="AS22" t="b">
        <v>0</v>
      </c>
      <c r="AT22" t="s">
        <v>1364</v>
      </c>
      <c r="AU22">
        <v>9882334</v>
      </c>
      <c r="AV22" t="s">
        <v>973</v>
      </c>
      <c r="AW22" t="s">
        <v>991</v>
      </c>
      <c r="AX22" s="128">
        <v>44509</v>
      </c>
      <c r="AY22" t="s">
        <v>1136</v>
      </c>
      <c r="AZ22" t="s">
        <v>19</v>
      </c>
      <c r="BA22" t="s">
        <v>150</v>
      </c>
      <c r="BD22" t="s">
        <v>755</v>
      </c>
      <c r="BE22">
        <v>4.8</v>
      </c>
      <c r="BG22" s="128"/>
      <c r="BH22" t="b">
        <v>0</v>
      </c>
      <c r="BK22" t="s">
        <v>1105</v>
      </c>
      <c r="BL22" t="s">
        <v>1348</v>
      </c>
      <c r="BN22" t="s">
        <v>1349</v>
      </c>
      <c r="BO22" t="s">
        <v>1350</v>
      </c>
      <c r="BP22" t="s">
        <v>1106</v>
      </c>
      <c r="BQ22" t="s">
        <v>1128</v>
      </c>
      <c r="BS22" t="s">
        <v>1351</v>
      </c>
      <c r="BT22" t="s">
        <v>1352</v>
      </c>
      <c r="BU22" t="s">
        <v>1353</v>
      </c>
      <c r="CC22" s="128"/>
      <c r="CE22" s="128"/>
      <c r="CG22" s="128"/>
      <c r="CI22" s="128"/>
      <c r="CK22" s="128"/>
      <c r="CM22" s="128"/>
      <c r="CO22" s="128"/>
      <c r="CP22" t="s">
        <v>775</v>
      </c>
      <c r="CQ22" t="s">
        <v>1354</v>
      </c>
      <c r="CR22" t="s">
        <v>1107</v>
      </c>
      <c r="CS22">
        <v>5</v>
      </c>
      <c r="CT22" s="128">
        <v>44375</v>
      </c>
      <c r="CU22" t="s">
        <v>1326</v>
      </c>
      <c r="CV22" s="128"/>
    </row>
    <row r="23" spans="1:100" ht="409.5" x14ac:dyDescent="0.2">
      <c r="A23" t="s">
        <v>1366</v>
      </c>
      <c r="B23" s="128">
        <v>44440</v>
      </c>
      <c r="C23" t="s">
        <v>1365</v>
      </c>
      <c r="D23" t="s">
        <v>364</v>
      </c>
      <c r="E23" t="s">
        <v>1125</v>
      </c>
      <c r="F23" t="s">
        <v>1126</v>
      </c>
      <c r="G23" t="s">
        <v>390</v>
      </c>
      <c r="H23" t="s">
        <v>1129</v>
      </c>
      <c r="I23" t="s">
        <v>13</v>
      </c>
      <c r="J23" t="s">
        <v>1140</v>
      </c>
      <c r="K23" t="s">
        <v>83</v>
      </c>
      <c r="L23" t="s">
        <v>1141</v>
      </c>
      <c r="M23" t="s">
        <v>346</v>
      </c>
      <c r="N23" s="99" t="s">
        <v>1367</v>
      </c>
      <c r="O23" t="s">
        <v>1368</v>
      </c>
      <c r="P23" s="99" t="s">
        <v>1369</v>
      </c>
      <c r="Q23" s="128">
        <v>44440</v>
      </c>
      <c r="R23" s="128">
        <v>44530</v>
      </c>
      <c r="S23" t="s">
        <v>1370</v>
      </c>
      <c r="T23" s="128">
        <v>44449</v>
      </c>
      <c r="U23">
        <v>0</v>
      </c>
      <c r="V23">
        <v>0</v>
      </c>
      <c r="W23" t="s">
        <v>262</v>
      </c>
      <c r="X23" t="s">
        <v>1371</v>
      </c>
      <c r="AA23" t="s">
        <v>4</v>
      </c>
      <c r="AB23" t="s">
        <v>1372</v>
      </c>
      <c r="AC23" s="128">
        <v>44449</v>
      </c>
      <c r="AD23" t="s">
        <v>349</v>
      </c>
      <c r="AE23" t="s">
        <v>1122</v>
      </c>
      <c r="AF23" t="s">
        <v>1104</v>
      </c>
      <c r="AG23" t="s">
        <v>0</v>
      </c>
      <c r="AH23">
        <v>1</v>
      </c>
      <c r="AI23" t="b">
        <v>0</v>
      </c>
      <c r="AK23" t="b">
        <v>0</v>
      </c>
      <c r="AM23" t="b">
        <v>0</v>
      </c>
      <c r="AN23" t="b">
        <v>0</v>
      </c>
      <c r="AO23" t="b">
        <v>0</v>
      </c>
      <c r="AP23" t="b">
        <v>0</v>
      </c>
      <c r="AQ23" t="b">
        <v>1</v>
      </c>
      <c r="AR23" t="b">
        <v>0</v>
      </c>
      <c r="AS23" t="b">
        <v>0</v>
      </c>
      <c r="AT23" t="s">
        <v>1374</v>
      </c>
      <c r="AU23">
        <v>9882334</v>
      </c>
      <c r="AV23" t="s">
        <v>973</v>
      </c>
      <c r="AW23" t="s">
        <v>991</v>
      </c>
      <c r="AX23" s="128">
        <v>44509</v>
      </c>
      <c r="AY23" t="s">
        <v>1136</v>
      </c>
      <c r="AZ23" t="s">
        <v>13</v>
      </c>
      <c r="BA23" t="s">
        <v>83</v>
      </c>
      <c r="BB23" t="s">
        <v>40</v>
      </c>
      <c r="BD23" t="s">
        <v>30</v>
      </c>
      <c r="BG23" s="128"/>
      <c r="BH23" t="b">
        <v>0</v>
      </c>
      <c r="BI23" t="s">
        <v>1373</v>
      </c>
      <c r="BK23" t="s">
        <v>1105</v>
      </c>
      <c r="CC23" s="128"/>
      <c r="CE23" s="128"/>
      <c r="CG23" s="128"/>
      <c r="CI23" s="128"/>
      <c r="CK23" s="128"/>
      <c r="CM23" s="128"/>
      <c r="CO23" s="128"/>
      <c r="CT23" s="128"/>
      <c r="CV23" s="128"/>
    </row>
    <row r="24" spans="1:100" ht="182" x14ac:dyDescent="0.2">
      <c r="A24" t="s">
        <v>1376</v>
      </c>
      <c r="B24" s="128">
        <v>44425</v>
      </c>
      <c r="C24" t="s">
        <v>1375</v>
      </c>
      <c r="D24" t="s">
        <v>364</v>
      </c>
      <c r="E24" t="s">
        <v>1125</v>
      </c>
      <c r="F24" t="s">
        <v>1126</v>
      </c>
      <c r="G24" t="s">
        <v>390</v>
      </c>
      <c r="H24" t="s">
        <v>1129</v>
      </c>
      <c r="I24" t="s">
        <v>391</v>
      </c>
      <c r="J24" t="s">
        <v>1377</v>
      </c>
      <c r="K24" t="s">
        <v>141</v>
      </c>
      <c r="L24" t="s">
        <v>1378</v>
      </c>
      <c r="M24" t="s">
        <v>346</v>
      </c>
      <c r="N24" t="s">
        <v>1379</v>
      </c>
      <c r="O24" t="s">
        <v>1380</v>
      </c>
      <c r="P24" t="s">
        <v>1381</v>
      </c>
      <c r="Q24" s="128">
        <v>44434</v>
      </c>
      <c r="R24" s="128">
        <v>44516</v>
      </c>
      <c r="S24" t="s">
        <v>1495</v>
      </c>
      <c r="T24" s="128">
        <v>44555</v>
      </c>
      <c r="U24">
        <v>0</v>
      </c>
      <c r="V24">
        <v>0</v>
      </c>
      <c r="W24" t="s">
        <v>262</v>
      </c>
      <c r="X24" s="99" t="s">
        <v>1496</v>
      </c>
      <c r="AA24" t="s">
        <v>4</v>
      </c>
      <c r="AB24" t="s">
        <v>1497</v>
      </c>
      <c r="AC24" s="128">
        <v>44555</v>
      </c>
      <c r="AD24" t="s">
        <v>349</v>
      </c>
      <c r="AE24" t="s">
        <v>1122</v>
      </c>
      <c r="AF24" t="s">
        <v>1104</v>
      </c>
      <c r="AG24" t="s">
        <v>0</v>
      </c>
      <c r="AH24">
        <v>1</v>
      </c>
      <c r="AI24" t="b">
        <v>0</v>
      </c>
      <c r="AK24" t="b">
        <v>0</v>
      </c>
      <c r="AM24" t="b">
        <v>1</v>
      </c>
      <c r="AN24" t="b">
        <v>0</v>
      </c>
      <c r="AO24" t="b">
        <v>0</v>
      </c>
      <c r="AP24" t="b">
        <v>0</v>
      </c>
      <c r="AQ24" t="b">
        <v>0</v>
      </c>
      <c r="AR24" t="b">
        <v>0</v>
      </c>
      <c r="AS24" t="b">
        <v>0</v>
      </c>
      <c r="AT24" t="s">
        <v>1498</v>
      </c>
      <c r="AU24">
        <v>9882334</v>
      </c>
      <c r="AV24" t="s">
        <v>973</v>
      </c>
      <c r="AW24" t="s">
        <v>991</v>
      </c>
      <c r="AX24" s="128">
        <v>44567</v>
      </c>
      <c r="AY24" t="s">
        <v>1453</v>
      </c>
      <c r="AZ24" t="s">
        <v>391</v>
      </c>
      <c r="BA24" t="s">
        <v>141</v>
      </c>
      <c r="BB24" t="s">
        <v>50</v>
      </c>
      <c r="BD24" t="s">
        <v>756</v>
      </c>
      <c r="BF24" t="s">
        <v>574</v>
      </c>
      <c r="BG24" s="128">
        <v>44577</v>
      </c>
      <c r="BH24" t="b">
        <v>0</v>
      </c>
      <c r="BJ24" t="s">
        <v>1455</v>
      </c>
      <c r="BK24" t="s">
        <v>1445</v>
      </c>
      <c r="CC24" s="128"/>
      <c r="CE24" s="128"/>
      <c r="CG24" s="128"/>
      <c r="CI24" s="128"/>
      <c r="CK24" s="128"/>
      <c r="CM24" s="128"/>
      <c r="CO24" s="128"/>
      <c r="CT24" s="128"/>
      <c r="CV24" s="128"/>
    </row>
    <row r="25" spans="1:100" x14ac:dyDescent="0.2">
      <c r="A25" t="s">
        <v>1383</v>
      </c>
      <c r="B25" s="128">
        <v>44435</v>
      </c>
      <c r="C25" t="s">
        <v>1382</v>
      </c>
      <c r="D25" t="s">
        <v>352</v>
      </c>
      <c r="E25" t="s">
        <v>1118</v>
      </c>
      <c r="F25" t="s">
        <v>1119</v>
      </c>
      <c r="G25" t="s">
        <v>374</v>
      </c>
      <c r="H25" t="s">
        <v>1384</v>
      </c>
      <c r="I25" t="s">
        <v>354</v>
      </c>
      <c r="J25" t="s">
        <v>1120</v>
      </c>
      <c r="K25" t="s">
        <v>424</v>
      </c>
      <c r="L25" t="s">
        <v>1378</v>
      </c>
      <c r="M25" t="s">
        <v>346</v>
      </c>
      <c r="N25" t="s">
        <v>1385</v>
      </c>
      <c r="O25" t="s">
        <v>1386</v>
      </c>
      <c r="P25" t="s">
        <v>1387</v>
      </c>
      <c r="Q25" s="128">
        <v>44442</v>
      </c>
      <c r="R25" s="128">
        <v>44526</v>
      </c>
      <c r="S25" t="s">
        <v>1388</v>
      </c>
      <c r="T25" s="128">
        <v>44472</v>
      </c>
      <c r="U25">
        <v>0</v>
      </c>
      <c r="V25">
        <v>0</v>
      </c>
      <c r="W25" t="s">
        <v>262</v>
      </c>
      <c r="X25" t="s">
        <v>1389</v>
      </c>
      <c r="AA25" t="s">
        <v>804</v>
      </c>
      <c r="AB25" t="s">
        <v>1389</v>
      </c>
      <c r="AC25" s="128">
        <v>44472</v>
      </c>
      <c r="AD25" t="s">
        <v>349</v>
      </c>
      <c r="AE25" t="s">
        <v>1122</v>
      </c>
      <c r="AF25" t="s">
        <v>1104</v>
      </c>
      <c r="AG25" t="s">
        <v>0</v>
      </c>
      <c r="AH25">
        <v>1</v>
      </c>
      <c r="AI25" t="b">
        <v>0</v>
      </c>
      <c r="AK25" t="b">
        <v>0</v>
      </c>
      <c r="AM25" t="b">
        <v>0</v>
      </c>
      <c r="AN25" t="b">
        <v>0</v>
      </c>
      <c r="AO25" t="b">
        <v>0</v>
      </c>
      <c r="AP25" t="b">
        <v>0</v>
      </c>
      <c r="AQ25" t="b">
        <v>0</v>
      </c>
      <c r="AR25" t="b">
        <v>0</v>
      </c>
      <c r="AS25" t="b">
        <v>0</v>
      </c>
      <c r="AT25" t="s">
        <v>1454</v>
      </c>
      <c r="AU25">
        <v>9882334</v>
      </c>
      <c r="AV25" t="s">
        <v>973</v>
      </c>
      <c r="AW25" t="s">
        <v>991</v>
      </c>
      <c r="AX25" s="128">
        <v>44537</v>
      </c>
      <c r="AY25" t="s">
        <v>1453</v>
      </c>
      <c r="AZ25" t="s">
        <v>584</v>
      </c>
      <c r="BA25" t="s">
        <v>82</v>
      </c>
      <c r="BB25" t="s">
        <v>50</v>
      </c>
      <c r="BD25" t="s">
        <v>29</v>
      </c>
      <c r="BG25" s="128"/>
      <c r="BH25" t="b">
        <v>0</v>
      </c>
      <c r="BK25" t="s">
        <v>1105</v>
      </c>
      <c r="BL25" t="s">
        <v>1390</v>
      </c>
      <c r="CC25" s="128"/>
      <c r="CE25" s="128"/>
      <c r="CG25" s="128"/>
      <c r="CI25" s="128"/>
      <c r="CK25" s="128"/>
      <c r="CM25" s="128"/>
      <c r="CO25" s="128"/>
      <c r="CT25" s="128"/>
      <c r="CV25" s="128"/>
    </row>
    <row r="26" spans="1:100" ht="409.5" x14ac:dyDescent="0.2">
      <c r="A26" t="s">
        <v>1392</v>
      </c>
      <c r="B26" s="128">
        <v>44435</v>
      </c>
      <c r="C26" t="s">
        <v>1391</v>
      </c>
      <c r="D26" t="s">
        <v>352</v>
      </c>
      <c r="E26" t="s">
        <v>1118</v>
      </c>
      <c r="F26" t="s">
        <v>1119</v>
      </c>
      <c r="G26" t="s">
        <v>374</v>
      </c>
      <c r="H26" t="s">
        <v>1384</v>
      </c>
      <c r="I26" t="s">
        <v>354</v>
      </c>
      <c r="J26" t="s">
        <v>1120</v>
      </c>
      <c r="K26" t="s">
        <v>417</v>
      </c>
      <c r="L26" t="s">
        <v>1124</v>
      </c>
      <c r="M26" t="s">
        <v>346</v>
      </c>
      <c r="N26" t="s">
        <v>1393</v>
      </c>
      <c r="O26" t="s">
        <v>1394</v>
      </c>
      <c r="P26" t="s">
        <v>1395</v>
      </c>
      <c r="Q26" s="128">
        <v>44498</v>
      </c>
      <c r="R26" s="128">
        <v>44526</v>
      </c>
      <c r="S26" t="s">
        <v>1396</v>
      </c>
      <c r="T26" s="128">
        <v>44529</v>
      </c>
      <c r="U26">
        <v>0</v>
      </c>
      <c r="V26">
        <v>0</v>
      </c>
      <c r="W26" t="s">
        <v>262</v>
      </c>
      <c r="X26" s="99" t="s">
        <v>1499</v>
      </c>
      <c r="AA26" t="s">
        <v>5</v>
      </c>
      <c r="AC26" s="128"/>
      <c r="AD26" t="s">
        <v>261</v>
      </c>
      <c r="AE26" t="s">
        <v>1122</v>
      </c>
      <c r="AF26" t="s">
        <v>1104</v>
      </c>
      <c r="AG26" t="s">
        <v>0</v>
      </c>
      <c r="AH26">
        <v>1</v>
      </c>
      <c r="AI26" t="b">
        <v>0</v>
      </c>
      <c r="AK26" t="b">
        <v>0</v>
      </c>
      <c r="AM26" t="b">
        <v>0</v>
      </c>
      <c r="AN26" t="b">
        <v>0</v>
      </c>
      <c r="AO26" t="b">
        <v>0</v>
      </c>
      <c r="AP26" t="b">
        <v>0</v>
      </c>
      <c r="AQ26" t="b">
        <v>0</v>
      </c>
      <c r="AR26" t="b">
        <v>0</v>
      </c>
      <c r="AS26" t="b">
        <v>0</v>
      </c>
      <c r="AT26" t="s">
        <v>1500</v>
      </c>
      <c r="AU26">
        <v>9882334</v>
      </c>
      <c r="AV26" t="s">
        <v>973</v>
      </c>
      <c r="AW26" t="s">
        <v>991</v>
      </c>
      <c r="AX26" s="128">
        <v>44567</v>
      </c>
      <c r="AY26" t="s">
        <v>1453</v>
      </c>
      <c r="AZ26" t="s">
        <v>19</v>
      </c>
      <c r="BA26" t="s">
        <v>189</v>
      </c>
      <c r="BB26" t="s">
        <v>43</v>
      </c>
      <c r="BD26" t="s">
        <v>755</v>
      </c>
      <c r="BF26" t="s">
        <v>573</v>
      </c>
      <c r="BG26" s="128">
        <v>44646</v>
      </c>
      <c r="BH26" t="b">
        <v>0</v>
      </c>
      <c r="BJ26" t="s">
        <v>1456</v>
      </c>
      <c r="BK26" t="s">
        <v>1445</v>
      </c>
      <c r="BL26" t="s">
        <v>1390</v>
      </c>
      <c r="CC26" s="128"/>
      <c r="CE26" s="128"/>
      <c r="CG26" s="128"/>
      <c r="CI26" s="128"/>
      <c r="CK26" s="128"/>
      <c r="CM26" s="128"/>
      <c r="CO26" s="128"/>
      <c r="CT26" s="128"/>
      <c r="CV26" s="128"/>
    </row>
    <row r="27" spans="1:100" ht="409.5" x14ac:dyDescent="0.2">
      <c r="A27" t="s">
        <v>1398</v>
      </c>
      <c r="B27" s="128">
        <v>44435</v>
      </c>
      <c r="C27" t="s">
        <v>1397</v>
      </c>
      <c r="D27" t="s">
        <v>352</v>
      </c>
      <c r="E27" t="s">
        <v>1118</v>
      </c>
      <c r="F27" t="s">
        <v>1119</v>
      </c>
      <c r="G27" t="s">
        <v>374</v>
      </c>
      <c r="H27" t="s">
        <v>1384</v>
      </c>
      <c r="I27" t="s">
        <v>354</v>
      </c>
      <c r="J27" t="s">
        <v>1120</v>
      </c>
      <c r="K27" t="s">
        <v>412</v>
      </c>
      <c r="L27" t="s">
        <v>1124</v>
      </c>
      <c r="M27" t="s">
        <v>346</v>
      </c>
      <c r="N27" t="s">
        <v>1399</v>
      </c>
      <c r="O27" t="s">
        <v>1400</v>
      </c>
      <c r="P27" t="s">
        <v>1401</v>
      </c>
      <c r="Q27" s="128">
        <v>44447</v>
      </c>
      <c r="R27" s="128">
        <v>44526</v>
      </c>
      <c r="S27" t="s">
        <v>1402</v>
      </c>
      <c r="T27" s="128">
        <v>44494</v>
      </c>
      <c r="U27">
        <v>0</v>
      </c>
      <c r="V27">
        <v>0</v>
      </c>
      <c r="W27" t="s">
        <v>262</v>
      </c>
      <c r="X27" s="99" t="s">
        <v>1501</v>
      </c>
      <c r="AA27" t="s">
        <v>4</v>
      </c>
      <c r="AC27" s="128"/>
      <c r="AD27" t="s">
        <v>261</v>
      </c>
      <c r="AE27" t="s">
        <v>1122</v>
      </c>
      <c r="AF27" t="s">
        <v>1104</v>
      </c>
      <c r="AG27" t="s">
        <v>0</v>
      </c>
      <c r="AH27">
        <v>1</v>
      </c>
      <c r="AI27" t="b">
        <v>0</v>
      </c>
      <c r="AK27" t="b">
        <v>0</v>
      </c>
      <c r="AM27" t="b">
        <v>0</v>
      </c>
      <c r="AN27" t="b">
        <v>0</v>
      </c>
      <c r="AO27" t="b">
        <v>0</v>
      </c>
      <c r="AP27" t="b">
        <v>0</v>
      </c>
      <c r="AQ27" t="b">
        <v>0</v>
      </c>
      <c r="AR27" t="b">
        <v>0</v>
      </c>
      <c r="AS27" t="b">
        <v>0</v>
      </c>
      <c r="AT27" t="s">
        <v>1502</v>
      </c>
      <c r="AU27">
        <v>9882334</v>
      </c>
      <c r="AV27" t="s">
        <v>973</v>
      </c>
      <c r="AW27" t="s">
        <v>991</v>
      </c>
      <c r="AX27" s="128">
        <v>44567</v>
      </c>
      <c r="AY27" t="s">
        <v>1453</v>
      </c>
      <c r="AZ27" t="s">
        <v>14</v>
      </c>
      <c r="BA27" t="s">
        <v>100</v>
      </c>
      <c r="BB27" t="s">
        <v>38</v>
      </c>
      <c r="BD27" t="s">
        <v>756</v>
      </c>
      <c r="BG27" s="128"/>
      <c r="BH27" t="b">
        <v>0</v>
      </c>
      <c r="BK27" t="s">
        <v>1445</v>
      </c>
      <c r="BL27" t="s">
        <v>1390</v>
      </c>
      <c r="CC27" s="128"/>
      <c r="CE27" s="128"/>
      <c r="CG27" s="128"/>
      <c r="CI27" s="128"/>
      <c r="CK27" s="128"/>
      <c r="CM27" s="128"/>
      <c r="CO27" s="128"/>
      <c r="CT27" s="128"/>
      <c r="CV27" s="128"/>
    </row>
    <row r="28" spans="1:100" x14ac:dyDescent="0.2">
      <c r="A28" t="s">
        <v>1404</v>
      </c>
      <c r="B28" s="128">
        <v>44435</v>
      </c>
      <c r="C28" t="s">
        <v>1403</v>
      </c>
      <c r="D28" t="s">
        <v>352</v>
      </c>
      <c r="E28" t="s">
        <v>1118</v>
      </c>
      <c r="F28" t="s">
        <v>1119</v>
      </c>
      <c r="G28" t="s">
        <v>374</v>
      </c>
      <c r="H28" t="s">
        <v>1384</v>
      </c>
      <c r="I28" t="s">
        <v>354</v>
      </c>
      <c r="J28" t="s">
        <v>1120</v>
      </c>
      <c r="K28" t="s">
        <v>412</v>
      </c>
      <c r="L28" t="s">
        <v>1123</v>
      </c>
      <c r="M28" t="s">
        <v>346</v>
      </c>
      <c r="N28" t="s">
        <v>1405</v>
      </c>
      <c r="O28" t="s">
        <v>1386</v>
      </c>
      <c r="P28" t="s">
        <v>1406</v>
      </c>
      <c r="Q28" s="128">
        <v>44454</v>
      </c>
      <c r="R28" s="128">
        <v>44469</v>
      </c>
      <c r="S28" t="s">
        <v>1493</v>
      </c>
      <c r="T28" s="128">
        <v>44484</v>
      </c>
      <c r="U28">
        <v>0</v>
      </c>
      <c r="V28">
        <v>0</v>
      </c>
      <c r="W28" t="s">
        <v>262</v>
      </c>
      <c r="X28" t="s">
        <v>1407</v>
      </c>
      <c r="AA28" t="s">
        <v>804</v>
      </c>
      <c r="AB28" t="s">
        <v>1408</v>
      </c>
      <c r="AC28" s="128">
        <v>44484</v>
      </c>
      <c r="AD28" t="s">
        <v>349</v>
      </c>
      <c r="AE28" t="s">
        <v>1122</v>
      </c>
      <c r="AF28" t="s">
        <v>1104</v>
      </c>
      <c r="AG28" t="s">
        <v>0</v>
      </c>
      <c r="AH28">
        <v>1</v>
      </c>
      <c r="AI28" t="b">
        <v>0</v>
      </c>
      <c r="AK28" t="b">
        <v>0</v>
      </c>
      <c r="AM28" t="b">
        <v>0</v>
      </c>
      <c r="AN28" t="b">
        <v>0</v>
      </c>
      <c r="AO28" t="b">
        <v>0</v>
      </c>
      <c r="AP28" t="b">
        <v>0</v>
      </c>
      <c r="AQ28" t="b">
        <v>0</v>
      </c>
      <c r="AR28" t="b">
        <v>0</v>
      </c>
      <c r="AS28" t="b">
        <v>0</v>
      </c>
      <c r="AT28" t="s">
        <v>1494</v>
      </c>
      <c r="AU28">
        <v>9882334</v>
      </c>
      <c r="AV28" t="s">
        <v>973</v>
      </c>
      <c r="AW28" t="s">
        <v>991</v>
      </c>
      <c r="AX28" s="128">
        <v>44566</v>
      </c>
      <c r="AY28" t="s">
        <v>1453</v>
      </c>
      <c r="AZ28" t="s">
        <v>19</v>
      </c>
      <c r="BA28" t="s">
        <v>146</v>
      </c>
      <c r="BB28" t="s">
        <v>38</v>
      </c>
      <c r="BD28" t="s">
        <v>756</v>
      </c>
      <c r="BG28" s="128"/>
      <c r="BH28" t="b">
        <v>0</v>
      </c>
      <c r="BK28" t="s">
        <v>1105</v>
      </c>
      <c r="BL28" t="s">
        <v>1390</v>
      </c>
      <c r="CC28" s="128"/>
      <c r="CE28" s="128"/>
      <c r="CG28" s="128"/>
      <c r="CI28" s="128"/>
      <c r="CK28" s="128"/>
      <c r="CM28" s="128"/>
      <c r="CO28" s="128"/>
      <c r="CT28" s="128"/>
      <c r="CV28" s="128"/>
    </row>
    <row r="29" spans="1:100" x14ac:dyDescent="0.2">
      <c r="A29" t="s">
        <v>1410</v>
      </c>
      <c r="B29" s="128">
        <v>44435</v>
      </c>
      <c r="C29" t="s">
        <v>1409</v>
      </c>
      <c r="D29" t="s">
        <v>352</v>
      </c>
      <c r="E29" t="s">
        <v>1118</v>
      </c>
      <c r="F29" t="s">
        <v>1119</v>
      </c>
      <c r="G29" t="s">
        <v>374</v>
      </c>
      <c r="H29" t="s">
        <v>1384</v>
      </c>
      <c r="I29" t="s">
        <v>354</v>
      </c>
      <c r="J29" t="s">
        <v>1120</v>
      </c>
      <c r="K29" t="s">
        <v>412</v>
      </c>
      <c r="L29" t="s">
        <v>1123</v>
      </c>
      <c r="M29" t="s">
        <v>346</v>
      </c>
      <c r="N29" t="s">
        <v>1411</v>
      </c>
      <c r="O29" t="s">
        <v>1412</v>
      </c>
      <c r="P29" t="s">
        <v>1413</v>
      </c>
      <c r="Q29" s="128">
        <v>44440</v>
      </c>
      <c r="R29" s="128">
        <v>44454</v>
      </c>
      <c r="S29" t="s">
        <v>1414</v>
      </c>
      <c r="T29" s="128">
        <v>44440</v>
      </c>
      <c r="U29">
        <v>0</v>
      </c>
      <c r="V29">
        <v>0</v>
      </c>
      <c r="W29" t="s">
        <v>262</v>
      </c>
      <c r="X29" t="s">
        <v>1415</v>
      </c>
      <c r="AA29" t="s">
        <v>1</v>
      </c>
      <c r="AB29" t="s">
        <v>1416</v>
      </c>
      <c r="AC29" s="128">
        <v>44440</v>
      </c>
      <c r="AD29" t="s">
        <v>349</v>
      </c>
      <c r="AE29" t="s">
        <v>1122</v>
      </c>
      <c r="AF29" t="s">
        <v>1104</v>
      </c>
      <c r="AG29" t="s">
        <v>0</v>
      </c>
      <c r="AH29">
        <v>1</v>
      </c>
      <c r="AI29" t="b">
        <v>0</v>
      </c>
      <c r="AK29" t="b">
        <v>0</v>
      </c>
      <c r="AM29" t="b">
        <v>0</v>
      </c>
      <c r="AN29" t="b">
        <v>0</v>
      </c>
      <c r="AO29" t="b">
        <v>0</v>
      </c>
      <c r="AP29" t="b">
        <v>0</v>
      </c>
      <c r="AQ29" t="b">
        <v>0</v>
      </c>
      <c r="AR29" t="b">
        <v>0</v>
      </c>
      <c r="AS29" t="b">
        <v>0</v>
      </c>
      <c r="AT29" t="s">
        <v>1417</v>
      </c>
      <c r="AU29">
        <v>9882334</v>
      </c>
      <c r="AV29" t="s">
        <v>973</v>
      </c>
      <c r="AW29" t="s">
        <v>991</v>
      </c>
      <c r="AX29" s="128">
        <v>44509</v>
      </c>
      <c r="AY29" t="s">
        <v>1136</v>
      </c>
      <c r="AZ29" t="s">
        <v>582</v>
      </c>
      <c r="BA29" t="s">
        <v>69</v>
      </c>
      <c r="BB29" t="s">
        <v>38</v>
      </c>
      <c r="BD29" t="s">
        <v>30</v>
      </c>
      <c r="BG29" s="128"/>
      <c r="BH29" t="b">
        <v>0</v>
      </c>
      <c r="BK29" t="s">
        <v>1105</v>
      </c>
      <c r="BL29" t="s">
        <v>1390</v>
      </c>
      <c r="CC29" s="128"/>
      <c r="CE29" s="128"/>
      <c r="CG29" s="128"/>
      <c r="CI29" s="128"/>
      <c r="CK29" s="128"/>
      <c r="CM29" s="128"/>
      <c r="CO29" s="128"/>
      <c r="CT29" s="128"/>
      <c r="CV29" s="128"/>
    </row>
    <row r="30" spans="1:100" x14ac:dyDescent="0.2">
      <c r="A30" t="s">
        <v>1419</v>
      </c>
      <c r="B30" s="128">
        <v>44435</v>
      </c>
      <c r="C30" t="s">
        <v>1418</v>
      </c>
      <c r="D30" t="s">
        <v>352</v>
      </c>
      <c r="E30" t="s">
        <v>1118</v>
      </c>
      <c r="F30" t="s">
        <v>1119</v>
      </c>
      <c r="G30" t="s">
        <v>374</v>
      </c>
      <c r="H30" t="s">
        <v>1384</v>
      </c>
      <c r="I30" t="s">
        <v>354</v>
      </c>
      <c r="J30" t="s">
        <v>1120</v>
      </c>
      <c r="K30" t="s">
        <v>412</v>
      </c>
      <c r="L30" t="s">
        <v>1123</v>
      </c>
      <c r="M30" t="s">
        <v>346</v>
      </c>
      <c r="N30" t="s">
        <v>1420</v>
      </c>
      <c r="O30" t="s">
        <v>1421</v>
      </c>
      <c r="P30" t="s">
        <v>1422</v>
      </c>
      <c r="Q30" s="128">
        <v>44459</v>
      </c>
      <c r="R30" s="128">
        <v>44469</v>
      </c>
      <c r="S30" t="s">
        <v>1423</v>
      </c>
      <c r="T30" s="128">
        <v>44459</v>
      </c>
      <c r="U30">
        <v>0</v>
      </c>
      <c r="V30">
        <v>0</v>
      </c>
      <c r="W30" t="s">
        <v>262</v>
      </c>
      <c r="X30" t="s">
        <v>1424</v>
      </c>
      <c r="AA30" t="s">
        <v>1</v>
      </c>
      <c r="AB30" t="s">
        <v>1425</v>
      </c>
      <c r="AC30" s="128">
        <v>44459</v>
      </c>
      <c r="AD30" t="s">
        <v>349</v>
      </c>
      <c r="AE30" t="s">
        <v>1122</v>
      </c>
      <c r="AF30" t="s">
        <v>1104</v>
      </c>
      <c r="AG30" t="s">
        <v>0</v>
      </c>
      <c r="AH30">
        <v>1</v>
      </c>
      <c r="AI30" t="b">
        <v>0</v>
      </c>
      <c r="AK30" t="b">
        <v>0</v>
      </c>
      <c r="AM30" t="b">
        <v>0</v>
      </c>
      <c r="AN30" t="b">
        <v>0</v>
      </c>
      <c r="AO30" t="b">
        <v>0</v>
      </c>
      <c r="AP30" t="b">
        <v>0</v>
      </c>
      <c r="AQ30" t="b">
        <v>0</v>
      </c>
      <c r="AR30" t="b">
        <v>0</v>
      </c>
      <c r="AS30" t="b">
        <v>0</v>
      </c>
      <c r="AT30" t="s">
        <v>1426</v>
      </c>
      <c r="AU30">
        <v>9882334</v>
      </c>
      <c r="AV30" t="s">
        <v>973</v>
      </c>
      <c r="AW30" t="s">
        <v>991</v>
      </c>
      <c r="AX30" s="128">
        <v>44509</v>
      </c>
      <c r="AY30" t="s">
        <v>1136</v>
      </c>
      <c r="AZ30" t="s">
        <v>13</v>
      </c>
      <c r="BA30" t="s">
        <v>83</v>
      </c>
      <c r="BB30" t="s">
        <v>38</v>
      </c>
      <c r="BD30" t="s">
        <v>30</v>
      </c>
      <c r="BG30" s="128"/>
      <c r="BH30" t="b">
        <v>0</v>
      </c>
      <c r="BK30" t="s">
        <v>1105</v>
      </c>
      <c r="BL30" t="s">
        <v>1390</v>
      </c>
      <c r="CC30" s="128"/>
      <c r="CE30" s="128"/>
      <c r="CG30" s="128"/>
      <c r="CI30" s="128"/>
      <c r="CK30" s="128"/>
      <c r="CM30" s="128"/>
      <c r="CO30" s="128"/>
      <c r="CT30" s="128"/>
      <c r="CV30" s="128"/>
    </row>
    <row r="31" spans="1:100" x14ac:dyDescent="0.2">
      <c r="A31" t="s">
        <v>1428</v>
      </c>
      <c r="B31" s="128">
        <v>44435</v>
      </c>
      <c r="C31" t="s">
        <v>1427</v>
      </c>
      <c r="D31" t="s">
        <v>352</v>
      </c>
      <c r="E31" t="s">
        <v>1118</v>
      </c>
      <c r="F31" t="s">
        <v>1119</v>
      </c>
      <c r="G31" t="s">
        <v>374</v>
      </c>
      <c r="H31" t="s">
        <v>1384</v>
      </c>
      <c r="I31" t="s">
        <v>354</v>
      </c>
      <c r="J31" t="s">
        <v>1120</v>
      </c>
      <c r="K31" t="s">
        <v>414</v>
      </c>
      <c r="L31" t="s">
        <v>1121</v>
      </c>
      <c r="M31" t="s">
        <v>346</v>
      </c>
      <c r="N31" t="s">
        <v>1429</v>
      </c>
      <c r="O31" t="s">
        <v>1430</v>
      </c>
      <c r="P31" t="s">
        <v>1431</v>
      </c>
      <c r="Q31" s="128">
        <v>44439</v>
      </c>
      <c r="R31" s="128">
        <v>44526</v>
      </c>
      <c r="S31" t="s">
        <v>1432</v>
      </c>
      <c r="T31" s="128">
        <v>44439</v>
      </c>
      <c r="U31">
        <v>0</v>
      </c>
      <c r="V31">
        <v>0</v>
      </c>
      <c r="W31" t="s">
        <v>262</v>
      </c>
      <c r="X31" t="s">
        <v>1433</v>
      </c>
      <c r="AA31" t="s">
        <v>804</v>
      </c>
      <c r="AB31" t="s">
        <v>1434</v>
      </c>
      <c r="AC31" s="128">
        <v>44439</v>
      </c>
      <c r="AD31" t="s">
        <v>349</v>
      </c>
      <c r="AE31" t="s">
        <v>1122</v>
      </c>
      <c r="AF31" t="s">
        <v>1104</v>
      </c>
      <c r="AG31" t="s">
        <v>0</v>
      </c>
      <c r="AH31">
        <v>1</v>
      </c>
      <c r="AI31" t="b">
        <v>0</v>
      </c>
      <c r="AK31" t="b">
        <v>0</v>
      </c>
      <c r="AM31" t="b">
        <v>0</v>
      </c>
      <c r="AN31" t="b">
        <v>0</v>
      </c>
      <c r="AO31" t="b">
        <v>0</v>
      </c>
      <c r="AP31" t="b">
        <v>0</v>
      </c>
      <c r="AQ31" t="b">
        <v>0</v>
      </c>
      <c r="AR31" t="b">
        <v>0</v>
      </c>
      <c r="AS31" t="b">
        <v>0</v>
      </c>
      <c r="AT31" t="s">
        <v>1435</v>
      </c>
      <c r="AU31">
        <v>9882334</v>
      </c>
      <c r="AV31" t="s">
        <v>973</v>
      </c>
      <c r="AW31" t="s">
        <v>991</v>
      </c>
      <c r="AX31" s="128">
        <v>44509</v>
      </c>
      <c r="AY31" t="s">
        <v>1136</v>
      </c>
      <c r="AZ31" t="s">
        <v>582</v>
      </c>
      <c r="BA31" t="s">
        <v>69</v>
      </c>
      <c r="BB31" t="s">
        <v>40</v>
      </c>
      <c r="BD31" t="s">
        <v>30</v>
      </c>
      <c r="BG31" s="128"/>
      <c r="BH31" t="b">
        <v>0</v>
      </c>
      <c r="BK31" t="s">
        <v>1105</v>
      </c>
      <c r="BL31" t="s">
        <v>1390</v>
      </c>
      <c r="CC31" s="128"/>
      <c r="CE31" s="128"/>
      <c r="CG31" s="128"/>
      <c r="CI31" s="128"/>
      <c r="CK31" s="128"/>
      <c r="CM31" s="128"/>
      <c r="CO31" s="128"/>
      <c r="CT31" s="128"/>
      <c r="CV31" s="128"/>
    </row>
    <row r="32" spans="1:100" x14ac:dyDescent="0.2">
      <c r="A32" t="s">
        <v>1437</v>
      </c>
      <c r="B32" s="128">
        <v>44435</v>
      </c>
      <c r="C32" t="s">
        <v>1436</v>
      </c>
      <c r="D32" t="s">
        <v>352</v>
      </c>
      <c r="E32" t="s">
        <v>1118</v>
      </c>
      <c r="F32" t="s">
        <v>1119</v>
      </c>
      <c r="G32" t="s">
        <v>374</v>
      </c>
      <c r="H32" t="s">
        <v>1384</v>
      </c>
      <c r="I32" t="s">
        <v>354</v>
      </c>
      <c r="J32" t="s">
        <v>1120</v>
      </c>
      <c r="K32" t="s">
        <v>412</v>
      </c>
      <c r="L32" t="s">
        <v>1123</v>
      </c>
      <c r="M32" t="s">
        <v>346</v>
      </c>
      <c r="N32" t="s">
        <v>1438</v>
      </c>
      <c r="O32" t="s">
        <v>1439</v>
      </c>
      <c r="P32" t="s">
        <v>1440</v>
      </c>
      <c r="Q32" s="128">
        <v>44438</v>
      </c>
      <c r="R32" s="128">
        <v>44469</v>
      </c>
      <c r="S32" t="s">
        <v>1441</v>
      </c>
      <c r="T32" s="128">
        <v>44482</v>
      </c>
      <c r="U32">
        <v>0</v>
      </c>
      <c r="V32">
        <v>0</v>
      </c>
      <c r="W32" t="s">
        <v>262</v>
      </c>
      <c r="X32" t="s">
        <v>1442</v>
      </c>
      <c r="AA32" t="s">
        <v>804</v>
      </c>
      <c r="AB32" t="s">
        <v>1442</v>
      </c>
      <c r="AC32" s="128">
        <v>44482</v>
      </c>
      <c r="AD32" t="s">
        <v>349</v>
      </c>
      <c r="AE32" t="s">
        <v>1122</v>
      </c>
      <c r="AF32" t="s">
        <v>1104</v>
      </c>
      <c r="AG32" t="s">
        <v>0</v>
      </c>
      <c r="AH32">
        <v>1</v>
      </c>
      <c r="AI32" t="b">
        <v>0</v>
      </c>
      <c r="AK32" t="b">
        <v>0</v>
      </c>
      <c r="AM32" t="b">
        <v>0</v>
      </c>
      <c r="AN32" t="b">
        <v>0</v>
      </c>
      <c r="AO32" t="b">
        <v>0</v>
      </c>
      <c r="AP32" t="b">
        <v>0</v>
      </c>
      <c r="AQ32" t="b">
        <v>0</v>
      </c>
      <c r="AR32" t="b">
        <v>0</v>
      </c>
      <c r="AS32" t="b">
        <v>0</v>
      </c>
      <c r="AT32" t="s">
        <v>1444</v>
      </c>
      <c r="AU32">
        <v>9882334</v>
      </c>
      <c r="AV32" t="s">
        <v>973</v>
      </c>
      <c r="AW32" t="s">
        <v>991</v>
      </c>
      <c r="AX32" s="128">
        <v>44509</v>
      </c>
      <c r="AY32" t="s">
        <v>1136</v>
      </c>
      <c r="AZ32" t="s">
        <v>13</v>
      </c>
      <c r="BA32" t="s">
        <v>83</v>
      </c>
      <c r="BB32" t="s">
        <v>38</v>
      </c>
      <c r="BD32" t="s">
        <v>757</v>
      </c>
      <c r="BG32" s="128"/>
      <c r="BH32" t="b">
        <v>0</v>
      </c>
      <c r="BI32" t="s">
        <v>1443</v>
      </c>
      <c r="BK32" t="s">
        <v>1105</v>
      </c>
      <c r="BL32" t="s">
        <v>1390</v>
      </c>
      <c r="CC32" s="128"/>
      <c r="CE32" s="128"/>
      <c r="CG32" s="128"/>
      <c r="CI32" s="128"/>
      <c r="CK32" s="128"/>
      <c r="CM32" s="128"/>
      <c r="CO32" s="128"/>
      <c r="CT32" s="128"/>
      <c r="CV32" s="128"/>
    </row>
    <row r="33" spans="1:100" x14ac:dyDescent="0.2">
      <c r="A33" t="s">
        <v>1446</v>
      </c>
      <c r="B33" s="128">
        <v>44513</v>
      </c>
      <c r="C33" t="s">
        <v>1447</v>
      </c>
      <c r="D33" t="s">
        <v>364</v>
      </c>
      <c r="E33" t="s">
        <v>1125</v>
      </c>
      <c r="F33" t="s">
        <v>1126</v>
      </c>
      <c r="G33" t="s">
        <v>390</v>
      </c>
      <c r="H33" t="s">
        <v>1129</v>
      </c>
      <c r="I33" t="s">
        <v>19</v>
      </c>
      <c r="J33" t="s">
        <v>1133</v>
      </c>
      <c r="K33" t="s">
        <v>147</v>
      </c>
      <c r="L33" t="s">
        <v>1460</v>
      </c>
      <c r="M33" t="s">
        <v>346</v>
      </c>
      <c r="N33" t="s">
        <v>1448</v>
      </c>
      <c r="O33" t="s">
        <v>1449</v>
      </c>
      <c r="P33" t="s">
        <v>1450</v>
      </c>
      <c r="Q33" s="128">
        <v>44514</v>
      </c>
      <c r="R33" s="128">
        <v>44603</v>
      </c>
      <c r="S33" t="s">
        <v>1451</v>
      </c>
      <c r="T33" s="128">
        <v>44520</v>
      </c>
      <c r="U33">
        <v>0</v>
      </c>
      <c r="V33">
        <v>0</v>
      </c>
      <c r="W33" t="s">
        <v>262</v>
      </c>
      <c r="X33" t="s">
        <v>1457</v>
      </c>
      <c r="AA33" t="s">
        <v>4</v>
      </c>
      <c r="AB33" t="s">
        <v>1458</v>
      </c>
      <c r="AC33" s="128">
        <v>44520</v>
      </c>
      <c r="AD33" t="s">
        <v>349</v>
      </c>
      <c r="AE33" t="s">
        <v>1122</v>
      </c>
      <c r="AF33" t="s">
        <v>1104</v>
      </c>
      <c r="AG33" t="s">
        <v>0</v>
      </c>
      <c r="AH33">
        <v>1</v>
      </c>
      <c r="AI33" t="b">
        <v>0</v>
      </c>
      <c r="AK33" t="b">
        <v>0</v>
      </c>
      <c r="AM33" t="b">
        <v>1</v>
      </c>
      <c r="AN33" t="b">
        <v>0</v>
      </c>
      <c r="AO33" t="b">
        <v>0</v>
      </c>
      <c r="AP33" t="b">
        <v>0</v>
      </c>
      <c r="AQ33" t="b">
        <v>1</v>
      </c>
      <c r="AR33" t="b">
        <v>1</v>
      </c>
      <c r="AS33" t="b">
        <v>0</v>
      </c>
      <c r="AT33" t="s">
        <v>1459</v>
      </c>
      <c r="AU33">
        <v>9882334</v>
      </c>
      <c r="AV33" t="s">
        <v>973</v>
      </c>
      <c r="AW33" t="s">
        <v>991</v>
      </c>
      <c r="AX33" s="128">
        <v>44537</v>
      </c>
      <c r="AY33" t="s">
        <v>1453</v>
      </c>
      <c r="AZ33" t="s">
        <v>19</v>
      </c>
      <c r="BA33" t="s">
        <v>147</v>
      </c>
      <c r="BB33" t="s">
        <v>50</v>
      </c>
      <c r="BD33" t="s">
        <v>30</v>
      </c>
      <c r="BG33" s="128"/>
      <c r="BH33" t="b">
        <v>0</v>
      </c>
      <c r="BI33" t="s">
        <v>1452</v>
      </c>
      <c r="BK33" t="s">
        <v>1105</v>
      </c>
      <c r="CC33" s="128"/>
      <c r="CE33" s="128"/>
      <c r="CG33" s="128"/>
      <c r="CI33" s="128"/>
      <c r="CK33" s="128"/>
      <c r="CM33" s="128"/>
      <c r="CO33" s="128"/>
      <c r="CT33" s="128"/>
      <c r="CV33" s="128"/>
    </row>
    <row r="34" spans="1:100" ht="409.5" x14ac:dyDescent="0.2">
      <c r="A34" t="s">
        <v>1461</v>
      </c>
      <c r="B34" s="128">
        <v>44509</v>
      </c>
      <c r="C34" t="s">
        <v>1462</v>
      </c>
      <c r="D34" t="s">
        <v>337</v>
      </c>
      <c r="E34" t="s">
        <v>1101</v>
      </c>
      <c r="F34" t="s">
        <v>1102</v>
      </c>
      <c r="G34" t="s">
        <v>370</v>
      </c>
      <c r="H34" t="s">
        <v>1464</v>
      </c>
      <c r="I34" t="s">
        <v>339</v>
      </c>
      <c r="J34" t="s">
        <v>1103</v>
      </c>
      <c r="K34" t="s">
        <v>757</v>
      </c>
      <c r="L34" t="s">
        <v>1508</v>
      </c>
      <c r="M34" t="s">
        <v>346</v>
      </c>
      <c r="N34" t="s">
        <v>1466</v>
      </c>
      <c r="O34" t="s">
        <v>1467</v>
      </c>
      <c r="P34" t="s">
        <v>1474</v>
      </c>
      <c r="Q34" s="128">
        <v>44529</v>
      </c>
      <c r="R34" s="128">
        <v>44539</v>
      </c>
      <c r="S34" t="s">
        <v>1475</v>
      </c>
      <c r="T34" s="128">
        <v>44529</v>
      </c>
      <c r="U34">
        <v>0</v>
      </c>
      <c r="V34">
        <v>0</v>
      </c>
      <c r="W34" t="s">
        <v>262</v>
      </c>
      <c r="X34" s="99" t="s">
        <v>1477</v>
      </c>
      <c r="AA34" t="s">
        <v>1</v>
      </c>
      <c r="AB34" t="s">
        <v>1476</v>
      </c>
      <c r="AC34" s="128">
        <v>44529</v>
      </c>
      <c r="AD34" t="s">
        <v>349</v>
      </c>
      <c r="AE34" t="s">
        <v>1473</v>
      </c>
      <c r="AF34" t="s">
        <v>1104</v>
      </c>
      <c r="AG34" t="s">
        <v>0</v>
      </c>
      <c r="AH34">
        <v>1</v>
      </c>
      <c r="AI34" t="b">
        <v>0</v>
      </c>
      <c r="AK34" t="b">
        <v>0</v>
      </c>
      <c r="AM34" t="b">
        <v>0</v>
      </c>
      <c r="AN34" t="b">
        <v>0</v>
      </c>
      <c r="AO34" t="b">
        <v>0</v>
      </c>
      <c r="AP34" t="b">
        <v>0</v>
      </c>
      <c r="AQ34" t="b">
        <v>0</v>
      </c>
      <c r="AR34" t="b">
        <v>0</v>
      </c>
      <c r="AS34" t="b">
        <v>0</v>
      </c>
      <c r="AT34" t="s">
        <v>1478</v>
      </c>
      <c r="AU34">
        <v>9882334</v>
      </c>
      <c r="AV34" t="s">
        <v>973</v>
      </c>
      <c r="AW34" t="s">
        <v>991</v>
      </c>
      <c r="AX34" s="128">
        <v>44540</v>
      </c>
      <c r="AY34" t="s">
        <v>1453</v>
      </c>
      <c r="AZ34" t="s">
        <v>10</v>
      </c>
      <c r="BA34" t="s">
        <v>80</v>
      </c>
      <c r="BB34" t="s">
        <v>41</v>
      </c>
      <c r="BD34" t="s">
        <v>757</v>
      </c>
      <c r="BE34">
        <v>11.1</v>
      </c>
      <c r="BG34" s="128"/>
      <c r="BH34" t="b">
        <v>0</v>
      </c>
      <c r="BK34" t="s">
        <v>1105</v>
      </c>
      <c r="BL34" t="s">
        <v>1463</v>
      </c>
      <c r="BN34" t="s">
        <v>1471</v>
      </c>
      <c r="BO34" t="s">
        <v>1472</v>
      </c>
      <c r="BP34" t="s">
        <v>1106</v>
      </c>
      <c r="BQ34" t="s">
        <v>1329</v>
      </c>
      <c r="BS34" t="s">
        <v>1468</v>
      </c>
      <c r="BT34" t="s">
        <v>1469</v>
      </c>
      <c r="BU34" t="s">
        <v>1470</v>
      </c>
      <c r="CC34" s="128"/>
      <c r="CE34" s="128"/>
      <c r="CG34" s="128"/>
      <c r="CI34" s="128"/>
      <c r="CK34" s="128"/>
      <c r="CM34" s="128"/>
      <c r="CO34" s="128"/>
      <c r="CP34" t="s">
        <v>771</v>
      </c>
      <c r="CR34" t="s">
        <v>1107</v>
      </c>
      <c r="CS34">
        <v>8</v>
      </c>
      <c r="CT34" s="128">
        <v>44525</v>
      </c>
      <c r="CU34" t="s">
        <v>1473</v>
      </c>
      <c r="CV34" s="128">
        <v>44525</v>
      </c>
    </row>
    <row r="35" spans="1:100" ht="409.5" x14ac:dyDescent="0.2">
      <c r="A35" t="s">
        <v>1479</v>
      </c>
      <c r="B35" s="128">
        <v>44541</v>
      </c>
      <c r="C35" t="s">
        <v>1480</v>
      </c>
      <c r="D35" t="s">
        <v>364</v>
      </c>
      <c r="E35" t="s">
        <v>1125</v>
      </c>
      <c r="F35" t="s">
        <v>1126</v>
      </c>
      <c r="G35" t="s">
        <v>389</v>
      </c>
      <c r="H35" t="s">
        <v>1481</v>
      </c>
      <c r="I35" t="s">
        <v>7</v>
      </c>
      <c r="J35" t="s">
        <v>1509</v>
      </c>
      <c r="K35" t="s">
        <v>59</v>
      </c>
      <c r="L35" t="s">
        <v>1510</v>
      </c>
      <c r="M35" t="s">
        <v>341</v>
      </c>
      <c r="N35" s="99" t="s">
        <v>1482</v>
      </c>
      <c r="O35" t="s">
        <v>1483</v>
      </c>
      <c r="P35" s="99" t="s">
        <v>1484</v>
      </c>
      <c r="Q35" s="128">
        <v>44541</v>
      </c>
      <c r="R35" s="128">
        <v>44559</v>
      </c>
      <c r="S35" t="s">
        <v>1492</v>
      </c>
      <c r="T35" s="128">
        <v>44555</v>
      </c>
      <c r="U35">
        <v>0</v>
      </c>
      <c r="V35">
        <v>177.9</v>
      </c>
      <c r="W35" t="s">
        <v>262</v>
      </c>
      <c r="X35" t="s">
        <v>1503</v>
      </c>
      <c r="AA35" t="s">
        <v>5</v>
      </c>
      <c r="AB35" t="s">
        <v>1503</v>
      </c>
      <c r="AC35" s="128">
        <v>44555</v>
      </c>
      <c r="AD35" t="s">
        <v>349</v>
      </c>
      <c r="AE35" t="s">
        <v>1122</v>
      </c>
      <c r="AF35" t="s">
        <v>1104</v>
      </c>
      <c r="AG35" t="s">
        <v>0</v>
      </c>
      <c r="AH35">
        <v>1</v>
      </c>
      <c r="AI35" t="b">
        <v>1</v>
      </c>
      <c r="AJ35">
        <v>177.9</v>
      </c>
      <c r="AK35" t="b">
        <v>0</v>
      </c>
      <c r="AM35" t="b">
        <v>0</v>
      </c>
      <c r="AN35" t="b">
        <v>0</v>
      </c>
      <c r="AO35" t="b">
        <v>0</v>
      </c>
      <c r="AP35" t="b">
        <v>0</v>
      </c>
      <c r="AQ35" t="b">
        <v>0</v>
      </c>
      <c r="AR35" t="b">
        <v>1</v>
      </c>
      <c r="AS35" t="b">
        <v>0</v>
      </c>
      <c r="AT35" t="s">
        <v>1505</v>
      </c>
      <c r="AU35">
        <v>9882334</v>
      </c>
      <c r="AV35" t="s">
        <v>973</v>
      </c>
      <c r="AW35" t="s">
        <v>991</v>
      </c>
      <c r="AX35" s="128">
        <v>44567</v>
      </c>
      <c r="AY35" t="s">
        <v>1453</v>
      </c>
      <c r="AZ35" t="s">
        <v>7</v>
      </c>
      <c r="BA35" t="s">
        <v>59</v>
      </c>
      <c r="BB35" t="s">
        <v>44</v>
      </c>
      <c r="BD35" t="s">
        <v>755</v>
      </c>
      <c r="BG35" s="128"/>
      <c r="BH35" t="b">
        <v>1</v>
      </c>
      <c r="BI35" t="s">
        <v>499</v>
      </c>
      <c r="BK35" t="s">
        <v>1105</v>
      </c>
      <c r="CC35" s="128"/>
      <c r="CE35" s="128"/>
      <c r="CG35" s="128"/>
      <c r="CI35" s="128"/>
      <c r="CK35" s="128"/>
      <c r="CM35" s="128"/>
      <c r="CO35" s="128"/>
      <c r="CT35" s="128"/>
      <c r="CV35" s="128"/>
    </row>
    <row r="36" spans="1:100" ht="409.5" x14ac:dyDescent="0.2">
      <c r="A36" t="s">
        <v>1485</v>
      </c>
      <c r="B36" s="128">
        <v>44534</v>
      </c>
      <c r="C36" t="s">
        <v>1486</v>
      </c>
      <c r="D36" t="s">
        <v>364</v>
      </c>
      <c r="E36" t="s">
        <v>1125</v>
      </c>
      <c r="F36" t="s">
        <v>1126</v>
      </c>
      <c r="G36" t="s">
        <v>390</v>
      </c>
      <c r="H36" t="s">
        <v>1129</v>
      </c>
      <c r="I36" t="s">
        <v>14</v>
      </c>
      <c r="J36" t="s">
        <v>1131</v>
      </c>
      <c r="K36" t="s">
        <v>98</v>
      </c>
      <c r="L36" t="s">
        <v>1511</v>
      </c>
      <c r="M36" t="s">
        <v>346</v>
      </c>
      <c r="N36" s="99" t="s">
        <v>1491</v>
      </c>
      <c r="O36" t="s">
        <v>1487</v>
      </c>
      <c r="P36" s="99" t="s">
        <v>1488</v>
      </c>
      <c r="Q36" s="128">
        <v>44564</v>
      </c>
      <c r="R36" s="128">
        <v>44624</v>
      </c>
      <c r="S36" t="s">
        <v>1489</v>
      </c>
      <c r="T36" s="128">
        <v>44565</v>
      </c>
      <c r="U36">
        <v>0</v>
      </c>
      <c r="V36">
        <v>0</v>
      </c>
      <c r="W36" t="s">
        <v>262</v>
      </c>
      <c r="X36" t="s">
        <v>1506</v>
      </c>
      <c r="AA36" t="s">
        <v>4</v>
      </c>
      <c r="AB36" t="s">
        <v>1506</v>
      </c>
      <c r="AC36" s="128">
        <v>44565</v>
      </c>
      <c r="AD36" t="s">
        <v>349</v>
      </c>
      <c r="AE36" t="s">
        <v>1122</v>
      </c>
      <c r="AF36" t="s">
        <v>1104</v>
      </c>
      <c r="AG36" t="s">
        <v>0</v>
      </c>
      <c r="AH36">
        <v>1</v>
      </c>
      <c r="AI36" t="b">
        <v>0</v>
      </c>
      <c r="AK36" t="b">
        <v>0</v>
      </c>
      <c r="AM36" t="b">
        <v>0</v>
      </c>
      <c r="AN36" t="b">
        <v>0</v>
      </c>
      <c r="AO36" t="b">
        <v>0</v>
      </c>
      <c r="AP36" t="b">
        <v>0</v>
      </c>
      <c r="AQ36" t="b">
        <v>0</v>
      </c>
      <c r="AR36" t="b">
        <v>0</v>
      </c>
      <c r="AS36" t="b">
        <v>0</v>
      </c>
      <c r="AT36" t="s">
        <v>1507</v>
      </c>
      <c r="AU36">
        <v>9882334</v>
      </c>
      <c r="AV36" t="s">
        <v>973</v>
      </c>
      <c r="AW36" t="s">
        <v>991</v>
      </c>
      <c r="AX36" s="128">
        <v>44567</v>
      </c>
      <c r="AY36" t="s">
        <v>1453</v>
      </c>
      <c r="AZ36" t="s">
        <v>14</v>
      </c>
      <c r="BA36" t="s">
        <v>98</v>
      </c>
      <c r="BB36" t="s">
        <v>43</v>
      </c>
      <c r="BD36" t="s">
        <v>756</v>
      </c>
      <c r="BG36" s="128"/>
      <c r="BH36" t="b">
        <v>0</v>
      </c>
      <c r="BI36" t="s">
        <v>1490</v>
      </c>
      <c r="BK36" t="s">
        <v>1105</v>
      </c>
      <c r="CC36" s="128"/>
      <c r="CE36" s="128"/>
      <c r="CG36" s="128"/>
      <c r="CI36" s="128"/>
      <c r="CK36" s="128"/>
      <c r="CM36" s="128"/>
      <c r="CO36" s="128"/>
      <c r="CT36" s="128"/>
      <c r="CV36" s="12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sqref="A1:I6"/>
    </sheetView>
  </sheetViews>
  <sheetFormatPr defaultColWidth="9.453125" defaultRowHeight="15" customHeight="1" x14ac:dyDescent="0.35"/>
  <cols>
    <col min="1" max="1" width="12.453125" style="52" customWidth="1"/>
    <col min="2" max="2" width="27" style="53" customWidth="1"/>
    <col min="3" max="5" width="23.08984375" style="53" customWidth="1"/>
    <col min="6" max="6" width="13.1796875" style="53" customWidth="1"/>
    <col min="7" max="7" width="24.6328125" style="53" customWidth="1"/>
    <col min="8" max="8" width="16.453125" style="53" customWidth="1"/>
    <col min="9" max="9" width="12.1796875" style="53" customWidth="1"/>
    <col min="10" max="16384" width="9.453125" style="53"/>
  </cols>
  <sheetData>
    <row r="1" spans="1:10" ht="29" x14ac:dyDescent="0.35">
      <c r="A1" s="106" t="s">
        <v>1042</v>
      </c>
      <c r="B1" s="106" t="s">
        <v>1031</v>
      </c>
      <c r="C1" s="106" t="s">
        <v>1032</v>
      </c>
      <c r="D1" s="106" t="s">
        <v>1038</v>
      </c>
      <c r="E1" s="106" t="s">
        <v>1037</v>
      </c>
      <c r="F1" s="106" t="s">
        <v>1036</v>
      </c>
      <c r="G1" s="106" t="s">
        <v>1033</v>
      </c>
      <c r="H1" s="106" t="s">
        <v>1034</v>
      </c>
      <c r="I1" s="106" t="s">
        <v>1035</v>
      </c>
    </row>
    <row r="2" spans="1:10" ht="72.5" x14ac:dyDescent="0.35">
      <c r="A2" s="105" t="s">
        <v>992</v>
      </c>
      <c r="B2" s="105" t="s">
        <v>993</v>
      </c>
      <c r="C2" s="105" t="s">
        <v>994</v>
      </c>
      <c r="D2" s="104" t="s">
        <v>1039</v>
      </c>
      <c r="E2" s="104" t="s">
        <v>1040</v>
      </c>
      <c r="F2" s="105" t="s">
        <v>995</v>
      </c>
      <c r="G2" s="105" t="s">
        <v>996</v>
      </c>
      <c r="H2" s="105" t="s">
        <v>997</v>
      </c>
      <c r="I2" s="105" t="s">
        <v>998</v>
      </c>
    </row>
    <row r="3" spans="1:10" ht="116" x14ac:dyDescent="0.35">
      <c r="A3" s="105" t="s">
        <v>999</v>
      </c>
      <c r="B3" s="105" t="s">
        <v>1000</v>
      </c>
      <c r="C3" s="105" t="s">
        <v>1001</v>
      </c>
      <c r="D3" s="104" t="s">
        <v>1021</v>
      </c>
      <c r="E3" s="105" t="s">
        <v>1002</v>
      </c>
      <c r="F3" s="104" t="s">
        <v>1022</v>
      </c>
      <c r="G3" s="105" t="s">
        <v>996</v>
      </c>
      <c r="H3" s="104" t="s">
        <v>1023</v>
      </c>
      <c r="I3" s="105" t="s">
        <v>998</v>
      </c>
    </row>
    <row r="4" spans="1:10" ht="87" x14ac:dyDescent="0.35">
      <c r="A4" s="105" t="s">
        <v>1003</v>
      </c>
      <c r="B4" s="104" t="s">
        <v>1024</v>
      </c>
      <c r="C4" s="105" t="s">
        <v>1004</v>
      </c>
      <c r="D4" s="104" t="s">
        <v>1041</v>
      </c>
      <c r="E4" s="104" t="s">
        <v>1025</v>
      </c>
      <c r="F4" s="104" t="s">
        <v>1026</v>
      </c>
      <c r="G4" s="105" t="s">
        <v>1005</v>
      </c>
      <c r="H4" s="104" t="s">
        <v>1027</v>
      </c>
      <c r="I4" s="105" t="s">
        <v>1006</v>
      </c>
    </row>
    <row r="5" spans="1:10" ht="101.5" x14ac:dyDescent="0.35">
      <c r="A5" s="105" t="s">
        <v>1007</v>
      </c>
      <c r="B5" s="105" t="s">
        <v>1008</v>
      </c>
      <c r="C5" s="104" t="s">
        <v>1028</v>
      </c>
      <c r="D5" s="104" t="s">
        <v>1019</v>
      </c>
      <c r="E5" s="104" t="s">
        <v>1029</v>
      </c>
      <c r="F5" s="104" t="s">
        <v>1020</v>
      </c>
      <c r="G5" s="105" t="s">
        <v>1009</v>
      </c>
      <c r="H5" s="105" t="s">
        <v>1010</v>
      </c>
      <c r="I5" s="105" t="s">
        <v>1011</v>
      </c>
    </row>
    <row r="6" spans="1:10" ht="43.5" x14ac:dyDescent="0.35">
      <c r="A6" s="105" t="s">
        <v>1012</v>
      </c>
      <c r="B6" s="105" t="s">
        <v>1013</v>
      </c>
      <c r="C6" s="105" t="s">
        <v>1014</v>
      </c>
      <c r="D6" s="104" t="s">
        <v>1030</v>
      </c>
      <c r="E6" s="105" t="s">
        <v>1015</v>
      </c>
      <c r="F6" s="105" t="s">
        <v>1016</v>
      </c>
      <c r="G6" s="105" t="s">
        <v>1017</v>
      </c>
      <c r="H6" s="105" t="s">
        <v>1010</v>
      </c>
      <c r="I6" s="105" t="s">
        <v>1018</v>
      </c>
    </row>
    <row r="7" spans="1:10" ht="15" customHeight="1" x14ac:dyDescent="0.35">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x14ac:dyDescent="0.3"/>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179687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179687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x14ac:dyDescent="0.35">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x14ac:dyDescent="0.3">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x14ac:dyDescent="0.35">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x14ac:dyDescent="0.4">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x14ac:dyDescent="0.4">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x14ac:dyDescent="0.4">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x14ac:dyDescent="0.3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x14ac:dyDescent="0.3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x14ac:dyDescent="0.3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x14ac:dyDescent="0.3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x14ac:dyDescent="0.3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x14ac:dyDescent="0.3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x14ac:dyDescent="0.3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x14ac:dyDescent="0.3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x14ac:dyDescent="0.3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x14ac:dyDescent="0.3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x14ac:dyDescent="0.3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x14ac:dyDescent="0.3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x14ac:dyDescent="0.3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x14ac:dyDescent="0.3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x14ac:dyDescent="0.3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x14ac:dyDescent="0.3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x14ac:dyDescent="0.3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x14ac:dyDescent="0.3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x14ac:dyDescent="0.3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x14ac:dyDescent="0.3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x14ac:dyDescent="0.3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x14ac:dyDescent="0.3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x14ac:dyDescent="0.3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x14ac:dyDescent="0.3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x14ac:dyDescent="0.3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x14ac:dyDescent="0.3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x14ac:dyDescent="0.3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x14ac:dyDescent="0.3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x14ac:dyDescent="0.3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x14ac:dyDescent="0.3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x14ac:dyDescent="0.3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x14ac:dyDescent="0.3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x14ac:dyDescent="0.35">
      <c r="B39" s="110" t="s">
        <v>291</v>
      </c>
      <c r="C39" s="14" t="s">
        <v>292</v>
      </c>
      <c r="E39" s="17"/>
      <c r="F39" s="17"/>
      <c r="K39" s="35" t="s">
        <v>41</v>
      </c>
      <c r="L39" s="39"/>
      <c r="N39" s="80" t="s">
        <v>732</v>
      </c>
      <c r="O39" s="81">
        <v>9254252</v>
      </c>
      <c r="P39" s="81" t="s">
        <v>731</v>
      </c>
      <c r="Q39" s="81" t="s">
        <v>950</v>
      </c>
      <c r="AM39" s="14" t="s">
        <v>650</v>
      </c>
      <c r="AN39" s="14" t="s">
        <v>649</v>
      </c>
    </row>
    <row r="40" spans="2:47" ht="15" x14ac:dyDescent="0.35">
      <c r="B40" s="110" t="s">
        <v>216</v>
      </c>
      <c r="C40" s="14" t="s">
        <v>215</v>
      </c>
      <c r="E40" s="17"/>
      <c r="K40" s="35" t="s">
        <v>42</v>
      </c>
      <c r="L40" s="39"/>
      <c r="N40" s="80" t="s">
        <v>642</v>
      </c>
      <c r="O40" s="80">
        <v>9687746</v>
      </c>
      <c r="P40" s="80" t="s">
        <v>641</v>
      </c>
      <c r="Q40" s="80" t="s">
        <v>916</v>
      </c>
      <c r="AM40" s="14" t="s">
        <v>652</v>
      </c>
      <c r="AN40" s="14" t="s">
        <v>651</v>
      </c>
    </row>
    <row r="41" spans="2:47" ht="15" x14ac:dyDescent="0.35">
      <c r="B41" s="110" t="s">
        <v>218</v>
      </c>
      <c r="C41" s="14" t="s">
        <v>217</v>
      </c>
      <c r="E41" s="17"/>
      <c r="G41" s="17"/>
      <c r="K41" s="35" t="s">
        <v>43</v>
      </c>
      <c r="L41" s="39"/>
      <c r="N41" s="80" t="s">
        <v>644</v>
      </c>
      <c r="O41" s="80">
        <v>9565053</v>
      </c>
      <c r="P41" s="80" t="s">
        <v>643</v>
      </c>
      <c r="Q41" s="80" t="s">
        <v>294</v>
      </c>
      <c r="AM41" s="14" t="s">
        <v>654</v>
      </c>
      <c r="AN41" s="14" t="s">
        <v>653</v>
      </c>
    </row>
    <row r="42" spans="2:47" ht="15" x14ac:dyDescent="0.35">
      <c r="B42" s="110" t="s">
        <v>258</v>
      </c>
      <c r="C42" s="14" t="s">
        <v>257</v>
      </c>
      <c r="E42" s="17"/>
      <c r="G42" s="17"/>
      <c r="K42" s="35" t="s">
        <v>44</v>
      </c>
      <c r="L42" s="39"/>
      <c r="N42" s="80" t="s">
        <v>683</v>
      </c>
      <c r="O42" s="80">
        <v>9561277</v>
      </c>
      <c r="P42" s="80" t="s">
        <v>682</v>
      </c>
      <c r="Q42" s="80" t="s">
        <v>932</v>
      </c>
      <c r="AM42" s="14" t="s">
        <v>656</v>
      </c>
      <c r="AN42" s="14" t="s">
        <v>655</v>
      </c>
    </row>
    <row r="43" spans="2:47" ht="15" x14ac:dyDescent="0.35">
      <c r="B43" s="110" t="s">
        <v>210</v>
      </c>
      <c r="C43" s="14" t="s">
        <v>209</v>
      </c>
      <c r="E43" s="17"/>
      <c r="G43" s="17"/>
      <c r="K43" s="35" t="s">
        <v>45</v>
      </c>
      <c r="L43" s="39"/>
      <c r="N43" s="80" t="s">
        <v>646</v>
      </c>
      <c r="O43" s="80">
        <v>9547001</v>
      </c>
      <c r="P43" s="80" t="s">
        <v>645</v>
      </c>
      <c r="Q43" s="80" t="s">
        <v>953</v>
      </c>
      <c r="AM43" s="14" t="s">
        <v>254</v>
      </c>
      <c r="AN43" s="14" t="s">
        <v>657</v>
      </c>
    </row>
    <row r="44" spans="2:47" ht="15" x14ac:dyDescent="0.35">
      <c r="B44" s="110" t="s">
        <v>226</v>
      </c>
      <c r="C44" s="14" t="s">
        <v>225</v>
      </c>
      <c r="E44" s="17"/>
      <c r="K44" s="35" t="s">
        <v>46</v>
      </c>
      <c r="L44" s="39"/>
      <c r="N44" s="80" t="s">
        <v>1088</v>
      </c>
      <c r="O44" s="80">
        <v>9902093</v>
      </c>
      <c r="P44" s="80" t="s">
        <v>1089</v>
      </c>
      <c r="Q44" s="80" t="s">
        <v>1090</v>
      </c>
      <c r="AM44" s="14" t="s">
        <v>675</v>
      </c>
      <c r="AN44" s="14" t="s">
        <v>674</v>
      </c>
    </row>
    <row r="45" spans="2:47" ht="15" x14ac:dyDescent="0.35">
      <c r="B45" s="110" t="s">
        <v>399</v>
      </c>
      <c r="C45" s="14" t="s">
        <v>284</v>
      </c>
      <c r="E45" s="17"/>
      <c r="K45" s="35" t="s">
        <v>47</v>
      </c>
      <c r="L45" s="39"/>
      <c r="N45" s="80" t="s">
        <v>734</v>
      </c>
      <c r="O45" s="81">
        <v>9830288</v>
      </c>
      <c r="P45" s="81" t="s">
        <v>733</v>
      </c>
      <c r="Q45" s="81" t="s">
        <v>943</v>
      </c>
      <c r="AM45" s="14" t="s">
        <v>659</v>
      </c>
      <c r="AN45" s="14" t="s">
        <v>658</v>
      </c>
    </row>
    <row r="46" spans="2:47" ht="15" x14ac:dyDescent="0.35">
      <c r="B46" s="110" t="s">
        <v>232</v>
      </c>
      <c r="C46" s="14" t="s">
        <v>231</v>
      </c>
      <c r="E46" s="17"/>
      <c r="K46" s="35" t="s">
        <v>48</v>
      </c>
      <c r="L46" s="39"/>
      <c r="N46" s="80" t="s">
        <v>736</v>
      </c>
      <c r="O46" s="81">
        <v>9426283</v>
      </c>
      <c r="P46" s="81" t="s">
        <v>735</v>
      </c>
      <c r="Q46" s="81" t="s">
        <v>286</v>
      </c>
      <c r="AM46" s="14" t="s">
        <v>687</v>
      </c>
      <c r="AN46" s="14" t="s">
        <v>686</v>
      </c>
    </row>
    <row r="47" spans="2:47" ht="15" x14ac:dyDescent="0.35">
      <c r="B47" s="110" t="s">
        <v>260</v>
      </c>
      <c r="C47" s="14" t="s">
        <v>259</v>
      </c>
      <c r="E47" s="17"/>
      <c r="K47" s="35" t="s">
        <v>49</v>
      </c>
      <c r="L47" s="39"/>
      <c r="N47" s="80" t="s">
        <v>738</v>
      </c>
      <c r="O47" s="81">
        <v>9830290</v>
      </c>
      <c r="P47" s="81" t="s">
        <v>737</v>
      </c>
      <c r="Q47" s="81" t="s">
        <v>944</v>
      </c>
      <c r="AM47" s="14" t="s">
        <v>702</v>
      </c>
      <c r="AN47" s="14" t="s">
        <v>701</v>
      </c>
    </row>
    <row r="48" spans="2:47" x14ac:dyDescent="0.3">
      <c r="B48" s="110" t="s">
        <v>202</v>
      </c>
      <c r="C48" s="14" t="s">
        <v>201</v>
      </c>
      <c r="E48" s="17"/>
      <c r="K48" s="35" t="s">
        <v>50</v>
      </c>
      <c r="L48" s="39"/>
      <c r="N48" s="14" t="s">
        <v>1048</v>
      </c>
      <c r="O48" s="14">
        <v>9863223</v>
      </c>
      <c r="P48" s="14" t="s">
        <v>1049</v>
      </c>
      <c r="Q48" s="14" t="s">
        <v>1050</v>
      </c>
      <c r="AM48" s="14" t="s">
        <v>661</v>
      </c>
      <c r="AN48" s="14" t="s">
        <v>660</v>
      </c>
    </row>
    <row r="49" spans="2:40" ht="15" x14ac:dyDescent="0.35">
      <c r="B49" s="110" t="s">
        <v>197</v>
      </c>
      <c r="C49" s="14" t="s">
        <v>196</v>
      </c>
      <c r="E49" s="17"/>
      <c r="K49" s="35" t="s">
        <v>51</v>
      </c>
      <c r="L49" s="39"/>
      <c r="N49" s="80" t="s">
        <v>1075</v>
      </c>
      <c r="O49" s="80">
        <v>9442524</v>
      </c>
      <c r="P49" s="80" t="s">
        <v>1076</v>
      </c>
      <c r="Q49" s="80" t="s">
        <v>1077</v>
      </c>
      <c r="AM49" s="14" t="s">
        <v>689</v>
      </c>
      <c r="AN49" s="14" t="s">
        <v>688</v>
      </c>
    </row>
    <row r="50" spans="2:40" ht="15" x14ac:dyDescent="0.35">
      <c r="B50" s="110" t="s">
        <v>224</v>
      </c>
      <c r="C50" s="14" t="s">
        <v>223</v>
      </c>
      <c r="E50" s="17"/>
      <c r="K50" s="35" t="s">
        <v>52</v>
      </c>
      <c r="L50" s="39"/>
      <c r="N50" s="80" t="s">
        <v>899</v>
      </c>
      <c r="O50" s="80">
        <v>9774862</v>
      </c>
      <c r="P50" s="80" t="s">
        <v>647</v>
      </c>
      <c r="Q50" s="80" t="s">
        <v>917</v>
      </c>
      <c r="AM50" s="14" t="s">
        <v>663</v>
      </c>
      <c r="AN50" s="14" t="s">
        <v>662</v>
      </c>
    </row>
    <row r="51" spans="2:40" ht="15" x14ac:dyDescent="0.35">
      <c r="B51" s="110" t="s">
        <v>400</v>
      </c>
      <c r="C51" s="14" t="s">
        <v>401</v>
      </c>
      <c r="E51" s="17"/>
      <c r="K51" s="35" t="s">
        <v>402</v>
      </c>
      <c r="L51" s="39"/>
      <c r="N51" s="80" t="s">
        <v>1078</v>
      </c>
      <c r="O51" s="80">
        <v>9760471</v>
      </c>
      <c r="P51" s="80" t="s">
        <v>1079</v>
      </c>
      <c r="Q51" s="80" t="s">
        <v>1080</v>
      </c>
      <c r="AM51" s="14" t="s">
        <v>740</v>
      </c>
      <c r="AN51" s="14" t="s">
        <v>739</v>
      </c>
    </row>
    <row r="52" spans="2:40" ht="15" x14ac:dyDescent="0.35">
      <c r="B52" s="110" t="s">
        <v>206</v>
      </c>
      <c r="C52" s="14" t="s">
        <v>205</v>
      </c>
      <c r="E52" s="17"/>
      <c r="K52" s="32" t="s">
        <v>335</v>
      </c>
      <c r="L52" s="39"/>
      <c r="N52" s="80" t="s">
        <v>685</v>
      </c>
      <c r="O52" s="80">
        <v>9403217</v>
      </c>
      <c r="P52" s="80" t="s">
        <v>684</v>
      </c>
      <c r="Q52" s="80" t="s">
        <v>933</v>
      </c>
      <c r="AM52" s="14" t="s">
        <v>742</v>
      </c>
      <c r="AN52" s="14" t="s">
        <v>741</v>
      </c>
    </row>
    <row r="53" spans="2:40" ht="15" x14ac:dyDescent="0.35">
      <c r="B53" s="110" t="s">
        <v>403</v>
      </c>
      <c r="C53" s="14" t="s">
        <v>404</v>
      </c>
      <c r="E53" s="17"/>
      <c r="K53" s="32" t="s">
        <v>405</v>
      </c>
      <c r="L53" s="39"/>
      <c r="N53" s="80" t="s">
        <v>252</v>
      </c>
      <c r="O53" s="80">
        <v>9236066</v>
      </c>
      <c r="P53" s="80" t="s">
        <v>648</v>
      </c>
      <c r="Q53" s="80" t="s">
        <v>251</v>
      </c>
      <c r="AM53" s="14" t="s">
        <v>665</v>
      </c>
      <c r="AN53" s="14" t="s">
        <v>664</v>
      </c>
    </row>
    <row r="54" spans="2:40" ht="15" x14ac:dyDescent="0.35">
      <c r="B54" s="110" t="s">
        <v>246</v>
      </c>
      <c r="C54" s="14" t="s">
        <v>245</v>
      </c>
      <c r="E54" s="17"/>
      <c r="K54" s="32" t="s">
        <v>170</v>
      </c>
      <c r="L54" s="39"/>
      <c r="N54" s="80" t="s">
        <v>650</v>
      </c>
      <c r="O54" s="80">
        <v>9424106</v>
      </c>
      <c r="P54" s="80" t="s">
        <v>649</v>
      </c>
      <c r="Q54" s="80" t="s">
        <v>918</v>
      </c>
      <c r="AM54" s="14" t="s">
        <v>667</v>
      </c>
      <c r="AN54" s="14" t="s">
        <v>666</v>
      </c>
    </row>
    <row r="55" spans="2:40" ht="15" x14ac:dyDescent="0.35">
      <c r="B55" s="110" t="s">
        <v>195</v>
      </c>
      <c r="C55" s="14" t="s">
        <v>194</v>
      </c>
      <c r="E55" s="17"/>
      <c r="K55" s="32" t="s">
        <v>406</v>
      </c>
      <c r="L55" s="39"/>
      <c r="N55" s="80" t="s">
        <v>652</v>
      </c>
      <c r="O55" s="80">
        <v>9276767</v>
      </c>
      <c r="P55" s="80" t="s">
        <v>651</v>
      </c>
      <c r="Q55" s="80" t="s">
        <v>919</v>
      </c>
      <c r="AM55" s="14" t="s">
        <v>258</v>
      </c>
      <c r="AN55" s="14" t="s">
        <v>690</v>
      </c>
    </row>
    <row r="56" spans="2:40" ht="15" x14ac:dyDescent="0.35">
      <c r="B56" s="110" t="s">
        <v>193</v>
      </c>
      <c r="C56" s="14" t="s">
        <v>192</v>
      </c>
      <c r="E56" s="17"/>
      <c r="K56" s="32" t="s">
        <v>407</v>
      </c>
      <c r="L56" s="39"/>
      <c r="N56" s="80" t="s">
        <v>654</v>
      </c>
      <c r="O56" s="80">
        <v>9310006</v>
      </c>
      <c r="P56" s="80" t="s">
        <v>653</v>
      </c>
      <c r="Q56" s="80" t="s">
        <v>920</v>
      </c>
      <c r="AM56" s="14" t="s">
        <v>669</v>
      </c>
      <c r="AN56" s="14" t="s">
        <v>668</v>
      </c>
    </row>
    <row r="57" spans="2:40" ht="15" x14ac:dyDescent="0.35">
      <c r="B57" s="110" t="s">
        <v>244</v>
      </c>
      <c r="C57" s="14" t="s">
        <v>243</v>
      </c>
      <c r="E57" s="17"/>
      <c r="K57" s="32" t="s">
        <v>408</v>
      </c>
      <c r="L57" s="39"/>
      <c r="N57" s="80" t="s">
        <v>656</v>
      </c>
      <c r="O57" s="80">
        <v>9246293</v>
      </c>
      <c r="P57" s="80" t="s">
        <v>906</v>
      </c>
      <c r="Q57" s="80" t="s">
        <v>908</v>
      </c>
      <c r="AM57" s="14" t="s">
        <v>744</v>
      </c>
      <c r="AN57" s="14" t="s">
        <v>743</v>
      </c>
    </row>
    <row r="58" spans="2:40" ht="15" x14ac:dyDescent="0.35">
      <c r="B58" s="110" t="s">
        <v>208</v>
      </c>
      <c r="C58" s="14" t="s">
        <v>207</v>
      </c>
      <c r="E58" s="17"/>
      <c r="K58" s="32" t="s">
        <v>409</v>
      </c>
      <c r="L58" s="39"/>
      <c r="N58" s="80" t="s">
        <v>254</v>
      </c>
      <c r="O58" s="80">
        <v>9156759</v>
      </c>
      <c r="P58" s="80" t="s">
        <v>657</v>
      </c>
      <c r="Q58" s="80" t="s">
        <v>253</v>
      </c>
      <c r="AM58" s="14" t="s">
        <v>692</v>
      </c>
      <c r="AN58" s="14" t="s">
        <v>691</v>
      </c>
    </row>
    <row r="59" spans="2:40" ht="15" x14ac:dyDescent="0.35">
      <c r="B59" s="110" t="s">
        <v>279</v>
      </c>
      <c r="C59" s="14" t="s">
        <v>280</v>
      </c>
      <c r="E59" s="17"/>
      <c r="K59" s="32" t="s">
        <v>410</v>
      </c>
      <c r="L59" s="39"/>
      <c r="N59" s="80" t="s">
        <v>675</v>
      </c>
      <c r="O59" s="80">
        <v>9316945</v>
      </c>
      <c r="P59" s="80" t="s">
        <v>674</v>
      </c>
      <c r="Q59" s="80" t="s">
        <v>921</v>
      </c>
      <c r="AM59" s="14" t="s">
        <v>671</v>
      </c>
      <c r="AN59" s="14" t="s">
        <v>670</v>
      </c>
    </row>
    <row r="60" spans="2:40" ht="15" x14ac:dyDescent="0.35">
      <c r="B60" s="110" t="s">
        <v>411</v>
      </c>
      <c r="C60" s="14" t="s">
        <v>268</v>
      </c>
      <c r="E60" s="17"/>
      <c r="K60" s="32" t="s">
        <v>412</v>
      </c>
      <c r="L60" s="39"/>
      <c r="N60" s="80" t="s">
        <v>900</v>
      </c>
      <c r="O60" s="80">
        <v>9788679</v>
      </c>
      <c r="P60" s="80" t="s">
        <v>901</v>
      </c>
      <c r="Q60" s="80" t="s">
        <v>922</v>
      </c>
      <c r="AM60" s="14" t="s">
        <v>673</v>
      </c>
      <c r="AN60" s="14" t="s">
        <v>672</v>
      </c>
    </row>
    <row r="61" spans="2:40" ht="15" x14ac:dyDescent="0.35">
      <c r="K61" s="32" t="s">
        <v>413</v>
      </c>
      <c r="L61" s="39"/>
      <c r="N61" s="80" t="s">
        <v>902</v>
      </c>
      <c r="O61" s="80">
        <v>9788681</v>
      </c>
      <c r="P61" s="80" t="s">
        <v>903</v>
      </c>
      <c r="Q61" s="80" t="s">
        <v>923</v>
      </c>
      <c r="AM61" s="14" t="s">
        <v>260</v>
      </c>
      <c r="AN61" s="14" t="s">
        <v>747</v>
      </c>
    </row>
    <row r="62" spans="2:40" ht="15" x14ac:dyDescent="0.35">
      <c r="K62" s="32" t="s">
        <v>414</v>
      </c>
      <c r="L62" s="39"/>
      <c r="N62" s="80" t="s">
        <v>659</v>
      </c>
      <c r="O62" s="80">
        <v>9668051</v>
      </c>
      <c r="P62" s="80" t="s">
        <v>658</v>
      </c>
      <c r="Q62" s="80" t="s">
        <v>924</v>
      </c>
      <c r="AM62" s="14" t="s">
        <v>749</v>
      </c>
      <c r="AN62" s="14" t="s">
        <v>748</v>
      </c>
    </row>
    <row r="63" spans="2:40" ht="15" x14ac:dyDescent="0.35">
      <c r="K63" s="32" t="s">
        <v>415</v>
      </c>
      <c r="L63" s="39"/>
      <c r="N63" s="80" t="s">
        <v>687</v>
      </c>
      <c r="O63" s="80">
        <v>9110107</v>
      </c>
      <c r="P63" s="80" t="s">
        <v>686</v>
      </c>
      <c r="Q63" s="80" t="s">
        <v>219</v>
      </c>
      <c r="AM63" s="14" t="s">
        <v>752</v>
      </c>
      <c r="AN63" s="14" t="s">
        <v>745</v>
      </c>
    </row>
    <row r="64" spans="2:40" ht="15" x14ac:dyDescent="0.35">
      <c r="K64" s="32" t="s">
        <v>416</v>
      </c>
      <c r="L64" s="39"/>
      <c r="N64" s="80" t="s">
        <v>702</v>
      </c>
      <c r="O64" s="81">
        <v>9760782</v>
      </c>
      <c r="P64" s="81" t="s">
        <v>701</v>
      </c>
      <c r="Q64" s="81" t="s">
        <v>936</v>
      </c>
      <c r="AM64" s="14" t="s">
        <v>753</v>
      </c>
      <c r="AN64" s="14" t="s">
        <v>746</v>
      </c>
    </row>
    <row r="65" spans="5:40" x14ac:dyDescent="0.3">
      <c r="K65" s="32" t="s">
        <v>417</v>
      </c>
      <c r="L65" s="39"/>
      <c r="N65" s="14" t="s">
        <v>1061</v>
      </c>
      <c r="O65" s="14">
        <v>9520376</v>
      </c>
      <c r="P65" s="14" t="s">
        <v>1062</v>
      </c>
      <c r="Q65" s="14" t="s">
        <v>1063</v>
      </c>
      <c r="AM65" s="14" t="s">
        <v>246</v>
      </c>
      <c r="AN65" s="14" t="s">
        <v>703</v>
      </c>
    </row>
    <row r="66" spans="5:40" x14ac:dyDescent="0.3">
      <c r="K66" s="32" t="s">
        <v>418</v>
      </c>
      <c r="L66" s="39"/>
      <c r="N66" s="14" t="s">
        <v>1065</v>
      </c>
      <c r="O66" s="14">
        <v>9425277</v>
      </c>
      <c r="P66" s="14" t="s">
        <v>1064</v>
      </c>
      <c r="Q66" s="14" t="s">
        <v>1066</v>
      </c>
      <c r="AM66" s="14" t="s">
        <v>705</v>
      </c>
      <c r="AN66" s="14" t="s">
        <v>704</v>
      </c>
    </row>
    <row r="67" spans="5:40" ht="15" x14ac:dyDescent="0.35">
      <c r="E67" s="17"/>
      <c r="K67" s="32" t="s">
        <v>419</v>
      </c>
      <c r="L67" s="39"/>
      <c r="N67" s="80" t="s">
        <v>661</v>
      </c>
      <c r="O67" s="80">
        <v>9696797</v>
      </c>
      <c r="P67" s="80" t="s">
        <v>660</v>
      </c>
      <c r="Q67" s="80" t="s">
        <v>925</v>
      </c>
      <c r="AM67" s="14" t="s">
        <v>707</v>
      </c>
      <c r="AN67" s="14" t="s">
        <v>706</v>
      </c>
    </row>
    <row r="68" spans="5:40" ht="15" x14ac:dyDescent="0.35">
      <c r="E68" s="17"/>
      <c r="K68" s="32" t="s">
        <v>420</v>
      </c>
      <c r="L68" s="39"/>
      <c r="N68" s="80" t="s">
        <v>689</v>
      </c>
      <c r="O68" s="80">
        <v>9460887</v>
      </c>
      <c r="P68" s="80" t="s">
        <v>688</v>
      </c>
      <c r="Q68" s="80" t="s">
        <v>284</v>
      </c>
      <c r="AM68" s="14" t="s">
        <v>244</v>
      </c>
      <c r="AN68" s="14" t="s">
        <v>708</v>
      </c>
    </row>
    <row r="69" spans="5:40" ht="15" x14ac:dyDescent="0.35">
      <c r="E69" s="17"/>
      <c r="K69" s="32" t="s">
        <v>421</v>
      </c>
      <c r="L69" s="39"/>
      <c r="N69" s="80" t="s">
        <v>663</v>
      </c>
      <c r="O69" s="80">
        <v>9514391</v>
      </c>
      <c r="P69" s="80" t="s">
        <v>662</v>
      </c>
      <c r="Q69" s="80" t="s">
        <v>292</v>
      </c>
      <c r="AM69" s="14" t="s">
        <v>279</v>
      </c>
      <c r="AN69" s="14" t="s">
        <v>709</v>
      </c>
    </row>
    <row r="70" spans="5:40" ht="15" x14ac:dyDescent="0.35">
      <c r="E70" s="17"/>
      <c r="K70" s="32" t="s">
        <v>422</v>
      </c>
      <c r="L70" s="39"/>
      <c r="N70" s="80" t="s">
        <v>740</v>
      </c>
      <c r="O70" s="81">
        <v>9793375</v>
      </c>
      <c r="P70" s="81" t="s">
        <v>739</v>
      </c>
      <c r="Q70" s="81" t="s">
        <v>945</v>
      </c>
    </row>
    <row r="71" spans="5:40" ht="15" x14ac:dyDescent="0.35">
      <c r="E71" s="17"/>
      <c r="K71" s="32" t="s">
        <v>423</v>
      </c>
      <c r="L71" s="39"/>
      <c r="N71" s="80" t="s">
        <v>742</v>
      </c>
      <c r="O71" s="81">
        <v>9793387</v>
      </c>
      <c r="P71" s="81" t="s">
        <v>741</v>
      </c>
      <c r="Q71" s="81" t="s">
        <v>946</v>
      </c>
    </row>
    <row r="72" spans="5:40" ht="15" x14ac:dyDescent="0.35">
      <c r="E72" s="17"/>
      <c r="K72" s="32" t="s">
        <v>424</v>
      </c>
      <c r="L72" s="39"/>
      <c r="N72" s="80" t="s">
        <v>665</v>
      </c>
      <c r="O72" s="80">
        <v>9552331</v>
      </c>
      <c r="P72" s="80" t="s">
        <v>664</v>
      </c>
      <c r="Q72" s="80" t="s">
        <v>926</v>
      </c>
    </row>
    <row r="73" spans="5:40" ht="15" x14ac:dyDescent="0.35">
      <c r="K73" s="32" t="s">
        <v>425</v>
      </c>
      <c r="L73" s="39"/>
      <c r="N73" s="80" t="s">
        <v>667</v>
      </c>
      <c r="O73" s="80">
        <v>9621247</v>
      </c>
      <c r="P73" s="80" t="s">
        <v>666</v>
      </c>
      <c r="Q73" s="80" t="s">
        <v>927</v>
      </c>
    </row>
    <row r="74" spans="5:40" ht="15" x14ac:dyDescent="0.35">
      <c r="K74" s="32" t="s">
        <v>426</v>
      </c>
      <c r="L74" s="39"/>
      <c r="N74" s="80" t="s">
        <v>258</v>
      </c>
      <c r="O74" s="80">
        <v>9293648</v>
      </c>
      <c r="P74" s="80" t="s">
        <v>690</v>
      </c>
      <c r="Q74" s="80" t="s">
        <v>257</v>
      </c>
    </row>
    <row r="75" spans="5:40" ht="15" x14ac:dyDescent="0.35">
      <c r="K75" s="32" t="s">
        <v>803</v>
      </c>
      <c r="L75" s="39"/>
      <c r="N75" s="80" t="s">
        <v>1081</v>
      </c>
      <c r="O75" s="80">
        <v>9894480</v>
      </c>
      <c r="P75" s="80" t="s">
        <v>1082</v>
      </c>
      <c r="Q75" s="80" t="s">
        <v>1083</v>
      </c>
    </row>
    <row r="76" spans="5:40" ht="15" x14ac:dyDescent="0.35">
      <c r="K76" s="37" t="s">
        <v>334</v>
      </c>
      <c r="L76" s="39"/>
      <c r="N76" s="80" t="s">
        <v>669</v>
      </c>
      <c r="O76" s="80">
        <v>9806768</v>
      </c>
      <c r="P76" s="80" t="s">
        <v>668</v>
      </c>
      <c r="Q76" s="80" t="s">
        <v>928</v>
      </c>
    </row>
    <row r="77" spans="5:40" ht="15" x14ac:dyDescent="0.35">
      <c r="K77" s="37" t="s">
        <v>427</v>
      </c>
      <c r="L77" s="39"/>
      <c r="N77" s="80" t="s">
        <v>744</v>
      </c>
      <c r="O77" s="81">
        <v>9771028</v>
      </c>
      <c r="P77" s="81" t="s">
        <v>907</v>
      </c>
      <c r="Q77" s="81" t="s">
        <v>952</v>
      </c>
    </row>
    <row r="78" spans="5:40" ht="15" x14ac:dyDescent="0.35">
      <c r="K78" s="37" t="s">
        <v>171</v>
      </c>
      <c r="L78" s="39"/>
      <c r="N78" s="80" t="s">
        <v>692</v>
      </c>
      <c r="O78" s="80">
        <v>9267687</v>
      </c>
      <c r="P78" s="80" t="s">
        <v>691</v>
      </c>
      <c r="Q78" s="80" t="s">
        <v>225</v>
      </c>
    </row>
    <row r="79" spans="5:40" ht="15" x14ac:dyDescent="0.35">
      <c r="K79" s="37" t="s">
        <v>428</v>
      </c>
      <c r="L79" s="39"/>
      <c r="N79" s="80" t="s">
        <v>1084</v>
      </c>
      <c r="O79" s="80">
        <v>9767467</v>
      </c>
      <c r="P79" s="80" t="s">
        <v>1085</v>
      </c>
      <c r="Q79" s="80" t="s">
        <v>1086</v>
      </c>
    </row>
    <row r="80" spans="5:40" ht="15" x14ac:dyDescent="0.35">
      <c r="K80" s="37" t="s">
        <v>429</v>
      </c>
      <c r="L80" s="39"/>
      <c r="N80" s="80" t="s">
        <v>671</v>
      </c>
      <c r="O80" s="80">
        <v>9666510</v>
      </c>
      <c r="P80" s="80" t="s">
        <v>670</v>
      </c>
      <c r="Q80" s="80" t="s">
        <v>929</v>
      </c>
    </row>
    <row r="81" spans="11:17" ht="15" x14ac:dyDescent="0.35">
      <c r="K81" s="37" t="s">
        <v>430</v>
      </c>
      <c r="L81" s="39"/>
      <c r="N81" s="80" t="s">
        <v>969</v>
      </c>
      <c r="O81" s="81">
        <v>9859181</v>
      </c>
      <c r="P81" s="81" t="s">
        <v>970</v>
      </c>
      <c r="Q81" s="81" t="s">
        <v>971</v>
      </c>
    </row>
    <row r="82" spans="11:17" ht="15" x14ac:dyDescent="0.35">
      <c r="K82" s="37" t="s">
        <v>431</v>
      </c>
      <c r="L82" s="39"/>
      <c r="N82" s="80" t="s">
        <v>673</v>
      </c>
      <c r="O82" s="80">
        <v>9748124</v>
      </c>
      <c r="P82" s="80" t="s">
        <v>672</v>
      </c>
      <c r="Q82" s="80" t="s">
        <v>930</v>
      </c>
    </row>
    <row r="83" spans="11:17" ht="15" x14ac:dyDescent="0.35">
      <c r="K83" s="37" t="s">
        <v>432</v>
      </c>
      <c r="L83" s="39"/>
      <c r="N83" s="80" t="s">
        <v>260</v>
      </c>
      <c r="O83" s="80">
        <v>9123934</v>
      </c>
      <c r="P83" s="80" t="s">
        <v>747</v>
      </c>
      <c r="Q83" s="80" t="s">
        <v>259</v>
      </c>
    </row>
    <row r="84" spans="11:17" ht="15" x14ac:dyDescent="0.35">
      <c r="K84" s="37" t="s">
        <v>433</v>
      </c>
      <c r="L84" s="39"/>
      <c r="N84" s="80" t="s">
        <v>981</v>
      </c>
      <c r="O84" s="81">
        <v>9882425</v>
      </c>
      <c r="P84" s="81" t="s">
        <v>988</v>
      </c>
      <c r="Q84" s="81" t="s">
        <v>1053</v>
      </c>
    </row>
    <row r="85" spans="11:17" ht="15" x14ac:dyDescent="0.35">
      <c r="K85" s="37" t="s">
        <v>434</v>
      </c>
      <c r="L85" s="39"/>
      <c r="N85" s="80" t="s">
        <v>977</v>
      </c>
      <c r="O85" s="81">
        <v>9882396</v>
      </c>
      <c r="P85" s="81" t="s">
        <v>984</v>
      </c>
      <c r="Q85" s="81" t="s">
        <v>1054</v>
      </c>
    </row>
    <row r="86" spans="11:17" ht="15" x14ac:dyDescent="0.35">
      <c r="K86" s="37" t="s">
        <v>435</v>
      </c>
      <c r="L86" s="39"/>
      <c r="N86" s="80" t="s">
        <v>979</v>
      </c>
      <c r="O86" s="81">
        <v>9882413</v>
      </c>
      <c r="P86" s="81" t="s">
        <v>986</v>
      </c>
      <c r="Q86" s="81" t="s">
        <v>1055</v>
      </c>
    </row>
    <row r="87" spans="11:17" ht="15" x14ac:dyDescent="0.35">
      <c r="K87" s="37" t="s">
        <v>436</v>
      </c>
      <c r="L87" s="39"/>
      <c r="N87" s="80" t="s">
        <v>978</v>
      </c>
      <c r="O87" s="81">
        <v>9882401</v>
      </c>
      <c r="P87" s="81" t="s">
        <v>985</v>
      </c>
      <c r="Q87" s="81" t="s">
        <v>1056</v>
      </c>
    </row>
    <row r="88" spans="11:17" ht="15" x14ac:dyDescent="0.35">
      <c r="K88" s="37" t="s">
        <v>437</v>
      </c>
      <c r="L88" s="39"/>
      <c r="N88" s="80" t="s">
        <v>749</v>
      </c>
      <c r="O88" s="80">
        <v>9344071</v>
      </c>
      <c r="P88" s="80" t="s">
        <v>748</v>
      </c>
      <c r="Q88" s="80" t="s">
        <v>401</v>
      </c>
    </row>
    <row r="89" spans="11:17" ht="15" x14ac:dyDescent="0.35">
      <c r="K89" s="37" t="s">
        <v>438</v>
      </c>
      <c r="L89" s="39"/>
      <c r="N89" s="80" t="s">
        <v>964</v>
      </c>
      <c r="O89" s="81">
        <v>9790361</v>
      </c>
      <c r="P89" s="81" t="s">
        <v>745</v>
      </c>
      <c r="Q89" s="81" t="s">
        <v>947</v>
      </c>
    </row>
    <row r="90" spans="11:17" ht="15" x14ac:dyDescent="0.35">
      <c r="K90" s="37" t="s">
        <v>439</v>
      </c>
      <c r="L90" s="39"/>
      <c r="N90" s="80" t="s">
        <v>963</v>
      </c>
      <c r="O90" s="81">
        <v>9790373</v>
      </c>
      <c r="P90" s="81" t="s">
        <v>746</v>
      </c>
      <c r="Q90" s="81" t="s">
        <v>948</v>
      </c>
    </row>
    <row r="91" spans="11:17" ht="15" x14ac:dyDescent="0.35">
      <c r="K91" s="37" t="s">
        <v>440</v>
      </c>
      <c r="L91" s="39"/>
      <c r="N91" s="80" t="s">
        <v>246</v>
      </c>
      <c r="O91" s="81">
        <v>9339973</v>
      </c>
      <c r="P91" s="81" t="s">
        <v>703</v>
      </c>
      <c r="Q91" s="81" t="s">
        <v>245</v>
      </c>
    </row>
    <row r="92" spans="11:17" ht="15" x14ac:dyDescent="0.35">
      <c r="K92" s="37" t="s">
        <v>441</v>
      </c>
      <c r="L92" s="39"/>
      <c r="N92" s="80" t="s">
        <v>705</v>
      </c>
      <c r="O92" s="81">
        <v>9770696</v>
      </c>
      <c r="P92" s="81" t="s">
        <v>704</v>
      </c>
      <c r="Q92" s="81" t="s">
        <v>937</v>
      </c>
    </row>
    <row r="93" spans="11:17" ht="15" x14ac:dyDescent="0.35">
      <c r="K93" s="37" t="s">
        <v>442</v>
      </c>
      <c r="L93" s="39"/>
      <c r="N93" s="80" t="s">
        <v>707</v>
      </c>
      <c r="O93" s="81">
        <v>9787754</v>
      </c>
      <c r="P93" s="81" t="s">
        <v>706</v>
      </c>
      <c r="Q93" s="81" t="s">
        <v>938</v>
      </c>
    </row>
    <row r="94" spans="11:17" ht="15" x14ac:dyDescent="0.35">
      <c r="K94" s="37" t="s">
        <v>443</v>
      </c>
      <c r="L94" s="39"/>
      <c r="N94" s="80" t="s">
        <v>244</v>
      </c>
      <c r="O94" s="81">
        <v>9311270</v>
      </c>
      <c r="P94" s="81" t="s">
        <v>708</v>
      </c>
      <c r="Q94" s="81" t="s">
        <v>243</v>
      </c>
    </row>
    <row r="95" spans="11:17" ht="15" x14ac:dyDescent="0.35">
      <c r="K95" s="37" t="s">
        <v>444</v>
      </c>
      <c r="L95" s="39"/>
      <c r="N95" s="80" t="s">
        <v>279</v>
      </c>
      <c r="O95" s="81">
        <v>9387267</v>
      </c>
      <c r="P95" s="81" t="s">
        <v>709</v>
      </c>
      <c r="Q95" s="81" t="s">
        <v>280</v>
      </c>
    </row>
    <row r="96" spans="11:17" ht="15" x14ac:dyDescent="0.35">
      <c r="K96" s="37" t="s">
        <v>445</v>
      </c>
      <c r="L96" s="39"/>
      <c r="N96" s="80" t="s">
        <v>1093</v>
      </c>
      <c r="O96" s="80">
        <v>9875226</v>
      </c>
      <c r="P96" s="80" t="s">
        <v>1091</v>
      </c>
      <c r="Q96" s="80" t="s">
        <v>1092</v>
      </c>
    </row>
    <row r="97" spans="11:17" ht="15" x14ac:dyDescent="0.35">
      <c r="K97" s="37" t="s">
        <v>446</v>
      </c>
      <c r="L97" s="39"/>
      <c r="N97" s="114" t="s">
        <v>1098</v>
      </c>
      <c r="O97" s="80">
        <v>9903140</v>
      </c>
      <c r="P97" s="14" t="s">
        <v>1100</v>
      </c>
      <c r="Q97" s="116" t="s">
        <v>1099</v>
      </c>
    </row>
    <row r="98" spans="11:17" x14ac:dyDescent="0.3">
      <c r="K98" s="37" t="s">
        <v>447</v>
      </c>
      <c r="L98" s="39"/>
    </row>
    <row r="99" spans="11:17" x14ac:dyDescent="0.3">
      <c r="K99" s="37" t="s">
        <v>448</v>
      </c>
      <c r="L99" s="39"/>
    </row>
    <row r="100" spans="11:17" x14ac:dyDescent="0.3">
      <c r="K100" s="38" t="s">
        <v>333</v>
      </c>
      <c r="L100" s="39"/>
    </row>
    <row r="101" spans="11:17" x14ac:dyDescent="0.3">
      <c r="K101" s="38" t="s">
        <v>449</v>
      </c>
      <c r="L101" s="39"/>
    </row>
    <row r="102" spans="11:17" x14ac:dyDescent="0.3">
      <c r="K102" s="38" t="s">
        <v>450</v>
      </c>
      <c r="L102" s="39"/>
    </row>
    <row r="103" spans="11:17" x14ac:dyDescent="0.3">
      <c r="K103" s="38" t="s">
        <v>451</v>
      </c>
      <c r="L103" s="39"/>
    </row>
    <row r="104" spans="11:17" x14ac:dyDescent="0.3">
      <c r="K104" s="38" t="s">
        <v>452</v>
      </c>
      <c r="L104" s="39"/>
    </row>
    <row r="105" spans="11:17" x14ac:dyDescent="0.3">
      <c r="K105" s="38" t="s">
        <v>453</v>
      </c>
      <c r="L105" s="39"/>
    </row>
    <row r="106" spans="11:17" x14ac:dyDescent="0.3">
      <c r="K106" s="38" t="s">
        <v>454</v>
      </c>
      <c r="L106" s="39"/>
    </row>
    <row r="107" spans="11:17" x14ac:dyDescent="0.3">
      <c r="K107" s="38" t="s">
        <v>455</v>
      </c>
      <c r="L107" s="39"/>
    </row>
    <row r="108" spans="11:17" x14ac:dyDescent="0.3">
      <c r="K108" s="38" t="s">
        <v>456</v>
      </c>
      <c r="L108" s="39"/>
    </row>
    <row r="109" spans="11:17" x14ac:dyDescent="0.3">
      <c r="K109" s="38" t="s">
        <v>457</v>
      </c>
      <c r="L109" s="39"/>
    </row>
    <row r="110" spans="11:17" x14ac:dyDescent="0.3">
      <c r="K110" s="38" t="s">
        <v>458</v>
      </c>
      <c r="L110" s="39"/>
    </row>
    <row r="111" spans="11:17" x14ac:dyDescent="0.3">
      <c r="K111" s="38" t="s">
        <v>459</v>
      </c>
      <c r="L111" s="39"/>
    </row>
    <row r="112" spans="11:17" x14ac:dyDescent="0.3">
      <c r="K112" s="38" t="s">
        <v>460</v>
      </c>
      <c r="L112" s="39"/>
    </row>
    <row r="113" spans="11:12" x14ac:dyDescent="0.3">
      <c r="K113" s="38" t="s">
        <v>461</v>
      </c>
      <c r="L113" s="39"/>
    </row>
    <row r="114" spans="11:12" x14ac:dyDescent="0.3">
      <c r="K114" s="38" t="s">
        <v>462</v>
      </c>
      <c r="L114" s="39"/>
    </row>
    <row r="115" spans="11:12" x14ac:dyDescent="0.3">
      <c r="K115" s="38" t="s">
        <v>463</v>
      </c>
      <c r="L115" s="39"/>
    </row>
    <row r="116" spans="11:12" x14ac:dyDescent="0.3">
      <c r="K116" s="38" t="s">
        <v>464</v>
      </c>
      <c r="L116" s="39"/>
    </row>
    <row r="117" spans="11:12" x14ac:dyDescent="0.3">
      <c r="K117" s="38" t="s">
        <v>465</v>
      </c>
      <c r="L117" s="39"/>
    </row>
    <row r="118" spans="11:12" x14ac:dyDescent="0.3">
      <c r="K118" s="38" t="s">
        <v>466</v>
      </c>
      <c r="L118" s="39"/>
    </row>
    <row r="119" spans="11:12" x14ac:dyDescent="0.3">
      <c r="K119" s="38" t="s">
        <v>467</v>
      </c>
      <c r="L119" s="39"/>
    </row>
    <row r="120" spans="11:12" x14ac:dyDescent="0.3">
      <c r="K120" s="38" t="s">
        <v>468</v>
      </c>
      <c r="L120" s="39"/>
    </row>
    <row r="121" spans="11:12" x14ac:dyDescent="0.3">
      <c r="K121" s="38" t="s">
        <v>469</v>
      </c>
      <c r="L121" s="39"/>
    </row>
    <row r="122" spans="11:12" x14ac:dyDescent="0.3">
      <c r="K122" s="38" t="s">
        <v>470</v>
      </c>
      <c r="L122" s="39"/>
    </row>
    <row r="123" spans="11:12" x14ac:dyDescent="0.3">
      <c r="K123" s="38" t="s">
        <v>471</v>
      </c>
      <c r="L123" s="39"/>
    </row>
    <row r="124" spans="11:12" x14ac:dyDescent="0.3">
      <c r="K124" s="40" t="s">
        <v>53</v>
      </c>
      <c r="L124" s="39"/>
    </row>
    <row r="125" spans="11:12" x14ac:dyDescent="0.3">
      <c r="K125" s="41" t="s">
        <v>54</v>
      </c>
      <c r="L125" s="39"/>
    </row>
    <row r="126" spans="11:12" x14ac:dyDescent="0.3">
      <c r="K126" s="41" t="s">
        <v>55</v>
      </c>
      <c r="L126" s="39"/>
    </row>
    <row r="127" spans="11:12" x14ac:dyDescent="0.3">
      <c r="K127" s="41" t="s">
        <v>56</v>
      </c>
      <c r="L127" s="39"/>
    </row>
    <row r="128" spans="11:12" x14ac:dyDescent="0.3">
      <c r="K128" s="41" t="s">
        <v>57</v>
      </c>
      <c r="L128" s="39"/>
    </row>
    <row r="129" spans="11:12" x14ac:dyDescent="0.3">
      <c r="K129" s="41" t="s">
        <v>58</v>
      </c>
      <c r="L129" s="39"/>
    </row>
    <row r="130" spans="11:12" x14ac:dyDescent="0.3">
      <c r="K130" s="42" t="s">
        <v>59</v>
      </c>
      <c r="L130" s="39"/>
    </row>
    <row r="131" spans="11:12" x14ac:dyDescent="0.3">
      <c r="K131" s="40" t="s">
        <v>172</v>
      </c>
      <c r="L131" s="39"/>
    </row>
    <row r="132" spans="11:12" x14ac:dyDescent="0.3">
      <c r="K132" s="41" t="s">
        <v>173</v>
      </c>
      <c r="L132" s="39"/>
    </row>
    <row r="133" spans="11:12" x14ac:dyDescent="0.3">
      <c r="K133" s="41" t="s">
        <v>60</v>
      </c>
      <c r="L133" s="39"/>
    </row>
    <row r="134" spans="11:12" x14ac:dyDescent="0.3">
      <c r="K134" s="41" t="s">
        <v>61</v>
      </c>
      <c r="L134" s="39"/>
    </row>
    <row r="135" spans="11:12" x14ac:dyDescent="0.3">
      <c r="K135" s="41" t="s">
        <v>62</v>
      </c>
      <c r="L135" s="39"/>
    </row>
    <row r="136" spans="11:12" x14ac:dyDescent="0.3">
      <c r="K136" s="41" t="s">
        <v>63</v>
      </c>
      <c r="L136" s="39"/>
    </row>
    <row r="137" spans="11:12" x14ac:dyDescent="0.3">
      <c r="K137" s="42" t="s">
        <v>64</v>
      </c>
      <c r="L137" s="39"/>
    </row>
    <row r="138" spans="11:12" x14ac:dyDescent="0.3">
      <c r="K138" s="40" t="s">
        <v>174</v>
      </c>
      <c r="L138" s="39"/>
    </row>
    <row r="139" spans="11:12" x14ac:dyDescent="0.3">
      <c r="K139" s="41" t="s">
        <v>65</v>
      </c>
      <c r="L139" s="39"/>
    </row>
    <row r="140" spans="11:12" x14ac:dyDescent="0.3">
      <c r="K140" s="41" t="s">
        <v>66</v>
      </c>
      <c r="L140" s="39"/>
    </row>
    <row r="141" spans="11:12" x14ac:dyDescent="0.3">
      <c r="K141" s="41" t="s">
        <v>67</v>
      </c>
      <c r="L141" s="39"/>
    </row>
    <row r="142" spans="11:12" x14ac:dyDescent="0.3">
      <c r="K142" s="41" t="s">
        <v>68</v>
      </c>
      <c r="L142" s="39"/>
    </row>
    <row r="143" spans="11:12" x14ac:dyDescent="0.3">
      <c r="K143" s="41" t="s">
        <v>69</v>
      </c>
      <c r="L143" s="39"/>
    </row>
    <row r="144" spans="11:12" x14ac:dyDescent="0.3">
      <c r="K144" s="41" t="s">
        <v>175</v>
      </c>
      <c r="L144" s="39"/>
    </row>
    <row r="145" spans="11:12" x14ac:dyDescent="0.3">
      <c r="K145" s="41" t="s">
        <v>70</v>
      </c>
      <c r="L145" s="39"/>
    </row>
    <row r="146" spans="11:12" x14ac:dyDescent="0.3">
      <c r="K146" s="41" t="s">
        <v>71</v>
      </c>
      <c r="L146" s="39"/>
    </row>
    <row r="147" spans="11:12" x14ac:dyDescent="0.3">
      <c r="K147" s="42" t="s">
        <v>176</v>
      </c>
      <c r="L147" s="39"/>
    </row>
    <row r="148" spans="11:12" x14ac:dyDescent="0.3">
      <c r="K148" s="40" t="s">
        <v>72</v>
      </c>
      <c r="L148" s="39"/>
    </row>
    <row r="149" spans="11:12" x14ac:dyDescent="0.3">
      <c r="K149" s="41" t="s">
        <v>73</v>
      </c>
      <c r="L149" s="39"/>
    </row>
    <row r="150" spans="11:12" x14ac:dyDescent="0.3">
      <c r="K150" s="41" t="s">
        <v>74</v>
      </c>
      <c r="L150" s="39"/>
    </row>
    <row r="151" spans="11:12" x14ac:dyDescent="0.3">
      <c r="K151" s="41" t="s">
        <v>75</v>
      </c>
      <c r="L151" s="39"/>
    </row>
    <row r="152" spans="11:12" x14ac:dyDescent="0.3">
      <c r="K152" s="42" t="s">
        <v>76</v>
      </c>
      <c r="L152" s="39"/>
    </row>
    <row r="153" spans="11:12" x14ac:dyDescent="0.3">
      <c r="K153" s="40" t="s">
        <v>77</v>
      </c>
      <c r="L153" s="39"/>
    </row>
    <row r="154" spans="11:12" x14ac:dyDescent="0.3">
      <c r="K154" s="41" t="s">
        <v>78</v>
      </c>
      <c r="L154" s="39"/>
    </row>
    <row r="155" spans="11:12" x14ac:dyDescent="0.3">
      <c r="K155" s="42" t="s">
        <v>79</v>
      </c>
      <c r="L155" s="39"/>
    </row>
    <row r="156" spans="11:12" x14ac:dyDescent="0.3">
      <c r="K156" s="43" t="s">
        <v>80</v>
      </c>
      <c r="L156" s="39"/>
    </row>
    <row r="157" spans="11:12" x14ac:dyDescent="0.3">
      <c r="K157" s="43" t="s">
        <v>81</v>
      </c>
      <c r="L157" s="39"/>
    </row>
    <row r="158" spans="11:12" x14ac:dyDescent="0.3">
      <c r="K158" s="43" t="s">
        <v>177</v>
      </c>
      <c r="L158" s="39"/>
    </row>
    <row r="159" spans="11:12" x14ac:dyDescent="0.3">
      <c r="K159" s="43" t="s">
        <v>82</v>
      </c>
      <c r="L159" s="39"/>
    </row>
    <row r="160" spans="11:12" x14ac:dyDescent="0.3">
      <c r="K160" s="43" t="s">
        <v>83</v>
      </c>
      <c r="L160" s="39"/>
    </row>
    <row r="161" spans="11:12" x14ac:dyDescent="0.3">
      <c r="K161" s="40" t="s">
        <v>84</v>
      </c>
      <c r="L161" s="39"/>
    </row>
    <row r="162" spans="11:12" x14ac:dyDescent="0.3">
      <c r="K162" s="41" t="s">
        <v>85</v>
      </c>
      <c r="L162" s="39"/>
    </row>
    <row r="163" spans="11:12" x14ac:dyDescent="0.3">
      <c r="K163" s="41" t="s">
        <v>86</v>
      </c>
      <c r="L163" s="39"/>
    </row>
    <row r="164" spans="11:12" x14ac:dyDescent="0.3">
      <c r="K164" s="41" t="s">
        <v>87</v>
      </c>
      <c r="L164" s="39"/>
    </row>
    <row r="165" spans="11:12" x14ac:dyDescent="0.3">
      <c r="K165" s="41" t="s">
        <v>88</v>
      </c>
      <c r="L165" s="39"/>
    </row>
    <row r="166" spans="11:12" x14ac:dyDescent="0.3">
      <c r="K166" s="41" t="s">
        <v>89</v>
      </c>
      <c r="L166" s="39"/>
    </row>
    <row r="167" spans="11:12" x14ac:dyDescent="0.3">
      <c r="K167" s="41" t="s">
        <v>90</v>
      </c>
      <c r="L167" s="39"/>
    </row>
    <row r="168" spans="11:12" x14ac:dyDescent="0.3">
      <c r="K168" s="41" t="s">
        <v>91</v>
      </c>
      <c r="L168" s="39"/>
    </row>
    <row r="169" spans="11:12" x14ac:dyDescent="0.3">
      <c r="K169" s="41" t="s">
        <v>92</v>
      </c>
      <c r="L169" s="39"/>
    </row>
    <row r="170" spans="11:12" x14ac:dyDescent="0.3">
      <c r="K170" s="41" t="s">
        <v>93</v>
      </c>
      <c r="L170" s="39"/>
    </row>
    <row r="171" spans="11:12" x14ac:dyDescent="0.3">
      <c r="K171" s="41" t="s">
        <v>94</v>
      </c>
      <c r="L171" s="39"/>
    </row>
    <row r="172" spans="11:12" x14ac:dyDescent="0.3">
      <c r="K172" s="41" t="s">
        <v>95</v>
      </c>
      <c r="L172" s="39"/>
    </row>
    <row r="173" spans="11:12" x14ac:dyDescent="0.3">
      <c r="K173" s="41" t="s">
        <v>96</v>
      </c>
      <c r="L173" s="39"/>
    </row>
    <row r="174" spans="11:12" x14ac:dyDescent="0.3">
      <c r="K174" s="41" t="s">
        <v>97</v>
      </c>
      <c r="L174" s="39"/>
    </row>
    <row r="175" spans="11:12" x14ac:dyDescent="0.3">
      <c r="K175" s="41" t="s">
        <v>98</v>
      </c>
      <c r="L175" s="39"/>
    </row>
    <row r="176" spans="11:12" x14ac:dyDescent="0.3">
      <c r="K176" s="41" t="s">
        <v>178</v>
      </c>
      <c r="L176" s="39"/>
    </row>
    <row r="177" spans="11:12" x14ac:dyDescent="0.3">
      <c r="K177" s="41" t="s">
        <v>99</v>
      </c>
      <c r="L177" s="39"/>
    </row>
    <row r="178" spans="11:12" x14ac:dyDescent="0.3">
      <c r="K178" s="42" t="s">
        <v>100</v>
      </c>
      <c r="L178" s="39"/>
    </row>
    <row r="179" spans="11:12" x14ac:dyDescent="0.3">
      <c r="K179" s="40" t="s">
        <v>101</v>
      </c>
      <c r="L179" s="39"/>
    </row>
    <row r="180" spans="11:12" x14ac:dyDescent="0.3">
      <c r="K180" s="41" t="s">
        <v>102</v>
      </c>
      <c r="L180" s="39"/>
    </row>
    <row r="181" spans="11:12" x14ac:dyDescent="0.3">
      <c r="K181" s="41" t="s">
        <v>103</v>
      </c>
      <c r="L181" s="39"/>
    </row>
    <row r="182" spans="11:12" x14ac:dyDescent="0.3">
      <c r="K182" s="41" t="s">
        <v>104</v>
      </c>
      <c r="L182" s="39"/>
    </row>
    <row r="183" spans="11:12" x14ac:dyDescent="0.3">
      <c r="K183" s="41" t="s">
        <v>105</v>
      </c>
      <c r="L183" s="39"/>
    </row>
    <row r="184" spans="11:12" x14ac:dyDescent="0.3">
      <c r="K184" s="41" t="s">
        <v>106</v>
      </c>
    </row>
    <row r="185" spans="11:12" x14ac:dyDescent="0.3">
      <c r="K185" s="41" t="s">
        <v>107</v>
      </c>
    </row>
    <row r="186" spans="11:12" x14ac:dyDescent="0.3">
      <c r="K186" s="41" t="s">
        <v>108</v>
      </c>
    </row>
    <row r="187" spans="11:12" x14ac:dyDescent="0.3">
      <c r="K187" s="41" t="s">
        <v>109</v>
      </c>
    </row>
    <row r="188" spans="11:12" x14ac:dyDescent="0.3">
      <c r="K188" s="41" t="s">
        <v>110</v>
      </c>
    </row>
    <row r="189" spans="11:12" x14ac:dyDescent="0.3">
      <c r="K189" s="41" t="s">
        <v>111</v>
      </c>
    </row>
    <row r="190" spans="11:12" x14ac:dyDescent="0.3">
      <c r="K190" s="41" t="s">
        <v>112</v>
      </c>
    </row>
    <row r="191" spans="11:12" x14ac:dyDescent="0.3">
      <c r="K191" s="41" t="s">
        <v>113</v>
      </c>
    </row>
    <row r="192" spans="11:12" x14ac:dyDescent="0.3">
      <c r="K192" s="41" t="s">
        <v>179</v>
      </c>
    </row>
    <row r="193" spans="11:11" x14ac:dyDescent="0.3">
      <c r="K193" s="42" t="s">
        <v>114</v>
      </c>
    </row>
    <row r="194" spans="11:11" x14ac:dyDescent="0.3">
      <c r="K194" s="40" t="s">
        <v>115</v>
      </c>
    </row>
    <row r="195" spans="11:11" x14ac:dyDescent="0.3">
      <c r="K195" s="41" t="s">
        <v>116</v>
      </c>
    </row>
    <row r="196" spans="11:11" x14ac:dyDescent="0.3">
      <c r="K196" s="41" t="s">
        <v>117</v>
      </c>
    </row>
    <row r="197" spans="11:11" x14ac:dyDescent="0.3">
      <c r="K197" s="41" t="s">
        <v>118</v>
      </c>
    </row>
    <row r="198" spans="11:11" x14ac:dyDescent="0.3">
      <c r="K198" s="41" t="s">
        <v>119</v>
      </c>
    </row>
    <row r="199" spans="11:11" x14ac:dyDescent="0.3">
      <c r="K199" s="41" t="s">
        <v>120</v>
      </c>
    </row>
    <row r="200" spans="11:11" x14ac:dyDescent="0.3">
      <c r="K200" s="42" t="s">
        <v>121</v>
      </c>
    </row>
    <row r="201" spans="11:11" x14ac:dyDescent="0.3">
      <c r="K201" s="40" t="s">
        <v>122</v>
      </c>
    </row>
    <row r="202" spans="11:11" x14ac:dyDescent="0.3">
      <c r="K202" s="41" t="s">
        <v>123</v>
      </c>
    </row>
    <row r="203" spans="11:11" x14ac:dyDescent="0.3">
      <c r="K203" s="41" t="s">
        <v>124</v>
      </c>
    </row>
    <row r="204" spans="11:11" x14ac:dyDescent="0.3">
      <c r="K204" s="41" t="s">
        <v>125</v>
      </c>
    </row>
    <row r="205" spans="11:11" x14ac:dyDescent="0.3">
      <c r="K205" s="41" t="s">
        <v>180</v>
      </c>
    </row>
    <row r="206" spans="11:11" x14ac:dyDescent="0.3">
      <c r="K206" s="41" t="s">
        <v>126</v>
      </c>
    </row>
    <row r="207" spans="11:11" x14ac:dyDescent="0.3">
      <c r="K207" s="41" t="s">
        <v>181</v>
      </c>
    </row>
    <row r="208" spans="11:11" x14ac:dyDescent="0.3">
      <c r="K208" s="41" t="s">
        <v>182</v>
      </c>
    </row>
    <row r="209" spans="11:11" x14ac:dyDescent="0.3">
      <c r="K209" s="41" t="s">
        <v>183</v>
      </c>
    </row>
    <row r="210" spans="11:11" x14ac:dyDescent="0.3">
      <c r="K210" s="41" t="s">
        <v>127</v>
      </c>
    </row>
    <row r="211" spans="11:11" x14ac:dyDescent="0.3">
      <c r="K211" s="41" t="s">
        <v>184</v>
      </c>
    </row>
    <row r="212" spans="11:11" x14ac:dyDescent="0.3">
      <c r="K212" s="41" t="s">
        <v>128</v>
      </c>
    </row>
    <row r="213" spans="11:11" x14ac:dyDescent="0.3">
      <c r="K213" s="41" t="s">
        <v>185</v>
      </c>
    </row>
    <row r="214" spans="11:11" x14ac:dyDescent="0.3">
      <c r="K214" s="41" t="s">
        <v>129</v>
      </c>
    </row>
    <row r="215" spans="11:11" x14ac:dyDescent="0.3">
      <c r="K215" s="41" t="s">
        <v>130</v>
      </c>
    </row>
    <row r="216" spans="11:11" x14ac:dyDescent="0.3">
      <c r="K216" s="41" t="s">
        <v>131</v>
      </c>
    </row>
    <row r="217" spans="11:11" x14ac:dyDescent="0.3">
      <c r="K217" s="41" t="s">
        <v>132</v>
      </c>
    </row>
    <row r="218" spans="11:11" x14ac:dyDescent="0.3">
      <c r="K218" s="41" t="s">
        <v>186</v>
      </c>
    </row>
    <row r="219" spans="11:11" x14ac:dyDescent="0.3">
      <c r="K219" s="41" t="s">
        <v>187</v>
      </c>
    </row>
    <row r="220" spans="11:11" x14ac:dyDescent="0.3">
      <c r="K220" s="41" t="s">
        <v>133</v>
      </c>
    </row>
    <row r="221" spans="11:11" x14ac:dyDescent="0.3">
      <c r="K221" s="42" t="s">
        <v>188</v>
      </c>
    </row>
    <row r="222" spans="11:11" x14ac:dyDescent="0.3">
      <c r="K222" s="40" t="s">
        <v>134</v>
      </c>
    </row>
    <row r="223" spans="11:11" x14ac:dyDescent="0.3">
      <c r="K223" s="41" t="s">
        <v>135</v>
      </c>
    </row>
    <row r="224" spans="11:11" x14ac:dyDescent="0.3">
      <c r="K224" s="41" t="s">
        <v>136</v>
      </c>
    </row>
    <row r="225" spans="11:11" x14ac:dyDescent="0.3">
      <c r="K225" s="41" t="s">
        <v>137</v>
      </c>
    </row>
    <row r="226" spans="11:11" x14ac:dyDescent="0.3">
      <c r="K226" s="41" t="s">
        <v>138</v>
      </c>
    </row>
    <row r="227" spans="11:11" x14ac:dyDescent="0.3">
      <c r="K227" s="41" t="s">
        <v>139</v>
      </c>
    </row>
    <row r="228" spans="11:11" x14ac:dyDescent="0.3">
      <c r="K228" s="41" t="s">
        <v>140</v>
      </c>
    </row>
    <row r="229" spans="11:11" x14ac:dyDescent="0.3">
      <c r="K229" s="42" t="s">
        <v>141</v>
      </c>
    </row>
    <row r="230" spans="11:11" x14ac:dyDescent="0.3">
      <c r="K230" s="43" t="s">
        <v>142</v>
      </c>
    </row>
    <row r="231" spans="11:11" x14ac:dyDescent="0.3">
      <c r="K231" s="43" t="s">
        <v>143</v>
      </c>
    </row>
    <row r="232" spans="11:11" x14ac:dyDescent="0.3">
      <c r="K232" s="40" t="s">
        <v>144</v>
      </c>
    </row>
    <row r="233" spans="11:11" x14ac:dyDescent="0.3">
      <c r="K233" s="41" t="s">
        <v>145</v>
      </c>
    </row>
    <row r="234" spans="11:11" x14ac:dyDescent="0.3">
      <c r="K234" s="41" t="s">
        <v>146</v>
      </c>
    </row>
    <row r="235" spans="11:11" x14ac:dyDescent="0.3">
      <c r="K235" s="41" t="s">
        <v>147</v>
      </c>
    </row>
    <row r="236" spans="11:11" x14ac:dyDescent="0.3">
      <c r="K236" s="41" t="s">
        <v>148</v>
      </c>
    </row>
    <row r="237" spans="11:11" x14ac:dyDescent="0.3">
      <c r="K237" s="41" t="s">
        <v>189</v>
      </c>
    </row>
    <row r="238" spans="11:11" x14ac:dyDescent="0.3">
      <c r="K238" s="41" t="s">
        <v>149</v>
      </c>
    </row>
    <row r="239" spans="11:11" x14ac:dyDescent="0.3">
      <c r="K239" s="42" t="s">
        <v>150</v>
      </c>
    </row>
    <row r="240" spans="11:11" x14ac:dyDescent="0.3">
      <c r="K240" s="40" t="s">
        <v>151</v>
      </c>
    </row>
    <row r="241" spans="11:11" x14ac:dyDescent="0.3">
      <c r="K241" s="41" t="s">
        <v>152</v>
      </c>
    </row>
    <row r="242" spans="11:11" x14ac:dyDescent="0.3">
      <c r="K242" s="41" t="s">
        <v>153</v>
      </c>
    </row>
    <row r="243" spans="11:11" x14ac:dyDescent="0.3">
      <c r="K243" s="41" t="s">
        <v>154</v>
      </c>
    </row>
    <row r="244" spans="11:11" x14ac:dyDescent="0.3">
      <c r="K244" s="41" t="s">
        <v>155</v>
      </c>
    </row>
    <row r="245" spans="11:11" x14ac:dyDescent="0.3">
      <c r="K245" s="41" t="s">
        <v>156</v>
      </c>
    </row>
    <row r="246" spans="11:11" x14ac:dyDescent="0.3">
      <c r="K246" s="41" t="s">
        <v>328</v>
      </c>
    </row>
    <row r="247" spans="11:11" x14ac:dyDescent="0.3">
      <c r="K247" s="41" t="s">
        <v>329</v>
      </c>
    </row>
    <row r="248" spans="11:11" x14ac:dyDescent="0.3">
      <c r="K248" s="41" t="s">
        <v>330</v>
      </c>
    </row>
    <row r="249" spans="11:11" x14ac:dyDescent="0.3">
      <c r="K249" s="41" t="s">
        <v>331</v>
      </c>
    </row>
    <row r="250" spans="11:11" x14ac:dyDescent="0.3">
      <c r="K250" s="42" t="s">
        <v>332</v>
      </c>
    </row>
    <row r="251" spans="11:11" x14ac:dyDescent="0.3">
      <c r="K251" s="40" t="s">
        <v>157</v>
      </c>
    </row>
    <row r="252" spans="11:11" x14ac:dyDescent="0.3">
      <c r="K252" s="41" t="s">
        <v>158</v>
      </c>
    </row>
    <row r="253" spans="11:11" x14ac:dyDescent="0.3">
      <c r="K253" s="41" t="s">
        <v>159</v>
      </c>
    </row>
    <row r="254" spans="11:11" x14ac:dyDescent="0.3">
      <c r="K254" s="41" t="s">
        <v>160</v>
      </c>
    </row>
    <row r="255" spans="11:11" x14ac:dyDescent="0.3">
      <c r="K255" s="41" t="s">
        <v>161</v>
      </c>
    </row>
    <row r="256" spans="11:11" x14ac:dyDescent="0.3">
      <c r="K256" s="42" t="s">
        <v>162</v>
      </c>
    </row>
    <row r="257" spans="11:11" x14ac:dyDescent="0.3">
      <c r="K257" s="40" t="s">
        <v>190</v>
      </c>
    </row>
    <row r="258" spans="11:11" x14ac:dyDescent="0.3">
      <c r="K258" s="41" t="s">
        <v>163</v>
      </c>
    </row>
    <row r="259" spans="11:11" x14ac:dyDescent="0.3">
      <c r="K259" s="41" t="s">
        <v>164</v>
      </c>
    </row>
    <row r="260" spans="11:11" x14ac:dyDescent="0.3">
      <c r="K260" s="42" t="s">
        <v>165</v>
      </c>
    </row>
    <row r="261" spans="11:11" x14ac:dyDescent="0.3">
      <c r="K261" s="40" t="s">
        <v>191</v>
      </c>
    </row>
    <row r="262" spans="11:11" x14ac:dyDescent="0.3">
      <c r="K262" s="42" t="s">
        <v>166</v>
      </c>
    </row>
    <row r="263" spans="11:11" x14ac:dyDescent="0.3">
      <c r="K263" s="101" t="s">
        <v>967</v>
      </c>
    </row>
    <row r="264" spans="11:11" x14ac:dyDescent="0.3">
      <c r="K264" s="44" t="s">
        <v>472</v>
      </c>
    </row>
    <row r="265" spans="11:11" x14ac:dyDescent="0.3">
      <c r="K265" s="44" t="s">
        <v>473</v>
      </c>
    </row>
    <row r="266" spans="11:11" x14ac:dyDescent="0.3">
      <c r="K266" s="44" t="s">
        <v>474</v>
      </c>
    </row>
    <row r="267" spans="11:11" x14ac:dyDescent="0.3">
      <c r="K267" s="44" t="s">
        <v>475</v>
      </c>
    </row>
    <row r="268" spans="11:11" x14ac:dyDescent="0.3">
      <c r="K268" s="40" t="s">
        <v>476</v>
      </c>
    </row>
    <row r="269" spans="11:11" x14ac:dyDescent="0.3">
      <c r="K269" s="44" t="s">
        <v>477</v>
      </c>
    </row>
    <row r="270" spans="11:11" x14ac:dyDescent="0.3">
      <c r="K270" s="44" t="s">
        <v>478</v>
      </c>
    </row>
    <row r="271" spans="11:11" x14ac:dyDescent="0.3">
      <c r="K271" s="44" t="s">
        <v>479</v>
      </c>
    </row>
    <row r="272" spans="11:11" x14ac:dyDescent="0.3">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x14ac:dyDescent="0.35"/>
  <cols>
    <col min="1" max="1" width="5.453125" style="112" customWidth="1"/>
    <col min="2" max="2" width="6.1796875" style="112" bestFit="1" customWidth="1"/>
    <col min="3" max="3" width="89.08984375" style="112" bestFit="1" customWidth="1"/>
    <col min="4" max="16384" width="9" style="112"/>
  </cols>
  <sheetData>
    <row r="1" spans="2:3" x14ac:dyDescent="0.35">
      <c r="B1" s="112" t="s">
        <v>510</v>
      </c>
      <c r="C1" s="112" t="s">
        <v>511</v>
      </c>
    </row>
    <row r="2" spans="2:3" x14ac:dyDescent="0.35">
      <c r="C2" s="112" t="s">
        <v>567</v>
      </c>
    </row>
    <row r="3" spans="2:3" x14ac:dyDescent="0.35">
      <c r="C3" s="112" t="s">
        <v>569</v>
      </c>
    </row>
    <row r="4" spans="2:3" x14ac:dyDescent="0.35">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Umang Singh Rawat</cp:lastModifiedBy>
  <cp:lastPrinted>2020-04-22T13:54:49Z</cp:lastPrinted>
  <dcterms:created xsi:type="dcterms:W3CDTF">1997-01-08T22:48:59Z</dcterms:created>
  <dcterms:modified xsi:type="dcterms:W3CDTF">2022-01-06T06:05:58Z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