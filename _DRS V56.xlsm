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C:\Shares\DRS2022\"/>
    </mc:Choice>
  </mc:AlternateContent>
  <xr:revisionPtr revIDLastSave="0" documentId="13_ncr:1_{924B4051-AD32-4EB5-8192-5D2513C914F9}" xr6:coauthVersionLast="47" xr6:coauthVersionMax="47" xr10:uidLastSave="{00000000-0000-0000-0000-000000000000}"/>
  <bookViews>
    <workbookView xWindow="-120" yWindow="-120" windowWidth="29040" windowHeight="15840" tabRatio="601" xr2:uid="{00000000-000D-0000-FFFF-FFFF00000000}"/>
  </bookViews>
  <sheets>
    <sheet name="DRSEND" sheetId="9" r:id="rId1"/>
    <sheet name="Instructions" sheetId="14" r:id="rId2"/>
    <sheet name="csv" sheetId="15" state="hidden" r:id="rId3"/>
    <sheet name="Severity Matrix" sheetId="16" r:id="rId4"/>
    <sheet name="ListInfo" sheetId="10" state="hidden" r:id="rId5"/>
    <sheet name="Changelog" sheetId="11" state="hidden" r:id="rId6"/>
  </sheets>
  <functionGroups builtInGroupCount="19"/>
  <definedNames>
    <definedName name="_xlnm._FilterDatabase" localSheetId="0" hidden="1">DRSEND!$B$6:$AE$6</definedName>
    <definedName name="ACC">ListInfo!$K$124:$K$130</definedName>
    <definedName name="AEQ">ListInfo!$K$201:$K$221</definedName>
    <definedName name="ahoge">ListInfo!$I$2</definedName>
    <definedName name="amoge">ListInfo!$G$2:$G$9</definedName>
    <definedName name="batPath">ListInfo!$BA$2</definedName>
    <definedName name="bhoge">ListInfo!$I$3</definedName>
    <definedName name="BLR">ListInfo!$K$194:$K$200</definedName>
    <definedName name="bmoge">ListInfo!$G$11:$G$13</definedName>
    <definedName name="choge">ListInfo!$I$4</definedName>
    <definedName name="CLS">ListInfo!$K$76:$K$99</definedName>
    <definedName name="cmoge">ListInfo!$G$14</definedName>
    <definedName name="combo1data">DRSEND!#REF!</definedName>
    <definedName name="copyline">DRSEND!$A$7:$CV$7</definedName>
    <definedName name="CRG">ListInfo!$K$138:$K$147</definedName>
    <definedName name="CRT">ListInfo!$K$15:$K$27</definedName>
    <definedName name="csvSavePath">ListInfo!$BA$3</definedName>
    <definedName name="DCK">ListInfo!$K$131:$K$137</definedName>
    <definedName name="DCR">ListInfo!$K$261:$K$262</definedName>
    <definedName name="Deatail4">ListInfo!$K$75</definedName>
    <definedName name="DefCode1">ListInfo!$I$2</definedName>
    <definedName name="DefCode2">ListInfo!$I$3</definedName>
    <definedName name="DefCode3">ListInfo!$I$4</definedName>
    <definedName name="DefCode4">ListInfo!$I$5</definedName>
    <definedName name="DefCode5">ListInfo!$I$6</definedName>
    <definedName name="DefCode6">ListInfo!$I$8:$I$33</definedName>
    <definedName name="DefCode7">ListInfo!$I$7</definedName>
    <definedName name="Detail1">ListInfo!$K$2:$K$14</definedName>
    <definedName name="Detail2">ListInfo!$K$15:$K$27</definedName>
    <definedName name="Detail3">ListInfo!$K$52:$K$75</definedName>
    <definedName name="Detail4">ListInfo!$K$28:$K$51</definedName>
    <definedName name="Detail5">ListInfo!$K$76:$K$99</definedName>
    <definedName name="Detail6">ListInfo!$K$124:$K$272</definedName>
    <definedName name="Detail7">ListInfo!$K$100:$K$123</definedName>
    <definedName name="dhoge">ListInfo!$I$5</definedName>
    <definedName name="dmoge">ListInfo!$G$15:$G$17</definedName>
    <definedName name="DSH">ListInfo!$K$257:$K$260</definedName>
    <definedName name="ehoge">ListInfo!$I$6</definedName>
    <definedName name="ELC">ListInfo!$K$232:$K$239</definedName>
    <definedName name="emoge">ListInfo!$G$19:$G$22</definedName>
    <definedName name="ext">ListInfo!$AH$2:$AH$8</definedName>
    <definedName name="FFA">ListInfo!$K$158</definedName>
    <definedName name="fhoge">ListInfo!$I$8:$I$33</definedName>
    <definedName name="FitUnfit">ListInfo!$W$2:$W$4</definedName>
    <definedName name="fmoge">ListInfo!$G$24:$G$25</definedName>
    <definedName name="fullDefCode">ListInfo!$I$1:$I$33</definedName>
    <definedName name="fullList">ListInfo!$K$1:$K$272</definedName>
    <definedName name="GEN">ListInfo!$K$179:$K$193</definedName>
    <definedName name="ghoge">ListInfo!$I$7</definedName>
    <definedName name="gmoge">ListInfo!$G$27:$G$30</definedName>
    <definedName name="HAC">ListInfo!$K$230</definedName>
    <definedName name="IGS">ListInfo!$K$251:$K$256</definedName>
    <definedName name="ILL">ListInfo!$K$268:$K$272</definedName>
    <definedName name="INJ">ListInfo!$K$263:$K$267</definedName>
    <definedName name="Inspector1">ListInfo!$G$2:$G$9</definedName>
    <definedName name="Inspector2">ListInfo!$G$10:$G$13</definedName>
    <definedName name="Inspector3">ListInfo!$G$14</definedName>
    <definedName name="Inspector4">ListInfo!$G$15:$G$17</definedName>
    <definedName name="Inspector5">ListInfo!$G$18:$G$22</definedName>
    <definedName name="Inspector6">ListInfo!$G$23:$G$25</definedName>
    <definedName name="Inspector7">ListInfo!$G$26:$G$30</definedName>
    <definedName name="LLE">ListInfo!$K$156</definedName>
    <definedName name="LSA">ListInfo!$K$157</definedName>
    <definedName name="MacBrk">ListInfo!$M$2:$M$3</definedName>
    <definedName name="MajMin">ListInfo!$Y$2:$Y$3</definedName>
    <definedName name="MEN">ListInfo!$K$161:$K$178</definedName>
    <definedName name="MMS">ListInfo!$K$52:$K$75</definedName>
    <definedName name="MPR">ListInfo!$K$222:$K$229</definedName>
    <definedName name="NEQ">ListInfo!$K$148:$K$152</definedName>
    <definedName name="NIL">ListInfo!$K$263</definedName>
    <definedName name="ODD">ListInfo!$K$160</definedName>
    <definedName name="orgcode">DRSEND!$A$7</definedName>
    <definedName name="OTR">ListInfo!$K$100:$K$123</definedName>
    <definedName name="PAE">ListInfo!$K$231</definedName>
    <definedName name="pasteline">DRSEND!$A$8</definedName>
    <definedName name="PAV">ListInfo!$K$159</definedName>
    <definedName name="_xlnm.Print_Area" localSheetId="0">DRSEND!$A$1:$AE$6</definedName>
    <definedName name="PSC">ListInfo!$K$28:$K$51</definedName>
    <definedName name="Reason">ListInfo!$AA$2:$AA$8</definedName>
    <definedName name="RepBy">ListInfo!$D$2:$D$8</definedName>
    <definedName name="severity">ListInfo!$AY$2:$AY$6</definedName>
    <definedName name="SHF">ListInfo!$K$240:$K$245</definedName>
    <definedName name="shipname">ListInfo!$N$5:$N$101</definedName>
    <definedName name="Status">ListInfo!$AD$2:$AD$3</definedName>
    <definedName name="STR">ListInfo!$K$246:$K$250</definedName>
    <definedName name="threelettershipcode">ListInfo!$AN$2:$AN$69</definedName>
    <definedName name="vesseldata">ListInfo!$N$5:$Q$101</definedName>
    <definedName name="VET">ListInfo!$K$2:$K$14</definedName>
    <definedName name="vettingeq">ListInfo!$AQ$2:$AS$38</definedName>
    <definedName name="WAR">ListInfo!$K$153:$K$155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 i="9" l="1"/>
  <c r="C5" i="9"/>
  <c r="C2" i="9"/>
  <c r="C3" i="9"/>
  <c r="AW7" i="9" l="1"/>
  <c r="AX7" i="9"/>
  <c r="AY7" i="9"/>
  <c r="AV7" i="9"/>
  <c r="L7" i="9"/>
  <c r="J7" i="9"/>
  <c r="F7" i="9"/>
  <c r="E7" i="9"/>
  <c r="AU7" i="9" l="1"/>
</calcChain>
</file>

<file path=xl/sharedStrings.xml><?xml version="1.0" encoding="utf-8"?>
<sst xmlns="http://schemas.openxmlformats.org/spreadsheetml/2006/main" count="1408" uniqueCount="1110">
  <si>
    <t>NG</t>
  </si>
  <si>
    <t>S1 Maintenance Deficiency</t>
  </si>
  <si>
    <t>S2 Improper Handling</t>
  </si>
  <si>
    <t>S3 Lack of Knowledge</t>
  </si>
  <si>
    <t>S6 Material/Process</t>
  </si>
  <si>
    <t>S7 Others</t>
  </si>
  <si>
    <t>Root cause</t>
  </si>
  <si>
    <t>ACC Accident</t>
  </si>
  <si>
    <t>NEQ Nav. Equipment</t>
  </si>
  <si>
    <t>WAR Wire &amp; Rope</t>
  </si>
  <si>
    <t>LLE Load Line Equipment</t>
  </si>
  <si>
    <t>LSA Life Saving Appliance</t>
  </si>
  <si>
    <t>FFA Fire Fighting Appliance</t>
  </si>
  <si>
    <t>ODD Others Deck dept.</t>
  </si>
  <si>
    <t>MEN M/E</t>
  </si>
  <si>
    <t>GEN G/E</t>
  </si>
  <si>
    <t>BLR Boiler</t>
  </si>
  <si>
    <t>AEQ Aux. Equipment</t>
  </si>
  <si>
    <t>HAC Heater and Cooler (Except M/E &amp; G/E)</t>
  </si>
  <si>
    <t>ELC Electric</t>
  </si>
  <si>
    <t>SHF Shaft</t>
  </si>
  <si>
    <t>STR Steering</t>
  </si>
  <si>
    <t>IGS IG System</t>
  </si>
  <si>
    <t>DSH Documents Ship</t>
  </si>
  <si>
    <t>DCR Documents Crew</t>
  </si>
  <si>
    <t>ILL Crew Illness</t>
  </si>
  <si>
    <t>VET02 Certification and Documentation</t>
  </si>
  <si>
    <t>VET03 Crew Management</t>
  </si>
  <si>
    <t>VET05 Safety Management</t>
  </si>
  <si>
    <t>VET06 Pollution Prevention</t>
  </si>
  <si>
    <t>VET08 Cargo and Ballast Systems</t>
  </si>
  <si>
    <t>VET09 Mooring</t>
  </si>
  <si>
    <t>PSC02 Crew</t>
  </si>
  <si>
    <t>PSC04 Food and Catering</t>
  </si>
  <si>
    <t>PSC05 Working Space</t>
  </si>
  <si>
    <t>PSC06 Life Saving Appliances</t>
  </si>
  <si>
    <t>PSC07 Fire Fighting Appliances</t>
  </si>
  <si>
    <t>PSC08 Accident Prevention</t>
  </si>
  <si>
    <t>PSC09 Safety in General</t>
  </si>
  <si>
    <t>PSC10 Alarms - signals</t>
  </si>
  <si>
    <t>PSC11 Cargo</t>
  </si>
  <si>
    <t>PSC12 Load Lines</t>
  </si>
  <si>
    <t>PSC13 Mooring Arrangements</t>
  </si>
  <si>
    <t>PSC14 Propulsion &amp; Aux. Machinery</t>
  </si>
  <si>
    <t>PSC15 Navigation</t>
  </si>
  <si>
    <t>PSC16 Radio</t>
  </si>
  <si>
    <t>PSC17 Marine Pollution - Annex I</t>
  </si>
  <si>
    <t>PSC18 Tankers (def. Specify for)</t>
  </si>
  <si>
    <t>PSC19 Marine Pollution - Annex II</t>
  </si>
  <si>
    <t>PSC20 SOLAS Related Operational</t>
  </si>
  <si>
    <t>PSC21 MARPOL Related Operational</t>
  </si>
  <si>
    <t>PSC22 Marine Pollution - Annex III</t>
  </si>
  <si>
    <t>PSC23 Other</t>
  </si>
  <si>
    <t>ACC01 Collision</t>
  </si>
  <si>
    <t>ACC02 Fire</t>
  </si>
  <si>
    <t>ACC03 Oil Spill</t>
  </si>
  <si>
    <t>ACC04 Grounding</t>
  </si>
  <si>
    <t>ACC05 Bottom Touch</t>
  </si>
  <si>
    <t>ACC06 Contact Berth and foreign object</t>
  </si>
  <si>
    <t>ACC07 Hull Structure</t>
  </si>
  <si>
    <t>DCK03 Hatch Cover Opening system(Bulker,WCC)</t>
  </si>
  <si>
    <t>DCK04 Deck Crane (Bulker, WCC)</t>
  </si>
  <si>
    <t>DCK05 Hose Handling Crane (Tanker)</t>
  </si>
  <si>
    <t>DCK06 Other Cranes.</t>
  </si>
  <si>
    <t>DCK07 Grabs (Bulker, WCC)</t>
  </si>
  <si>
    <t>CRG02 C.O.P (Tanker)</t>
  </si>
  <si>
    <t>CRG03 Ballast Pump (Tanker)</t>
  </si>
  <si>
    <t>CRG04 AUS (Tanker)</t>
  </si>
  <si>
    <t>CRG05 ODMCS (Tanker)</t>
  </si>
  <si>
    <t>CRG06 Cargo Operation system(Tanker)</t>
  </si>
  <si>
    <t>CRG08 Loading Computer</t>
  </si>
  <si>
    <t>CRG09 Hold Fan (PCC)</t>
  </si>
  <si>
    <t>NEQ01 Steering Gear Auto Pilot</t>
  </si>
  <si>
    <t>NEQ02 Gyro Compass</t>
  </si>
  <si>
    <t>NEQ03 Speed Log</t>
  </si>
  <si>
    <t>NEQ04 Others of Navigation Equipments</t>
  </si>
  <si>
    <t>NEQ05 Radio Equipments</t>
  </si>
  <si>
    <t>WAR01 Mooring Wires and Hawsers</t>
  </si>
  <si>
    <t>WAR02 Cargo Wire and Rope</t>
  </si>
  <si>
    <t>WAR03 Other Wire and Rope</t>
  </si>
  <si>
    <t>LLE01 Load Line Equipment</t>
  </si>
  <si>
    <t>LSA01 Life Saving Appliance</t>
  </si>
  <si>
    <t>PAV01 Piping and Valves all Kinds(Except E/R)</t>
  </si>
  <si>
    <t>ODD01 Others Deck dept related</t>
  </si>
  <si>
    <t>MEN01 ME cyl Cover</t>
  </si>
  <si>
    <t>MEN02 ME Liner</t>
  </si>
  <si>
    <t>MEN03 ME Piston</t>
  </si>
  <si>
    <t>MEN04 ME Bearings</t>
  </si>
  <si>
    <t>MEN05 ME Fuel Injector</t>
  </si>
  <si>
    <t>MEN06 ME Starting valve</t>
  </si>
  <si>
    <t>MEN07 ME Safety valve</t>
  </si>
  <si>
    <t>MEN08 ME Exhaust valve</t>
  </si>
  <si>
    <t>MEN09 ME F.O Injection Pump</t>
  </si>
  <si>
    <t>MEN10 ME Indicator valve</t>
  </si>
  <si>
    <t>MEN11 ME Turbo charger</t>
  </si>
  <si>
    <t>MEN12 ME Aux. Blower</t>
  </si>
  <si>
    <t>MEN13 ME Air inter cooler</t>
  </si>
  <si>
    <t>MEN14 ME Governor</t>
  </si>
  <si>
    <t>MEN15 ME Control system (Electrical)</t>
  </si>
  <si>
    <t>MEN17 ME Construction</t>
  </si>
  <si>
    <t>MEN18 ME Others</t>
  </si>
  <si>
    <t>GEN01 GE cyl Cover</t>
  </si>
  <si>
    <t>GEN02 GE cyl Liner</t>
  </si>
  <si>
    <t>GEN03 GE Piston</t>
  </si>
  <si>
    <t>GEN04 GE Bearings</t>
  </si>
  <si>
    <t>GEN05 GE Fuel Injector</t>
  </si>
  <si>
    <t>GEN06 GE Starting v/v and devices</t>
  </si>
  <si>
    <t>GEN07 GE Safety Valve</t>
  </si>
  <si>
    <t>GEN08 GE Exh, and Intake valve</t>
  </si>
  <si>
    <t>GEN09 GE Exhaust valve</t>
  </si>
  <si>
    <t>GEN10 GE F.O Injection Pump</t>
  </si>
  <si>
    <t>GEN11 GE Governor</t>
  </si>
  <si>
    <t>GEN12 GE Turbo charger</t>
  </si>
  <si>
    <t>GEN13 GE Air intercooler</t>
  </si>
  <si>
    <t>GEN15 GE Others</t>
  </si>
  <si>
    <t>BLR01 Boiler construction</t>
  </si>
  <si>
    <t>BLR02 Safety valve and mounting valves</t>
  </si>
  <si>
    <t>BLR03 Burner units</t>
  </si>
  <si>
    <t>BLR04 ACC related</t>
  </si>
  <si>
    <t>BLR05 F.D.Fan</t>
  </si>
  <si>
    <t>BLR06 Water Gauge and other fittings</t>
  </si>
  <si>
    <t>BLR07 Boiler Others</t>
  </si>
  <si>
    <t>AEQ01 Air Compressor cyl cover ,Liner &amp; Piston</t>
  </si>
  <si>
    <t>AEQ02 HP &amp; LP valves</t>
  </si>
  <si>
    <t>AEQ03 Unloader system</t>
  </si>
  <si>
    <t>AEQ04 Safety devices</t>
  </si>
  <si>
    <t>AEQ06 Air compressor Others</t>
  </si>
  <si>
    <t>AEQ10 Air Cond, Heating unit</t>
  </si>
  <si>
    <t>AEQ12 FWG, Evaporator</t>
  </si>
  <si>
    <t>AEQ14 FWG, Ejector Pump</t>
  </si>
  <si>
    <t>AEQ15 FWG, Water Ejector</t>
  </si>
  <si>
    <t>AEQ16 FWG, Others</t>
  </si>
  <si>
    <t>AEQ17 Purifier, Construction</t>
  </si>
  <si>
    <t>AEQ20 Purifier, Others</t>
  </si>
  <si>
    <t>MPR01 Bilge separator</t>
  </si>
  <si>
    <t>MPR02 OCM</t>
  </si>
  <si>
    <t>MPR03 Bilge Separator. Others.</t>
  </si>
  <si>
    <t>MPR04 Incinerator, Burner Unit</t>
  </si>
  <si>
    <t>MPR05 Incinerator, Furnace</t>
  </si>
  <si>
    <t>MPR06 Incinerator, Safety devices</t>
  </si>
  <si>
    <t>MPR07 Incinerator Operation system</t>
  </si>
  <si>
    <t>MPR08 Incinerator, Others</t>
  </si>
  <si>
    <t>HAC01 Heater and Cooler (except ME &amp; GE)</t>
  </si>
  <si>
    <t>PAE01 Piping &amp; Valves. (E/R)</t>
  </si>
  <si>
    <t>ELC01 Electrical- Main switch board</t>
  </si>
  <si>
    <t>ELC02 Electrical-Other switch board</t>
  </si>
  <si>
    <t>ELC03 Electrical Wiring (Power and Lighting)</t>
  </si>
  <si>
    <t>ELC04 Electrical control &amp; operation system</t>
  </si>
  <si>
    <t>ELC05 Alarm system</t>
  </si>
  <si>
    <t>ELC07 Motors</t>
  </si>
  <si>
    <t>ELC08 Electrical Others</t>
  </si>
  <si>
    <t>SHF01 Shafting, Propeller</t>
  </si>
  <si>
    <t>SHF02 Shafting, Tail shaft</t>
  </si>
  <si>
    <t>SHF03 Shafting, Intermediate shaft</t>
  </si>
  <si>
    <t>SHF04 Shafting, Intermediate Bearing</t>
  </si>
  <si>
    <t>SHF05 Shafting, Sealing device</t>
  </si>
  <si>
    <t>SHF06 Shafting, Others</t>
  </si>
  <si>
    <t>IGS01 IGS-Blower</t>
  </si>
  <si>
    <t>IGS02 IGS-Piping and valves</t>
  </si>
  <si>
    <t>IGS03 IGS-Safety devices</t>
  </si>
  <si>
    <t>IGS04 IGS-Operation system</t>
  </si>
  <si>
    <t>IGS05 PV valves, Scrubber.etc</t>
  </si>
  <si>
    <t>IGS06 IGS-Others</t>
  </si>
  <si>
    <t>DSH02 Circular</t>
  </si>
  <si>
    <t>DSH03 SQEMS Documents</t>
  </si>
  <si>
    <t>DSH04 Other</t>
  </si>
  <si>
    <t>DCR02 Other</t>
  </si>
  <si>
    <t>S5 Design Deficient</t>
  </si>
  <si>
    <t>PSC03 Accommodation</t>
  </si>
  <si>
    <t>INJ Crew Injury</t>
  </si>
  <si>
    <t>MMS03 Accommodation</t>
  </si>
  <si>
    <t>CLS03 Accommodation</t>
  </si>
  <si>
    <t>DCK01 Windlass (Inc Hydro system)</t>
  </si>
  <si>
    <t>DCK02 Winch (Inc Hydro system)</t>
  </si>
  <si>
    <t>CRG01 Unloader system (WCC)</t>
  </si>
  <si>
    <t>CRG07 Cargo Monitoring system(Tanker)</t>
  </si>
  <si>
    <t>CRG10 Car Ramp Related</t>
  </si>
  <si>
    <t>FFA01 Fire Fighting Appliance</t>
  </si>
  <si>
    <t>MEN16 ME control system (Air)</t>
  </si>
  <si>
    <t>GEN14 GE Operation mechanism (Air &amp; Electrical)</t>
  </si>
  <si>
    <t>AEQ05 Operation mechanism</t>
  </si>
  <si>
    <t>AEQ07 Reefer &amp; Air Cond, and ECR A/C Compressor</t>
  </si>
  <si>
    <t>AEQ08 Reefer &amp; Air Cond, and ECR safety devices</t>
  </si>
  <si>
    <t>AEQ09 Reefer &amp; Air Cond, and ECR Lines</t>
  </si>
  <si>
    <t>AEQ11 Reefer &amp; Air Cond, and ECR A/C Others</t>
  </si>
  <si>
    <t>AEQ13 FWG, Condenser</t>
  </si>
  <si>
    <t>AEQ18 Purifier, Safety Devices</t>
  </si>
  <si>
    <t>AEQ19 Purifier, Operation system</t>
  </si>
  <si>
    <t>AEQ21 Pumps, except Hydro pump</t>
  </si>
  <si>
    <t>ELC06 Monitoring system</t>
  </si>
  <si>
    <t>DSH01 Trading Certificate</t>
  </si>
  <si>
    <t>DCR01 License &amp; Certificate</t>
  </si>
  <si>
    <t>TC1996001</t>
  </si>
  <si>
    <t>TM HARMONY</t>
  </si>
  <si>
    <t>TC1999002</t>
  </si>
  <si>
    <t>TAKASE</t>
  </si>
  <si>
    <t>TC2003003</t>
  </si>
  <si>
    <t>SINGAPORE VOYAGER</t>
  </si>
  <si>
    <t>TP1997001</t>
  </si>
  <si>
    <t>TP2000003</t>
  </si>
  <si>
    <t>MIKOM BRAVE</t>
  </si>
  <si>
    <t>TP2003004</t>
  </si>
  <si>
    <t>SILVER LINING</t>
  </si>
  <si>
    <t>CB1995002</t>
  </si>
  <si>
    <t>ATOYAC</t>
  </si>
  <si>
    <t>CB1999003</t>
  </si>
  <si>
    <t>SPRINGDRAKE</t>
  </si>
  <si>
    <t>CB2003004</t>
  </si>
  <si>
    <t>TRITON EAGLE</t>
  </si>
  <si>
    <t>CB2001009</t>
  </si>
  <si>
    <t>PAX PHOENIX</t>
  </si>
  <si>
    <t>CB2002010</t>
  </si>
  <si>
    <t>LEGEND PHOENIX</t>
  </si>
  <si>
    <t>CP1983002</t>
  </si>
  <si>
    <t>OCEAN ACE</t>
  </si>
  <si>
    <t>CP1977003</t>
  </si>
  <si>
    <t>OLIVE ACE</t>
  </si>
  <si>
    <t>CP1983004</t>
  </si>
  <si>
    <t>PALMA</t>
  </si>
  <si>
    <t>CP1996005</t>
  </si>
  <si>
    <t>LUMINOUS ACE</t>
  </si>
  <si>
    <t>CP2000006</t>
  </si>
  <si>
    <t>COMET ACE</t>
  </si>
  <si>
    <t>CP1980007</t>
  </si>
  <si>
    <t>SOUTHERN ACE</t>
  </si>
  <si>
    <t>CP2003008</t>
  </si>
  <si>
    <t>PROGRESS ACE</t>
  </si>
  <si>
    <t>CW1998001</t>
  </si>
  <si>
    <t>DAIO CREACION</t>
  </si>
  <si>
    <t>CW1996002</t>
  </si>
  <si>
    <t>DAIO COPIHUE</t>
  </si>
  <si>
    <t>CW1994003</t>
  </si>
  <si>
    <t>SALIGNA</t>
  </si>
  <si>
    <t>TP2005001</t>
  </si>
  <si>
    <t>Challenge Plus</t>
  </si>
  <si>
    <t>TC2006001</t>
  </si>
  <si>
    <t>Esteem Brilliance</t>
  </si>
  <si>
    <t>TC2004001</t>
  </si>
  <si>
    <t>Esteem Splendour</t>
  </si>
  <si>
    <t>TC2004002</t>
  </si>
  <si>
    <t>Eternal Diligence</t>
  </si>
  <si>
    <t>TC2004003</t>
  </si>
  <si>
    <t>Eternal Pride</t>
  </si>
  <si>
    <t>TC2004004</t>
  </si>
  <si>
    <t>Tokio</t>
  </si>
  <si>
    <t>TC2007001</t>
  </si>
  <si>
    <t>Taiga</t>
  </si>
  <si>
    <t>CB2005001</t>
  </si>
  <si>
    <t>Fleet Phoenix</t>
  </si>
  <si>
    <t>CB2004001</t>
  </si>
  <si>
    <t>Gaia Celeris</t>
  </si>
  <si>
    <t>CB2001001</t>
  </si>
  <si>
    <t>Ken Goh</t>
  </si>
  <si>
    <t>CB1997001</t>
  </si>
  <si>
    <t>Ken San</t>
  </si>
  <si>
    <t>CB2006001</t>
  </si>
  <si>
    <t>Ken Un</t>
  </si>
  <si>
    <t>CP2004001</t>
  </si>
  <si>
    <t>Paradise Ace</t>
  </si>
  <si>
    <t>CW1994001</t>
  </si>
  <si>
    <t>Siam Ocean</t>
  </si>
  <si>
    <t>OPEN</t>
  </si>
  <si>
    <t>N/A</t>
  </si>
  <si>
    <t>Astro Venus</t>
  </si>
  <si>
    <t>CP1982001</t>
  </si>
  <si>
    <t>Challenge Pacific</t>
  </si>
  <si>
    <t>TP2007001</t>
  </si>
  <si>
    <t>Nord Annapolis</t>
  </si>
  <si>
    <t>CW1995001</t>
  </si>
  <si>
    <t>CHIJIN</t>
  </si>
  <si>
    <t>MAERSK MISUMI</t>
  </si>
  <si>
    <t>TP2008001</t>
  </si>
  <si>
    <t>CP1982002</t>
  </si>
  <si>
    <t>Crystal Pioneer</t>
  </si>
  <si>
    <t>CW2008001</t>
  </si>
  <si>
    <t xml:space="preserve">Eagle Sapporo </t>
  </si>
  <si>
    <t>TC2008001</t>
  </si>
  <si>
    <t>Maersk Matsuyama</t>
  </si>
  <si>
    <t>TP2008002</t>
  </si>
  <si>
    <t>Tsushima</t>
  </si>
  <si>
    <t>TC2008002</t>
  </si>
  <si>
    <t>TG2009001</t>
  </si>
  <si>
    <t>CLIPPER POLARIS</t>
  </si>
  <si>
    <t>CB2009001</t>
  </si>
  <si>
    <t>CP2009001</t>
  </si>
  <si>
    <t>FREJA NORDICA</t>
  </si>
  <si>
    <t>TP2010002</t>
  </si>
  <si>
    <t>FREJA SCANDIA</t>
  </si>
  <si>
    <t>TP2010001</t>
  </si>
  <si>
    <t>OCEAN CHALLENGER</t>
  </si>
  <si>
    <t>CP2009002</t>
  </si>
  <si>
    <t>OCEAN PHOENIX</t>
  </si>
  <si>
    <t>CB2009002</t>
  </si>
  <si>
    <t>GLOBAL PHOENIX</t>
  </si>
  <si>
    <t>CB2010001</t>
  </si>
  <si>
    <t>0</t>
  </si>
  <si>
    <t>Last Check:</t>
  </si>
  <si>
    <t>Ship Code:</t>
  </si>
  <si>
    <t>Report Date:</t>
  </si>
  <si>
    <t>Last Import:</t>
  </si>
  <si>
    <t>Master:</t>
  </si>
  <si>
    <t>COMPANY USE ONLY</t>
  </si>
  <si>
    <t>Code</t>
  </si>
  <si>
    <t>Date Occurred</t>
  </si>
  <si>
    <t>Serial Number</t>
  </si>
  <si>
    <t>Reported by</t>
  </si>
  <si>
    <t>Inspector
/Auditor</t>
  </si>
  <si>
    <t>Detail of Inspector, etc.</t>
  </si>
  <si>
    <t>Deficiency Code</t>
  </si>
  <si>
    <t>Detail of Item</t>
  </si>
  <si>
    <t>Dose this report include machinery/ equipment breakdown, malfunction or trouble?
(Yes/No)</t>
  </si>
  <si>
    <t>Detail of NC
(Description)</t>
  </si>
  <si>
    <t>Estimated cause by Ship</t>
  </si>
  <si>
    <t>Remedial Action by ship</t>
  </si>
  <si>
    <t>Date of Remedial Action taken</t>
  </si>
  <si>
    <t>Target date
(if any)</t>
  </si>
  <si>
    <t>Follow up Action by ship</t>
  </si>
  <si>
    <t>Date of Follow up Action</t>
  </si>
  <si>
    <t>Lost Time Injury
(Hours)</t>
  </si>
  <si>
    <t>Stoppage Time
(Hours)</t>
  </si>
  <si>
    <t>Fit 
or
Unfit</t>
  </si>
  <si>
    <t>Evaluation by the Company</t>
  </si>
  <si>
    <t>Major/Minor</t>
  </si>
  <si>
    <t>Reason</t>
  </si>
  <si>
    <t>Corrective Action</t>
  </si>
  <si>
    <t>Date of Completion of Corrective Action</t>
  </si>
  <si>
    <t>Status</t>
  </si>
  <si>
    <t>Verification by Company</t>
  </si>
  <si>
    <t>STR01 Steering- Hydro Pump</t>
  </si>
  <si>
    <t>STR02 Steering- Hydro Cylinder</t>
  </si>
  <si>
    <t>STR03 Steering- Rudder</t>
  </si>
  <si>
    <t>STR04 Steering-Hydro pipings</t>
  </si>
  <si>
    <t>STR05 Steering-Others</t>
  </si>
  <si>
    <t>OTR01 Ship's Certs and docs</t>
  </si>
  <si>
    <t>CLS01 Ship's Certs and docs</t>
  </si>
  <si>
    <t>MMS01 Ship's Certs and docs</t>
  </si>
  <si>
    <t>PSC01 Ship's Certs and docs</t>
  </si>
  <si>
    <t>A Vetting</t>
  </si>
  <si>
    <t>A1 EXON</t>
  </si>
  <si>
    <t>VET Vetting</t>
  </si>
  <si>
    <t>VET01 General Information</t>
  </si>
  <si>
    <t>YES</t>
  </si>
  <si>
    <t>Major</t>
  </si>
  <si>
    <t>B Charterer</t>
  </si>
  <si>
    <t>A2 SHELL</t>
  </si>
  <si>
    <t>CRT Charterer</t>
  </si>
  <si>
    <t>NO</t>
  </si>
  <si>
    <t>Fit</t>
  </si>
  <si>
    <t>Minor</t>
  </si>
  <si>
    <t>CLOSE</t>
  </si>
  <si>
    <t>AMITY ACE</t>
  </si>
  <si>
    <t>CP1981001</t>
  </si>
  <si>
    <t>C MMS</t>
  </si>
  <si>
    <t>A3 CHEVRON</t>
  </si>
  <si>
    <t>MMS MMS</t>
  </si>
  <si>
    <t>Unfit</t>
  </si>
  <si>
    <t>ASIAN PIONEER</t>
  </si>
  <si>
    <t>CB2007002</t>
  </si>
  <si>
    <t>D PSC</t>
  </si>
  <si>
    <t>A4 BP</t>
  </si>
  <si>
    <t>PSC Port States Control</t>
  </si>
  <si>
    <t>E Class</t>
  </si>
  <si>
    <t>A5 BHP</t>
  </si>
  <si>
    <t>CLS Class</t>
  </si>
  <si>
    <t>F Vessel</t>
  </si>
  <si>
    <t>A6 PETRONAS</t>
  </si>
  <si>
    <t>OTR Other</t>
  </si>
  <si>
    <t>BW TOKYO</t>
  </si>
  <si>
    <t>G Other</t>
  </si>
  <si>
    <t>A7 TOTAL</t>
  </si>
  <si>
    <t>A8 OTHERS</t>
  </si>
  <si>
    <t>B1 NYK</t>
  </si>
  <si>
    <t>B2 MOL</t>
  </si>
  <si>
    <t>B3 OTHERS</t>
  </si>
  <si>
    <t>C1 S.I.</t>
  </si>
  <si>
    <t>D1 USCG</t>
  </si>
  <si>
    <t>VET13 Nil</t>
  </si>
  <si>
    <t>D2 AMSA</t>
  </si>
  <si>
    <t>CRT01 General Information</t>
  </si>
  <si>
    <t>D3 OTHERS</t>
  </si>
  <si>
    <t>CRT02 Certification and Documentation</t>
  </si>
  <si>
    <t>E1 NKK</t>
  </si>
  <si>
    <t>CRT03 Crew Management</t>
  </si>
  <si>
    <t>E2 LR</t>
  </si>
  <si>
    <t>ESTEEM GRANDEUR</t>
  </si>
  <si>
    <t>E3 ABS</t>
  </si>
  <si>
    <t>CRT05 Safety Management</t>
  </si>
  <si>
    <t>E4 OTEHRS</t>
  </si>
  <si>
    <t>CRT06 Pollution Prevention</t>
  </si>
  <si>
    <t>F1 MASTER</t>
  </si>
  <si>
    <t>F2 OTHERS</t>
  </si>
  <si>
    <t>MPR MARPOL</t>
  </si>
  <si>
    <t>CRT08 Cargo and Ballast Systems</t>
  </si>
  <si>
    <t>G1 QUARANTINE</t>
  </si>
  <si>
    <t>CRT09 Mooring</t>
  </si>
  <si>
    <t>G2 MARITIME POLICE</t>
  </si>
  <si>
    <t>G3 DEPT OF ECOLOGY</t>
  </si>
  <si>
    <t>G4 OTHERS</t>
  </si>
  <si>
    <t>CB2007001</t>
  </si>
  <si>
    <t>QUEEN SAPPHIRE</t>
  </si>
  <si>
    <t>SOUTHERN STAR</t>
  </si>
  <si>
    <t>CW2007001</t>
  </si>
  <si>
    <t>PSC24 Nil</t>
  </si>
  <si>
    <t>STELLA MARIS</t>
  </si>
  <si>
    <t>CB2007003</t>
  </si>
  <si>
    <t>MMS02 Crew</t>
  </si>
  <si>
    <t>MMS04 Food and Catering</t>
  </si>
  <si>
    <t>MMS05 Working Space</t>
  </si>
  <si>
    <t>MMS06 Life Saving Appliances</t>
  </si>
  <si>
    <t>MMS07 Fire Fighting Appliances</t>
  </si>
  <si>
    <t>MMS08 Accident Prevention</t>
  </si>
  <si>
    <t>WORLD SWAN</t>
  </si>
  <si>
    <t>MMS09 Safety in General</t>
  </si>
  <si>
    <t>MMS10 Alarms - signals</t>
  </si>
  <si>
    <t>MMS11 Cargo</t>
  </si>
  <si>
    <t>MMS12 Load Lines</t>
  </si>
  <si>
    <t>MMS13 Mooring Arrangements</t>
  </si>
  <si>
    <t>MMS14 Propulsion &amp; Aux. Machinery</t>
  </si>
  <si>
    <t>MMS15 Navigation</t>
  </si>
  <si>
    <t>MMS16 Radio</t>
  </si>
  <si>
    <t>MMS17 Marine Pollution - Annex I</t>
  </si>
  <si>
    <t>MMS18 Tankers (def. Specify for)</t>
  </si>
  <si>
    <t>MMS19 Marine Pollution - Annex II</t>
  </si>
  <si>
    <t>MMS20 SOLAS Related Operational</t>
  </si>
  <si>
    <t>MMS21 MARPOL Related Operational</t>
  </si>
  <si>
    <t>MMS22 Marine Pollution - Annex III</t>
  </si>
  <si>
    <t>MMS23 Other</t>
  </si>
  <si>
    <t>CLS02 Crew</t>
  </si>
  <si>
    <t>CLS04 Food and Catering</t>
  </si>
  <si>
    <t>CLS05 Working Space</t>
  </si>
  <si>
    <t>CLS06 Life Saving Appliances</t>
  </si>
  <si>
    <t>CLS07 Fire Fighting Appliances</t>
  </si>
  <si>
    <t>CLS08 Accident Prevention</t>
  </si>
  <si>
    <t>CLS09 Safety in General</t>
  </si>
  <si>
    <t>CLS10 Alarms - signals</t>
  </si>
  <si>
    <t>CLS11 Cargo</t>
  </si>
  <si>
    <t>CLS12 Load Lines</t>
  </si>
  <si>
    <t>CLS13 Mooring Arrangements</t>
  </si>
  <si>
    <t>CLS14 Propulsion &amp; Aux. Machinery</t>
  </si>
  <si>
    <t>CLS15 Navigation</t>
  </si>
  <si>
    <t>CLS16 Radio</t>
  </si>
  <si>
    <t>CLS17 Marine Pollution - Annex I</t>
  </si>
  <si>
    <t>CLS18 Tankers (def. Specify for)</t>
  </si>
  <si>
    <t>CLS19 Marine Pollution - Annex II</t>
  </si>
  <si>
    <t>CLS20 SOLAS Related Operational</t>
  </si>
  <si>
    <t>CLS21 MARPOL Related Operational</t>
  </si>
  <si>
    <t>CLS22 Marine Pollution - Annex III</t>
  </si>
  <si>
    <t>CLS23 Other</t>
  </si>
  <si>
    <t>CLS24 Nil</t>
  </si>
  <si>
    <t>OTR02 Crew</t>
  </si>
  <si>
    <t>OTR03 Accommodation</t>
  </si>
  <si>
    <t>OTR04 Food and Catering</t>
  </si>
  <si>
    <t>OTR05 Working Space</t>
  </si>
  <si>
    <t>OTR06 Life Saving Appliances</t>
  </si>
  <si>
    <t>OTR07 Fire Fighting Appliances</t>
  </si>
  <si>
    <t>OTR08 Accident Prevention</t>
  </si>
  <si>
    <t>OTR09 Safety in General</t>
  </si>
  <si>
    <t>OTR10 Alarms - signals</t>
  </si>
  <si>
    <t>OTR11 Cargo</t>
  </si>
  <si>
    <t>OTR12 Load Lines</t>
  </si>
  <si>
    <t>OTR13 Mooring Arrangements</t>
  </si>
  <si>
    <t>OTR14 Propulsion &amp; Aux. Machinery</t>
  </si>
  <si>
    <t>OTR15 Navigation</t>
  </si>
  <si>
    <t>OTR16 Radio</t>
  </si>
  <si>
    <t>OTR17 Marine Pollution - Annex I</t>
  </si>
  <si>
    <t>OTR18 Tankers (def. Specify for)</t>
  </si>
  <si>
    <t>OTR19 Marine Pollution - Annex II</t>
  </si>
  <si>
    <t>OTR20 SOLAS Related Operational</t>
  </si>
  <si>
    <t>OTR21 MARPOL Related Operational</t>
  </si>
  <si>
    <t>OTR22 Marine Pollution - Annex III</t>
  </si>
  <si>
    <t>OTR23 Other</t>
  </si>
  <si>
    <t>OTR24 Nil</t>
  </si>
  <si>
    <t>INJ02 Lost Time Injury (LTI)</t>
  </si>
  <si>
    <t>INJ03 Restricted Work Case (RWC)</t>
  </si>
  <si>
    <t>INJ04 Medical Treatment Case (MTC)</t>
  </si>
  <si>
    <t>INJ05 First Aid Case (FAC)</t>
  </si>
  <si>
    <t>ILL01 Fatality</t>
  </si>
  <si>
    <t>ILL02 Lost Time Injury (LTI)</t>
  </si>
  <si>
    <t>ILL03 Restricted Work Case</t>
  </si>
  <si>
    <t>ILL04 Medical Treatment Case (MTC)</t>
  </si>
  <si>
    <t>ILL05 First Aid Case (FAC)</t>
  </si>
  <si>
    <t>Vessel IMO</t>
  </si>
  <si>
    <t>Delay_Vsl</t>
  </si>
  <si>
    <t>Downtime_Vsl</t>
  </si>
  <si>
    <t>Criticaleq</t>
  </si>
  <si>
    <t>Blackout</t>
  </si>
  <si>
    <t>Docking</t>
  </si>
  <si>
    <t>Dispensation</t>
  </si>
  <si>
    <t>CoC</t>
  </si>
  <si>
    <t>Brkdn_Unsch_Maint</t>
  </si>
  <si>
    <t>Downtime_Hrs</t>
  </si>
  <si>
    <t>vslIMO</t>
  </si>
  <si>
    <t>Alert</t>
  </si>
  <si>
    <t>Ship_Name</t>
  </si>
  <si>
    <t>Ship_Code</t>
  </si>
  <si>
    <t>Report_Date</t>
  </si>
  <si>
    <t>Master</t>
  </si>
  <si>
    <t>moge</t>
  </si>
  <si>
    <t>hoge</t>
  </si>
  <si>
    <t>NA</t>
  </si>
  <si>
    <t>defshort</t>
  </si>
  <si>
    <t>Sys_Code</t>
  </si>
  <si>
    <t>PSC_Code</t>
  </si>
  <si>
    <t>SIRE_Code</t>
  </si>
  <si>
    <t>SIRE_Chapter</t>
  </si>
  <si>
    <t>Ext Reason</t>
  </si>
  <si>
    <t>ext_rsn</t>
  </si>
  <si>
    <t>ext_dt</t>
  </si>
  <si>
    <t>Delay_Hrs</t>
  </si>
  <si>
    <t>Fleet_Alert</t>
  </si>
  <si>
    <t>Ver 43</t>
  </si>
  <si>
    <t>Removed RCA checkbox</t>
  </si>
  <si>
    <t>DRS_ID</t>
  </si>
  <si>
    <t>dt_ocurred</t>
  </si>
  <si>
    <t>ser_no</t>
  </si>
  <si>
    <t>rpt_by</t>
  </si>
  <si>
    <t>insp_by</t>
  </si>
  <si>
    <t>insp_detail</t>
  </si>
  <si>
    <t>def_code</t>
  </si>
  <si>
    <t>def_short</t>
  </si>
  <si>
    <t>item_code</t>
  </si>
  <si>
    <t>item_short</t>
  </si>
  <si>
    <t>brkdn_yn</t>
  </si>
  <si>
    <t>nc_detail</t>
  </si>
  <si>
    <t>est_cause_ship</t>
  </si>
  <si>
    <t>init_action_ship</t>
  </si>
  <si>
    <t>init_action_ship_dt</t>
  </si>
  <si>
    <t>target_dt</t>
  </si>
  <si>
    <t>final_action_ship</t>
  </si>
  <si>
    <t>final_action_ship_dt</t>
  </si>
  <si>
    <t>lti_hr</t>
  </si>
  <si>
    <t>stop_hr</t>
  </si>
  <si>
    <t>fit</t>
  </si>
  <si>
    <t>co_eval</t>
  </si>
  <si>
    <t>maj_min</t>
  </si>
  <si>
    <t>rca</t>
  </si>
  <si>
    <t>reason_rc</t>
  </si>
  <si>
    <t>corr_action</t>
  </si>
  <si>
    <t>done_dt</t>
  </si>
  <si>
    <t>status</t>
  </si>
  <si>
    <t>update_by</t>
  </si>
  <si>
    <t>dummy1</t>
  </si>
  <si>
    <t>dummy2</t>
  </si>
  <si>
    <t>major</t>
  </si>
  <si>
    <t>ship_name</t>
  </si>
  <si>
    <t>sys_code</t>
  </si>
  <si>
    <t>eq_code</t>
  </si>
  <si>
    <t>fleet_alert</t>
  </si>
  <si>
    <t>downtime_tf</t>
  </si>
  <si>
    <t>delay_tf</t>
  </si>
  <si>
    <t>delay_hr</t>
  </si>
  <si>
    <t>downtime_hr</t>
  </si>
  <si>
    <t>brkdn_tf</t>
  </si>
  <si>
    <t>critical_eq_tf</t>
  </si>
  <si>
    <t>blackout_tf</t>
  </si>
  <si>
    <t>docking_tf</t>
  </si>
  <si>
    <t>dispensation_tf</t>
  </si>
  <si>
    <t>coc_tf</t>
  </si>
  <si>
    <t>alert_req</t>
  </si>
  <si>
    <t>vsl_imo</t>
  </si>
  <si>
    <t>ship_drs_code</t>
  </si>
  <si>
    <t>update_dt</t>
  </si>
  <si>
    <t>capt_name</t>
  </si>
  <si>
    <t>psc_def_code</t>
  </si>
  <si>
    <t>psc_def_ch</t>
  </si>
  <si>
    <t>sire_def_ch</t>
  </si>
  <si>
    <t>sire_def_code</t>
  </si>
  <si>
    <t>Added data export to csv file</t>
  </si>
  <si>
    <t/>
  </si>
  <si>
    <t>extension date and reason</t>
  </si>
  <si>
    <t>req_num</t>
  </si>
  <si>
    <t>Others</t>
  </si>
  <si>
    <t>Under Observation</t>
  </si>
  <si>
    <t>Jobs in Progress</t>
  </si>
  <si>
    <t>Spares supply</t>
  </si>
  <si>
    <t>Awaiting opportunity</t>
  </si>
  <si>
    <t>VET07 Maritime Security</t>
  </si>
  <si>
    <t>VET10 Engine &amp; Steering Compartments</t>
  </si>
  <si>
    <t>VET11 General Appearance ^&amp; Condition</t>
  </si>
  <si>
    <t>VET12 Ice Operations</t>
  </si>
  <si>
    <t>VIQ 7 Chapters</t>
  </si>
  <si>
    <t>DCK Deck Equipment</t>
  </si>
  <si>
    <t>CRG Cargo handling system</t>
  </si>
  <si>
    <t>PAE Piping and Valves in E/R</t>
  </si>
  <si>
    <t>PAV Piping and Valves (not in E/R)</t>
  </si>
  <si>
    <t>ext_cmnt</t>
  </si>
  <si>
    <t>Requisition number to be entered in case spares or any items required</t>
  </si>
  <si>
    <t>#</t>
  </si>
  <si>
    <t>Name</t>
  </si>
  <si>
    <t>Description</t>
  </si>
  <si>
    <t>Req No.</t>
  </si>
  <si>
    <t>Target Date</t>
  </si>
  <si>
    <t>Final Action by Ship</t>
  </si>
  <si>
    <t>Immediate action taken</t>
  </si>
  <si>
    <t>The immediate or temporary action taken to rectify or mitigate the deficiency.</t>
  </si>
  <si>
    <t>Select the appropiate PSC and SIRE categories.</t>
  </si>
  <si>
    <t>Est Cause</t>
  </si>
  <si>
    <t>The estimated cause of deficiency is to be mentioned here by vessel</t>
  </si>
  <si>
    <t>Date Ocurred</t>
  </si>
  <si>
    <t>Auto-generated refrence number, but can be changed if required.</t>
  </si>
  <si>
    <t>Deficiency details</t>
  </si>
  <si>
    <t>Mention a brief description of the deficiency. Keep it short but clear.</t>
  </si>
  <si>
    <t>Form Bar</t>
  </si>
  <si>
    <t>Form Instructions</t>
  </si>
  <si>
    <t>Review and update the Open Entries and send the DR Sender to the PIC at max monthly intervals</t>
  </si>
  <si>
    <t>In  case of any errors in the sheet or data corruption please contact itsupport@mmstokyo.co.jp</t>
  </si>
  <si>
    <t>Delay to vsl</t>
  </si>
  <si>
    <t>Downtime</t>
  </si>
  <si>
    <t xml:space="preserve">Breakdown / Unscheduled </t>
  </si>
  <si>
    <t>Critical Equipment Failure</t>
  </si>
  <si>
    <t>Blackout Occured</t>
  </si>
  <si>
    <t>Docking job</t>
  </si>
  <si>
    <t>Fleet Alert Required</t>
  </si>
  <si>
    <t>Tick this if the deficiency caused any delay or stoppage in Navigation or cargo operation. Tine (in decimal hours) to be entered also.</t>
  </si>
  <si>
    <t>Tick this for the downtime when the machinery was being repaired (not available) - from start of breakdown to completion of repair. Time to be entered in decimal hours.</t>
  </si>
  <si>
    <t>Tick this for recording breakdowns or unscheduled maintenance. PMS to be updated accordingly.</t>
  </si>
  <si>
    <t xml:space="preserve">Tick this to record FAILURES of critical equipment (SMP-16-01A). </t>
  </si>
  <si>
    <t>Tick this box if the dedfect/deficiency resulted in blackout. Enter the delay and downtime ocurred.</t>
  </si>
  <si>
    <t>Tick this to record Issuance of Flag Dispensation to the vessel for any abnormal condition.</t>
  </si>
  <si>
    <t>Tick this to record CoC or Outstanding Recommendation on the vessel by Class</t>
  </si>
  <si>
    <t>Final action taken to rectify the deficiency. If Immediate action was sufficient, then this can be blank.</t>
  </si>
  <si>
    <t>Enter date when the defect happened or deficiency was noted.</t>
  </si>
  <si>
    <t>Vessel Name and other information is displayed here.</t>
  </si>
  <si>
    <t>All Deficiencies, Observations, incidents and defects to be reported via DR Sender and followed up till closure. Entries become OVERDUE if not closed within 90 days of ocurrance or exceeding 'Target Date'.</t>
  </si>
  <si>
    <t>Entries in DR Sender to be made earliest possible. Write the entry clearly and in short. Do not delete any entries in the excel sheet.</t>
  </si>
  <si>
    <t>Upon receipt of updated DR Sender from the PIC, overwrite the older file on the shared drive. Do not rename the file.</t>
  </si>
  <si>
    <t>overdue</t>
  </si>
  <si>
    <t>ATE</t>
  </si>
  <si>
    <t>African Teist</t>
  </si>
  <si>
    <t>AMB</t>
  </si>
  <si>
    <t>Am Bremen</t>
  </si>
  <si>
    <t>AQU</t>
  </si>
  <si>
    <t>Andes Queen</t>
  </si>
  <si>
    <t>BAK</t>
  </si>
  <si>
    <t>Blue Akihabara</t>
  </si>
  <si>
    <t>BPH</t>
  </si>
  <si>
    <t>Bulk Phoenix</t>
  </si>
  <si>
    <t>COP</t>
  </si>
  <si>
    <t>Coral Opal</t>
  </si>
  <si>
    <t>FTO</t>
  </si>
  <si>
    <t>Federal Tokoro</t>
  </si>
  <si>
    <t>GCO</t>
  </si>
  <si>
    <t>Global Coral</t>
  </si>
  <si>
    <t>GPH</t>
  </si>
  <si>
    <t>Global Phoenix</t>
  </si>
  <si>
    <t>GRP</t>
  </si>
  <si>
    <t>Green Phoenix</t>
  </si>
  <si>
    <t>IPH</t>
  </si>
  <si>
    <t>KGO</t>
  </si>
  <si>
    <t>KHO</t>
  </si>
  <si>
    <t>Ken Hope</t>
  </si>
  <si>
    <t>KME</t>
  </si>
  <si>
    <t>Ken Mei</t>
  </si>
  <si>
    <t>KRE</t>
  </si>
  <si>
    <t>Ken Rei</t>
  </si>
  <si>
    <t>KRU</t>
  </si>
  <si>
    <t>Ken Ryu</t>
  </si>
  <si>
    <t>KSA</t>
  </si>
  <si>
    <t>LSH</t>
  </si>
  <si>
    <t>Loch Shuna</t>
  </si>
  <si>
    <t>MHA</t>
  </si>
  <si>
    <t>Mi Harmony</t>
  </si>
  <si>
    <t>OPH</t>
  </si>
  <si>
    <t>Ocean Phoenix</t>
  </si>
  <si>
    <t>PHE</t>
  </si>
  <si>
    <t>Pacific Hero</t>
  </si>
  <si>
    <t>PBD</t>
  </si>
  <si>
    <t>Paraburdoo</t>
  </si>
  <si>
    <t>PBR</t>
  </si>
  <si>
    <t>Pavo Bright</t>
  </si>
  <si>
    <t>RWI</t>
  </si>
  <si>
    <t>Robin Wind</t>
  </si>
  <si>
    <t>SFR</t>
  </si>
  <si>
    <t>Santa Francesca</t>
  </si>
  <si>
    <t>KTO</t>
  </si>
  <si>
    <t>Ken Toku</t>
  </si>
  <si>
    <t>ASP</t>
  </si>
  <si>
    <t>Andromeda Spirit</t>
  </si>
  <si>
    <t>ALE</t>
  </si>
  <si>
    <t>Antares Leader</t>
  </si>
  <si>
    <t>CMT</t>
  </si>
  <si>
    <t>Comet Ace</t>
  </si>
  <si>
    <t>GAC</t>
  </si>
  <si>
    <t>Glorious Ace</t>
  </si>
  <si>
    <t>KLE</t>
  </si>
  <si>
    <t>Kariyushi Leader</t>
  </si>
  <si>
    <t>LMN</t>
  </si>
  <si>
    <t>Luminous Ace</t>
  </si>
  <si>
    <t>MOC</t>
  </si>
  <si>
    <t>Morning Clara</t>
  </si>
  <si>
    <t>PRD</t>
  </si>
  <si>
    <t>PRG</t>
  </si>
  <si>
    <t>Progress Ace</t>
  </si>
  <si>
    <t>BWK</t>
  </si>
  <si>
    <t>BW Kyoto</t>
  </si>
  <si>
    <t>BWT</t>
  </si>
  <si>
    <t>BW Tokyo</t>
  </si>
  <si>
    <t>EAS</t>
  </si>
  <si>
    <t>Esteem Astro</t>
  </si>
  <si>
    <t>EEX</t>
  </si>
  <si>
    <t>Esteem Explorer</t>
  </si>
  <si>
    <t>MKI</t>
  </si>
  <si>
    <t>Marvel Kite</t>
  </si>
  <si>
    <t>TGA</t>
  </si>
  <si>
    <t>TSG</t>
  </si>
  <si>
    <t>Takasago</t>
  </si>
  <si>
    <t>TMA</t>
  </si>
  <si>
    <t>Tenma</t>
  </si>
  <si>
    <t>TKO</t>
  </si>
  <si>
    <t>TSM</t>
  </si>
  <si>
    <t>ADA</t>
  </si>
  <si>
    <t>Argent Daisy</t>
  </si>
  <si>
    <t>CMA</t>
  </si>
  <si>
    <t>Centennial Matsuyama</t>
  </si>
  <si>
    <t>CMI</t>
  </si>
  <si>
    <t>Centennial Misumi</t>
  </si>
  <si>
    <t>CPR</t>
  </si>
  <si>
    <t>Challenge Prospect II</t>
  </si>
  <si>
    <t>CJA</t>
  </si>
  <si>
    <t>Crimson Jade</t>
  </si>
  <si>
    <t>CPE</t>
  </si>
  <si>
    <t>Crimson Pearl</t>
  </si>
  <si>
    <t>EME</t>
  </si>
  <si>
    <t>Eagle Melbourne</t>
  </si>
  <si>
    <t>ESA</t>
  </si>
  <si>
    <t>Eagle Sapporo</t>
  </si>
  <si>
    <t>EBR</t>
  </si>
  <si>
    <t>EDI</t>
  </si>
  <si>
    <t>GHA</t>
  </si>
  <si>
    <t>GKI</t>
  </si>
  <si>
    <t>Ginga Kite</t>
  </si>
  <si>
    <t>GME</t>
  </si>
  <si>
    <t>Ginga Merlin</t>
  </si>
  <si>
    <t>HHO</t>
  </si>
  <si>
    <t>Hafnia Hong Kong</t>
  </si>
  <si>
    <t>HNO</t>
  </si>
  <si>
    <t>Hafnia Nordica</t>
  </si>
  <si>
    <t>HSH</t>
  </si>
  <si>
    <t>Hafnia Shanghai</t>
  </si>
  <si>
    <t>OCH</t>
  </si>
  <si>
    <t>Orient Challenge</t>
  </si>
  <si>
    <t>OIN</t>
  </si>
  <si>
    <t>Orient Innovation</t>
  </si>
  <si>
    <t>PCI</t>
  </si>
  <si>
    <t>Peace Victoria</t>
  </si>
  <si>
    <t>SCL</t>
  </si>
  <si>
    <t>SPA</t>
  </si>
  <si>
    <t>SOC</t>
  </si>
  <si>
    <t>SST</t>
  </si>
  <si>
    <t>Southern Star</t>
  </si>
  <si>
    <t>Ginga Hawk</t>
  </si>
  <si>
    <t>Ivs Phoenix</t>
  </si>
  <si>
    <t>St.Clemens</t>
  </si>
  <si>
    <t>St.Pauli</t>
  </si>
  <si>
    <t>PSC_Cat</t>
  </si>
  <si>
    <t>VET04 Navigation and communicatons</t>
  </si>
  <si>
    <t xml:space="preserve">VET10 Engine and steering compartments </t>
  </si>
  <si>
    <t>VET11 General Appearance and Condition</t>
  </si>
  <si>
    <t>CRT04 Navigation and communicatons</t>
  </si>
  <si>
    <t>CRT12 Ice Operations</t>
  </si>
  <si>
    <t>CRT11 General Appearance and Condition</t>
  </si>
  <si>
    <t>CRT10 Engine and steering compartments</t>
  </si>
  <si>
    <t>CRT07 Maritime Security</t>
  </si>
  <si>
    <t>ADNOC</t>
  </si>
  <si>
    <t>ARAMCO TRADING</t>
  </si>
  <si>
    <t>AMPOL</t>
  </si>
  <si>
    <t>BHP RIGHTSHIP</t>
  </si>
  <si>
    <t>BP</t>
  </si>
  <si>
    <t>CHEVRON</t>
  </si>
  <si>
    <t>CEPSA</t>
  </si>
  <si>
    <t>CONOCOPHILLIPS</t>
  </si>
  <si>
    <t>ENOC</t>
  </si>
  <si>
    <t>EQUINOR</t>
  </si>
  <si>
    <t>IDEMITSU</t>
  </si>
  <si>
    <t>INEOS</t>
  </si>
  <si>
    <t>IMT</t>
  </si>
  <si>
    <t>KOCH</t>
  </si>
  <si>
    <t>LUKOIL</t>
  </si>
  <si>
    <t>NESTE OIL</t>
  </si>
  <si>
    <t>NIGERIA LNG</t>
  </si>
  <si>
    <t>NOBLE AMERICAS</t>
  </si>
  <si>
    <t>NUSTAR</t>
  </si>
  <si>
    <t>PDVSA</t>
  </si>
  <si>
    <t>PERTAMINA</t>
  </si>
  <si>
    <t>PETROBRAS</t>
  </si>
  <si>
    <t>PETRONAS</t>
  </si>
  <si>
    <t>PHILLIPS 66</t>
  </si>
  <si>
    <t>PREEM</t>
  </si>
  <si>
    <t>PTT</t>
  </si>
  <si>
    <t>RELIANCE</t>
  </si>
  <si>
    <t>REPSOL</t>
  </si>
  <si>
    <t>SHELL</t>
  </si>
  <si>
    <t>STATOIL</t>
  </si>
  <si>
    <t>SUNOCO</t>
  </si>
  <si>
    <t>SAUDI ARAMCO</t>
  </si>
  <si>
    <t>TESERO</t>
  </si>
  <si>
    <t>TOTAL</t>
  </si>
  <si>
    <t>VALERO</t>
  </si>
  <si>
    <t>YPF</t>
  </si>
  <si>
    <t>Ship Name:</t>
  </si>
  <si>
    <t>VET04 Navigation and Communications</t>
  </si>
  <si>
    <t>VET13 Nil or Misc Comments</t>
  </si>
  <si>
    <t>CRT13 Nil or Misc Comments</t>
  </si>
  <si>
    <t>MMS24 Nil</t>
  </si>
  <si>
    <t>S4 Complacency</t>
  </si>
  <si>
    <t>A1 ADNOC</t>
  </si>
  <si>
    <t>A2 AMPOL</t>
  </si>
  <si>
    <t>A3 ARAMCO TRADING</t>
  </si>
  <si>
    <t>A4 BHP RIGHTSHIP</t>
  </si>
  <si>
    <t>A5 BP</t>
  </si>
  <si>
    <t>A6 CEPSA</t>
  </si>
  <si>
    <t>A7 CHEVRON</t>
  </si>
  <si>
    <t>A8 CONOCOPHILLIPS</t>
  </si>
  <si>
    <t>A9 ENOC</t>
  </si>
  <si>
    <t>A10 EQUINOR</t>
  </si>
  <si>
    <t>A11 IDEMITSU</t>
  </si>
  <si>
    <t>A12 IMT</t>
  </si>
  <si>
    <t>A13 INEOS</t>
  </si>
  <si>
    <t>A14 KOCH</t>
  </si>
  <si>
    <t>A15 LUKOIL</t>
  </si>
  <si>
    <t>A16 NESTE OIL</t>
  </si>
  <si>
    <t>A17 NIGERIA LNG</t>
  </si>
  <si>
    <t>A18 NOBLE AMERICAS</t>
  </si>
  <si>
    <t>A19 NUSTAR</t>
  </si>
  <si>
    <t>A20 PDVSA</t>
  </si>
  <si>
    <t>A21 PERTAMINA</t>
  </si>
  <si>
    <t>A22 PETROBRAS</t>
  </si>
  <si>
    <t>A23 PETRONAS</t>
  </si>
  <si>
    <t>A24 PHILLIPS 66</t>
  </si>
  <si>
    <t>A25 PREEM</t>
  </si>
  <si>
    <t>A26 PTT</t>
  </si>
  <si>
    <t>A27 RELIANCE</t>
  </si>
  <si>
    <t>A28 REPSOL</t>
  </si>
  <si>
    <t>A29 SAUDI ARAMCO</t>
  </si>
  <si>
    <t>A30 SHELL</t>
  </si>
  <si>
    <t>A31 STATOIL</t>
  </si>
  <si>
    <t>A32 SUNOCO</t>
  </si>
  <si>
    <t>A33 TESERO</t>
  </si>
  <si>
    <t>A34 TOTAL</t>
  </si>
  <si>
    <t>A35 VALERO</t>
  </si>
  <si>
    <t>A36 YPF</t>
  </si>
  <si>
    <t>ABUJA MOU</t>
  </si>
  <si>
    <t>AMSA</t>
  </si>
  <si>
    <t>BLACK SEA MOU</t>
  </si>
  <si>
    <t>CARIBBEAN MOU</t>
  </si>
  <si>
    <t xml:space="preserve">CHINA MSA </t>
  </si>
  <si>
    <t>INDIAN OCEAN MOU</t>
  </si>
  <si>
    <t>MEDITERRANEAN MOU</t>
  </si>
  <si>
    <t>NON MOU</t>
  </si>
  <si>
    <t>PARIS MOU</t>
  </si>
  <si>
    <t>RIYADH MOU</t>
  </si>
  <si>
    <t>TOKYO MOU (EXCEPT CHINA)</t>
  </si>
  <si>
    <t>USCG</t>
  </si>
  <si>
    <t>VINA DEL MAR MOU</t>
  </si>
  <si>
    <t>PSC07 Maritime Security</t>
  </si>
  <si>
    <t>Insp_id</t>
  </si>
  <si>
    <t>PSC_mou</t>
  </si>
  <si>
    <t>PSC_pic</t>
  </si>
  <si>
    <t>PSC_sndr_offimport</t>
  </si>
  <si>
    <t>PSC_picdt</t>
  </si>
  <si>
    <t>PSC_detain</t>
  </si>
  <si>
    <t>PSC_info2panama</t>
  </si>
  <si>
    <t>PSC_info2ownr</t>
  </si>
  <si>
    <t>PSC_info2ownr_dt</t>
  </si>
  <si>
    <t>PSC_info2chrtr</t>
  </si>
  <si>
    <t>PSC_info2chrtr_dt</t>
  </si>
  <si>
    <t>PSC_info2rtshp</t>
  </si>
  <si>
    <t>PSC_info2rtshp_dt</t>
  </si>
  <si>
    <t>PSC_info2oilmaj</t>
  </si>
  <si>
    <t>PSC_info2oilmaj_dt</t>
  </si>
  <si>
    <t>PSC_info2mmstpmgmt</t>
  </si>
  <si>
    <t>PSC_info2mmstpmgmt_dt</t>
  </si>
  <si>
    <t>PSC_sndr_offimport_dt</t>
  </si>
  <si>
    <t>VET_oilmaj</t>
  </si>
  <si>
    <t>VET_oilmaj_co</t>
  </si>
  <si>
    <t>VET_offattnd</t>
  </si>
  <si>
    <t>VET_risk</t>
  </si>
  <si>
    <t>VET_repupload</t>
  </si>
  <si>
    <t>VET_repfinalby</t>
  </si>
  <si>
    <t>VET_Q88upload</t>
  </si>
  <si>
    <t>country</t>
  </si>
  <si>
    <t>port</t>
  </si>
  <si>
    <t>type</t>
  </si>
  <si>
    <t>age</t>
  </si>
  <si>
    <t>choff</t>
  </si>
  <si>
    <t>cheng</t>
  </si>
  <si>
    <t>chrtr</t>
  </si>
  <si>
    <t>owner</t>
  </si>
  <si>
    <t>class</t>
  </si>
  <si>
    <t>flag</t>
  </si>
  <si>
    <t>Severity</t>
  </si>
  <si>
    <t>Column1</t>
  </si>
  <si>
    <t>Status2</t>
  </si>
  <si>
    <t>Root cause (Analysis required using SMP-18-02D)</t>
  </si>
  <si>
    <t>General Guidelines</t>
  </si>
  <si>
    <t>SubSys_Code</t>
  </si>
  <si>
    <t>Category 1</t>
  </si>
  <si>
    <t>Category 2</t>
  </si>
  <si>
    <t>Vetting sender,PSC sender and SI observations will be imported to DR sender from the respective sender at the office.</t>
  </si>
  <si>
    <t>IVS Phoenix</t>
  </si>
  <si>
    <t>Loch Ness</t>
  </si>
  <si>
    <t>LNS</t>
  </si>
  <si>
    <t>Loch Nevis</t>
  </si>
  <si>
    <t>LNV</t>
  </si>
  <si>
    <t>CPA</t>
  </si>
  <si>
    <t>ESP</t>
  </si>
  <si>
    <t>ICA</t>
  </si>
  <si>
    <t>PVI</t>
  </si>
  <si>
    <t>CB2017002</t>
  </si>
  <si>
    <t>CB2012001</t>
  </si>
  <si>
    <t>CB2013004</t>
  </si>
  <si>
    <t>CB2014005</t>
  </si>
  <si>
    <t>CB2014006</t>
  </si>
  <si>
    <t>CB2013002</t>
  </si>
  <si>
    <t>CB2017003</t>
  </si>
  <si>
    <t>CB2015002</t>
  </si>
  <si>
    <t>CB2014008</t>
  </si>
  <si>
    <t>CB2019001</t>
  </si>
  <si>
    <t>CB2015001</t>
  </si>
  <si>
    <t>CB2016004</t>
  </si>
  <si>
    <t>CB2016006</t>
  </si>
  <si>
    <t>CB2016005</t>
  </si>
  <si>
    <t>CB2016002</t>
  </si>
  <si>
    <t>CB2016003</t>
  </si>
  <si>
    <t>CB2014002</t>
  </si>
  <si>
    <t>CB2014007</t>
  </si>
  <si>
    <t>CB2014003</t>
  </si>
  <si>
    <t>CB2013001</t>
  </si>
  <si>
    <t>CB2017001</t>
  </si>
  <si>
    <t>CB2013003</t>
  </si>
  <si>
    <t>CB2016001</t>
  </si>
  <si>
    <t>CP2015001</t>
  </si>
  <si>
    <t>CP2017002</t>
  </si>
  <si>
    <t>CP2017001</t>
  </si>
  <si>
    <t>TG2010001</t>
  </si>
  <si>
    <t>TC2019001</t>
  </si>
  <si>
    <t>TG2019001</t>
  </si>
  <si>
    <t>TC2017001</t>
  </si>
  <si>
    <t>TC2018001</t>
  </si>
  <si>
    <t>TP2017003</t>
  </si>
  <si>
    <t>TP2017006</t>
  </si>
  <si>
    <t>TP2011001</t>
  </si>
  <si>
    <t>TP2019003</t>
  </si>
  <si>
    <t>TP2019001</t>
  </si>
  <si>
    <t>TP2019002</t>
  </si>
  <si>
    <t>TP2017004</t>
  </si>
  <si>
    <t>TP2017005</t>
  </si>
  <si>
    <t>TP2017001</t>
  </si>
  <si>
    <t>TP2017002</t>
  </si>
  <si>
    <t>TP2019004</t>
  </si>
  <si>
    <t>TP2019006</t>
  </si>
  <si>
    <t>TP2019005</t>
  </si>
  <si>
    <t>TP2019007</t>
  </si>
  <si>
    <t>CB2011001</t>
  </si>
  <si>
    <t>Machinery/ equipment breakdown, malfunction or trouble?
(Yes/No)</t>
  </si>
  <si>
    <t>Verification by PIC</t>
  </si>
  <si>
    <t>vslName</t>
  </si>
  <si>
    <t>IMO</t>
  </si>
  <si>
    <t>threeCode</t>
  </si>
  <si>
    <t>DRSCode</t>
  </si>
  <si>
    <t>Fengr</t>
  </si>
  <si>
    <t>grp</t>
  </si>
  <si>
    <t>fengr</t>
  </si>
  <si>
    <t>St Pauli</t>
  </si>
  <si>
    <t>St Clemens</t>
  </si>
  <si>
    <t>TP2020001</t>
  </si>
  <si>
    <t>\\mms_svr01\DRsender\DRSendApp\script.bat</t>
  </si>
  <si>
    <t>INJ01 Fatality</t>
  </si>
  <si>
    <t>TC2020001</t>
  </si>
  <si>
    <t>San Jack</t>
  </si>
  <si>
    <t>SJA</t>
  </si>
  <si>
    <t>TP2020002</t>
  </si>
  <si>
    <t>1</t>
  </si>
  <si>
    <t>Esteem Houston</t>
  </si>
  <si>
    <t>EHO</t>
  </si>
  <si>
    <t xml:space="preserve">Severity of the deficiency to be set to 1/2/3/4/5 as per the table given in the Severity Matrix sheet (Default value is 1). </t>
  </si>
  <si>
    <t>By default, Target dates are automatically set as per the Severity however it can be manually filled as well</t>
  </si>
  <si>
    <t>Solar Katherine</t>
  </si>
  <si>
    <t>Solar Melissa</t>
  </si>
  <si>
    <t>Solar Madelein</t>
  </si>
  <si>
    <t>Esteem Energy</t>
  </si>
  <si>
    <t>Solar Claire</t>
  </si>
  <si>
    <t>Esteem Discovery</t>
  </si>
  <si>
    <t>Esteem Endeavour</t>
  </si>
  <si>
    <t>SKA</t>
  </si>
  <si>
    <t>SME</t>
  </si>
  <si>
    <t>SMD</t>
  </si>
  <si>
    <t>EEN</t>
  </si>
  <si>
    <t>SCR</t>
  </si>
  <si>
    <t>EDS</t>
  </si>
  <si>
    <t>EED</t>
  </si>
  <si>
    <t>TP2020003</t>
  </si>
  <si>
    <t>5: Major </t>
  </si>
  <si>
    <t>Fatality </t>
  </si>
  <si>
    <t>Immediate layup or docking for repairs (Fire / Collision / Alison / Grounding) Claims from 3rd Parties  </t>
  </si>
  <si>
    <t>Major Industry Reaction &gt;1M $ </t>
  </si>
  <si>
    <t>Immediately by any available means: Vessel-SI-DPA </t>
  </si>
  <si>
    <t>DPA, Marine and Tech SI </t>
  </si>
  <si>
    <t>3 Months </t>
  </si>
  <si>
    <t>4: Serious </t>
  </si>
  <si>
    <t>PPD/PTD, D&amp;A Violation, PSC Detention </t>
  </si>
  <si>
    <t>COC Requiring layup repairs (Fire / Collision / Alison / Grounding), Cargo and 3rd Party Claims,  </t>
  </si>
  <si>
    <t>Pirate boarding, Stowaway, Serious criminal act -Burglary, theft, bribery, fraud, contraband, drugs, sabotage. Cyberattack on Vessel equipment </t>
  </si>
  <si>
    <t>3: Significant </t>
  </si>
  <si>
    <t>COC requiring in service repairs (Fire / Collision / Alison / Grounding) Blackout incident </t>
  </si>
  <si>
    <t>By any available means within 1 hour to SI </t>
  </si>
  <si>
    <t>2 Months </t>
  </si>
  <si>
    <t>2: Moderate </t>
  </si>
  <si>
    <t>RWC or Injury requiring Medical treatment ashore (MTC), Disciplinary action due to breach of company policies.</t>
  </si>
  <si>
    <t>Within 6 hours to SI </t>
  </si>
  <si>
    <t>Master and Safety Officer </t>
  </si>
  <si>
    <t>1 Month </t>
  </si>
  <si>
    <t>1: Minor </t>
  </si>
  <si>
    <t>Simple First Aid or NLTI </t>
  </si>
  <si>
    <t>Equipment breakdowns, defects repairable by ship staff </t>
  </si>
  <si>
    <t>Security incident, Breach of vessel security arrangements </t>
  </si>
  <si>
    <t>Loss &lt;10K $ </t>
  </si>
  <si>
    <t>Within 24 hours** to SI </t>
  </si>
  <si>
    <t>15 Days</t>
  </si>
  <si>
    <t>Spill on deck &lt; 1m3 but retained on board </t>
  </si>
  <si>
    <t>Off-hire, Loss 10K-50K$ </t>
  </si>
  <si>
    <t>1.Pollutant Spill / discharge in water &lt; 100L 
2.Emission or discharge in violation of MARPOL IV, V, VI </t>
  </si>
  <si>
    <t>Off-hire (&gt;7d) 
Loss of Charter, 250K – 1M $ </t>
  </si>
  <si>
    <t>DPA, SI (Marine or Tech) </t>
  </si>
  <si>
    <t>Serious injury or multiple minor injuries, sign off (LTI), Hospitalization, Dismissal on disciplinary ground, Desertion </t>
  </si>
  <si>
    <t>Vessel pursued by Pirates, Minor act of sabotage. Criminal act -bribery, fraud, contraband.Cyber Hack of Vessel IT Systems   </t>
  </si>
  <si>
    <t>Off-hire (&gt;24h)
50K – 250K $  </t>
  </si>
  <si>
    <t>SI (Marine or Tech) and Master </t>
  </si>
  <si>
    <t>Repair requiring external assistance Critical Equipment failure,Dispensation  </t>
  </si>
  <si>
    <t>Burglary, damage and theft. Cyber-incident rendering vessel IT equipment in-operational. Security incident, Breach of vessel security arrangements </t>
  </si>
  <si>
    <t>Accidental  discharge within containment </t>
  </si>
  <si>
    <t>Health and Safety </t>
  </si>
  <si>
    <t>Damage to Vessel/ Property </t>
  </si>
  <si>
    <t>Reporting  
Timeline </t>
  </si>
  <si>
    <t>Investigation 
Team </t>
  </si>
  <si>
    <t>Completion 
Timeline </t>
  </si>
  <si>
    <t>Financial 
Impact  </t>
  </si>
  <si>
    <t>Security 
Impact </t>
  </si>
  <si>
    <t>Environmental 
Impact  </t>
  </si>
  <si>
    <t>1.Pollutant Spill / discharge in water &gt; 100L 
2.Uncontrolled gas release &gt;10m3 </t>
  </si>
  <si>
    <t>Vessel Hijack, Kidnapping, Bombing, terrorism Cyber Hack of Entire Company IT infrastructure / System.</t>
  </si>
  <si>
    <t>Pollutants, Spill on deck &gt; 1m3 </t>
  </si>
  <si>
    <t>Severity 
Factor </t>
  </si>
  <si>
    <t>For any Inspection even if there are Nil obsevations from third party inspections it has to be entered in DR sender. Category 1 to be left blank and Category 2 PSC and Vetting to be set to Nil.Target date, Closure date and status is automatically set and the record is automatically closed.</t>
  </si>
  <si>
    <t xml:space="preserve"> Used for reporting of vessel defects, Accidents and Injury. System and subsystem  to be selected as per the defect.</t>
  </si>
  <si>
    <t>To be checked by PIC in case a Fleet alert is required.</t>
  </si>
  <si>
    <t>Record status</t>
  </si>
  <si>
    <t>Displays total number of ovedue items. Red Font color indicates that the currently displayed record is overdue.</t>
  </si>
  <si>
    <t>Hafnia Shenzhen</t>
  </si>
  <si>
    <t>HSZ</t>
  </si>
  <si>
    <t>TP2020008</t>
  </si>
  <si>
    <t>TP2020007</t>
  </si>
  <si>
    <t>TP2020010</t>
  </si>
  <si>
    <t>TP2020009</t>
  </si>
  <si>
    <t>TP2020004</t>
  </si>
  <si>
    <t>TP2020006</t>
  </si>
  <si>
    <t>TP2020005</t>
  </si>
  <si>
    <t>Beico</t>
  </si>
  <si>
    <t>TP2020011</t>
  </si>
  <si>
    <t xml:space="preserve"> - Vessel Mode</t>
  </si>
  <si>
    <t>ZZZ</t>
  </si>
  <si>
    <t>Methane Mickie Harper</t>
  </si>
  <si>
    <t>MHR</t>
  </si>
  <si>
    <t>TG2021001</t>
  </si>
  <si>
    <t>MPC</t>
  </si>
  <si>
    <t>Methane Patricia Camila</t>
  </si>
  <si>
    <t>TG2021002</t>
  </si>
  <si>
    <t>Ver 54</t>
  </si>
  <si>
    <t>In this upgrade the manual entry of vetting, PSC and SIRE is not possible and Data has to be imported.</t>
  </si>
  <si>
    <t>Aries Karin</t>
  </si>
  <si>
    <t>AKA</t>
  </si>
  <si>
    <t>CB2021002</t>
  </si>
  <si>
    <t>Aries Sumire</t>
  </si>
  <si>
    <t>ASU</t>
  </si>
  <si>
    <t>CB2020001</t>
  </si>
  <si>
    <t>Ikan Bawal</t>
  </si>
  <si>
    <t>IBA</t>
  </si>
  <si>
    <t>CB2020002</t>
  </si>
  <si>
    <t>Jubilant Devotion</t>
  </si>
  <si>
    <t>JDE</t>
  </si>
  <si>
    <t>CB2021001</t>
  </si>
  <si>
    <t>Pavo Brave</t>
  </si>
  <si>
    <t>PBA</t>
  </si>
  <si>
    <t>CB2021003</t>
  </si>
  <si>
    <t>RHI</t>
  </si>
  <si>
    <t>CB2020003</t>
  </si>
  <si>
    <t>CP2020001</t>
  </si>
  <si>
    <t>GT DEMETER</t>
  </si>
  <si>
    <t>GDE</t>
  </si>
  <si>
    <t>CW2021001</t>
  </si>
  <si>
    <t>VGD</t>
  </si>
  <si>
    <t>CW2021002</t>
  </si>
  <si>
    <t>Vanguardia</t>
  </si>
  <si>
    <t>v55</t>
  </si>
  <si>
    <t>\\ORCASVR-101\shares\drsapp\Incoming</t>
  </si>
  <si>
    <t xml:space="preserve">To prevent unwnated changes, the DRSEND sheet is password protected. All changes are to be done using the data entry form. In case it is required to change data direcly in the sheet please contact PIC. </t>
  </si>
  <si>
    <t>Red Admiral</t>
  </si>
  <si>
    <t>TG2021003</t>
  </si>
  <si>
    <t>RAD</t>
  </si>
  <si>
    <t>Rising Himeji</t>
  </si>
  <si>
    <t>ESN</t>
  </si>
  <si>
    <t>TP2021002</t>
  </si>
  <si>
    <t>Esteem Sango</t>
  </si>
  <si>
    <t>DRSENDER V56 2021/09/13</t>
  </si>
  <si>
    <t>Andean Sun</t>
  </si>
  <si>
    <t>TP2022001</t>
  </si>
  <si>
    <t>ASN</t>
  </si>
  <si>
    <t>Bayou Sun</t>
  </si>
  <si>
    <t>BSU</t>
  </si>
  <si>
    <t>TP2022002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</si>
</sst>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mm"/>
  </numFmts>
  <fonts count="37" x14ac:knownFonts="1">
    <font>
      <sz val="11"/>
      <name val="ＭＳ Ｐゴシック"/>
      <family val="3"/>
      <charset val="128"/>
    </font>
    <font>
      <sz val="11"/>
      <color theme="1"/>
      <name val="Calibri"/>
      <family val="2"/>
      <scheme val="minor"/>
    </font>
    <font>
      <sz val="11"/>
      <color theme="1"/>
      <name val="Calibri"/>
      <family val="2"/>
      <scheme val="minor"/>
    </font>
    <font>
      <sz val="6"/>
      <name val="ＭＳ Ｐゴシック"/>
      <family val="3"/>
      <charset val="128"/>
    </font>
    <font>
      <u/>
      <sz val="11"/>
      <color indexed="12"/>
      <name val="ＭＳ Ｐゴシック"/>
      <family val="3"/>
      <charset val="128"/>
    </font>
    <font>
      <sz val="11"/>
      <name val="Arial"/>
      <family val="2"/>
    </font>
    <font>
      <b/>
      <sz val="9"/>
      <name val="Arial"/>
      <family val="2"/>
    </font>
    <font>
      <sz val="9"/>
      <name val="Arial"/>
      <family val="2"/>
    </font>
    <font>
      <sz val="10"/>
      <name val="Arial"/>
      <family val="2"/>
    </font>
    <font>
      <sz val="6"/>
      <name val="Arial"/>
      <family val="2"/>
    </font>
    <font>
      <sz val="11"/>
      <color indexed="10"/>
      <name val="Arial"/>
      <family val="2"/>
    </font>
    <font>
      <b/>
      <sz val="11"/>
      <name val="Arial"/>
      <family val="2"/>
    </font>
    <font>
      <b/>
      <sz val="8"/>
      <name val="Calibri"/>
      <family val="2"/>
    </font>
    <font>
      <b/>
      <sz val="8"/>
      <name val="Times New Roman"/>
      <family val="1"/>
    </font>
    <font>
      <b/>
      <sz val="10"/>
      <name val="Arial"/>
      <family val="2"/>
    </font>
    <font>
      <b/>
      <sz val="22"/>
      <name val="Arial"/>
      <family val="2"/>
    </font>
    <font>
      <sz val="22"/>
      <name val="Arial"/>
      <family val="2"/>
    </font>
    <font>
      <sz val="12"/>
      <name val="Arial"/>
      <family val="2"/>
    </font>
    <font>
      <b/>
      <sz val="11"/>
      <color theme="1"/>
      <name val="Calibri"/>
      <family val="2"/>
      <scheme val="minor"/>
    </font>
    <font>
      <sz val="10"/>
      <name val="MS Reference Sans Serif"/>
      <family val="2"/>
    </font>
    <font>
      <b/>
      <sz val="10"/>
      <color rgb="FFFF0000"/>
      <name val="Arial"/>
      <family val="2"/>
    </font>
    <font>
      <sz val="10"/>
      <name val="ＭＳ Ｐゴシック"/>
      <family val="3"/>
      <charset val="128"/>
    </font>
    <font>
      <sz val="10"/>
      <color rgb="FF4D5156"/>
      <name val="Arial"/>
      <family val="2"/>
    </font>
    <font>
      <sz val="10"/>
      <color rgb="FFFF0000"/>
      <name val="Calibri"/>
      <family val="2"/>
    </font>
    <font>
      <b/>
      <sz val="9"/>
      <color theme="1" tint="4.9989318521683403E-2"/>
      <name val="Arial Narrow"/>
      <family val="2"/>
    </font>
    <font>
      <b/>
      <sz val="11"/>
      <color theme="1" tint="4.9989318521683403E-2"/>
      <name val="Arial Narrow"/>
      <family val="2"/>
    </font>
    <font>
      <sz val="11"/>
      <name val="Arial Narrow"/>
      <family val="2"/>
    </font>
    <font>
      <sz val="10"/>
      <color theme="1"/>
      <name val="Arial Narrow"/>
      <family val="2"/>
    </font>
    <font>
      <b/>
      <sz val="10"/>
      <color theme="1"/>
      <name val="Arial Narrow"/>
      <family val="2"/>
    </font>
    <font>
      <sz val="10"/>
      <color indexed="10"/>
      <name val="Arial Narrow"/>
      <family val="2"/>
    </font>
    <font>
      <sz val="11"/>
      <color rgb="FFFFFF00"/>
      <name val="Arial Narrow"/>
      <family val="2"/>
    </font>
    <font>
      <b/>
      <sz val="11"/>
      <name val="Arial Narrow"/>
      <family val="2"/>
    </font>
    <font>
      <sz val="11"/>
      <color indexed="12"/>
      <name val="Arial Narrow"/>
      <family val="2"/>
    </font>
    <font>
      <sz val="10"/>
      <name val="MS Reference Sans Serif"/>
      <family val="2"/>
    </font>
    <font>
      <sz val="10"/>
      <name val="Arial"/>
      <family val="2"/>
    </font>
    <font>
      <sz val="10"/>
      <name val="MS Reference Sans Serif"/>
    </font>
    <font>
      <sz val="10"/>
      <name val="Arial"/>
    </font>
  </fonts>
  <fills count="16">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46"/>
        <bgColor indexed="64"/>
      </patternFill>
    </fill>
    <fill>
      <patternFill patternType="solid">
        <fgColor indexed="45"/>
        <bgColor indexed="64"/>
      </patternFill>
    </fill>
    <fill>
      <patternFill patternType="solid">
        <fgColor indexed="13"/>
        <bgColor indexed="64"/>
      </patternFill>
    </fill>
    <fill>
      <patternFill patternType="solid">
        <fgColor indexed="53"/>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4"/>
        <bgColor theme="4"/>
      </patternFill>
    </fill>
    <fill>
      <patternFill patternType="solid">
        <fgColor theme="3" tint="0.79998168889431442"/>
        <bgColor indexed="64"/>
      </patternFill>
    </fill>
    <fill>
      <patternFill patternType="solid">
        <fgColor indexed="9"/>
        <bgColor indexed="64"/>
      </patternFill>
    </fill>
  </fills>
  <borders count="17">
    <border>
      <left/>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medium">
        <color indexed="64"/>
      </right>
      <top/>
      <bottom/>
      <diagonal/>
    </border>
    <border>
      <left style="thin">
        <color indexed="64"/>
      </left>
      <right/>
      <top/>
      <bottom/>
      <diagonal/>
    </border>
  </borders>
  <cellStyleXfs count="3">
    <xf numFmtId="0" fontId="0" fillId="0" borderId="0"/>
    <xf numFmtId="0" fontId="4" fillId="0" borderId="0" applyNumberFormat="0" applyFill="0" applyBorder="0" applyAlignment="0" applyProtection="0">
      <alignment vertical="top"/>
      <protection locked="0"/>
    </xf>
    <xf numFmtId="0" fontId="2" fillId="0" borderId="0"/>
  </cellStyleXfs>
  <cellXfs count="136">
    <xf numFmtId="0" fontId="0" fillId="0" borderId="0" xfId="0"/>
    <xf numFmtId="0" fontId="6" fillId="2" borderId="4" xfId="0" applyFont="1" applyFill="1" applyBorder="1" applyAlignment="1" applyProtection="1">
      <alignment horizontal="center" vertical="center" wrapText="1" shrinkToFit="1"/>
    </xf>
    <xf numFmtId="0" fontId="5" fillId="0" borderId="0" xfId="0" applyFont="1" applyFill="1" applyProtection="1"/>
    <xf numFmtId="0" fontId="5" fillId="0" borderId="0" xfId="0" applyFont="1" applyFill="1" applyAlignment="1" applyProtection="1">
      <alignment horizontal="center"/>
    </xf>
    <xf numFmtId="0" fontId="6" fillId="2" borderId="5" xfId="0" applyFont="1" applyFill="1" applyBorder="1" applyAlignment="1" applyProtection="1">
      <alignment horizontal="center" vertical="center" wrapText="1" shrinkToFit="1"/>
    </xf>
    <xf numFmtId="0" fontId="7" fillId="2" borderId="5" xfId="0" applyFont="1" applyFill="1" applyBorder="1" applyAlignment="1" applyProtection="1">
      <alignment horizontal="center" vertical="center" wrapText="1" shrinkToFit="1"/>
    </xf>
    <xf numFmtId="0" fontId="7" fillId="4" borderId="5" xfId="0" applyFont="1" applyFill="1" applyBorder="1" applyAlignment="1" applyProtection="1">
      <alignment horizontal="center" vertical="center" wrapText="1" shrinkToFit="1"/>
    </xf>
    <xf numFmtId="0" fontId="6" fillId="4" borderId="5" xfId="0" applyFont="1" applyFill="1" applyBorder="1" applyAlignment="1" applyProtection="1">
      <alignment horizontal="center" vertical="center" wrapText="1" shrinkToFit="1"/>
    </xf>
    <xf numFmtId="0" fontId="8" fillId="0" borderId="0" xfId="0" applyFont="1" applyAlignment="1" applyProtection="1">
      <alignment horizontal="justify"/>
    </xf>
    <xf numFmtId="0" fontId="9" fillId="0" borderId="0" xfId="0" applyFont="1" applyAlignment="1" applyProtection="1">
      <alignment horizontal="justify"/>
    </xf>
    <xf numFmtId="0" fontId="5" fillId="0" borderId="0" xfId="0" applyFont="1" applyAlignment="1" applyProtection="1"/>
    <xf numFmtId="0" fontId="0" fillId="0" borderId="0" xfId="0" applyAlignment="1"/>
    <xf numFmtId="0" fontId="11" fillId="0" borderId="0" xfId="0" applyFont="1" applyFill="1" applyAlignment="1" applyProtection="1">
      <alignment wrapText="1"/>
    </xf>
    <xf numFmtId="0" fontId="5" fillId="0" borderId="0" xfId="0" applyNumberFormat="1" applyFont="1" applyAlignment="1" applyProtection="1">
      <alignment wrapText="1"/>
    </xf>
    <xf numFmtId="0" fontId="12" fillId="0" borderId="3" xfId="0" applyFont="1" applyBorder="1" applyAlignment="1">
      <alignment vertical="center" wrapText="1"/>
    </xf>
    <xf numFmtId="0" fontId="7" fillId="2" borderId="4" xfId="0" applyFont="1" applyFill="1" applyBorder="1" applyAlignment="1" applyProtection="1">
      <alignment horizontal="center" vertical="center" shrinkToFit="1"/>
    </xf>
    <xf numFmtId="0" fontId="7" fillId="4" borderId="4" xfId="0" applyFont="1" applyFill="1" applyBorder="1" applyAlignment="1" applyProtection="1">
      <alignment horizontal="center" vertical="center" shrinkToFit="1"/>
    </xf>
    <xf numFmtId="0" fontId="5" fillId="0" borderId="0" xfId="0" applyFont="1" applyFill="1" applyAlignment="1" applyProtection="1"/>
    <xf numFmtId="0" fontId="5" fillId="0" borderId="0" xfId="0" applyFont="1" applyAlignment="1"/>
    <xf numFmtId="0" fontId="5" fillId="5" borderId="0" xfId="0" applyFont="1" applyFill="1" applyAlignment="1" applyProtection="1"/>
    <xf numFmtId="0" fontId="5" fillId="6" borderId="0" xfId="0" applyFont="1" applyFill="1" applyAlignment="1" applyProtection="1"/>
    <xf numFmtId="0" fontId="12" fillId="0" borderId="13" xfId="0" applyFont="1" applyBorder="1" applyAlignment="1">
      <alignment vertical="center"/>
    </xf>
    <xf numFmtId="0" fontId="5" fillId="4" borderId="0" xfId="0" applyFont="1" applyFill="1" applyAlignment="1" applyProtection="1"/>
    <xf numFmtId="0" fontId="12" fillId="0" borderId="3" xfId="0" applyFont="1" applyBorder="1" applyAlignment="1">
      <alignment vertical="center"/>
    </xf>
    <xf numFmtId="0" fontId="5" fillId="2" borderId="0" xfId="0" applyFont="1" applyFill="1" applyAlignment="1" applyProtection="1"/>
    <xf numFmtId="0" fontId="5" fillId="7" borderId="0" xfId="0" applyFont="1" applyFill="1" applyAlignment="1" applyProtection="1"/>
    <xf numFmtId="0" fontId="13" fillId="0" borderId="3" xfId="0" applyFont="1" applyBorder="1" applyAlignment="1">
      <alignment vertical="center"/>
    </xf>
    <xf numFmtId="0" fontId="5" fillId="8" borderId="0" xfId="0" applyFont="1" applyFill="1" applyAlignment="1" applyProtection="1"/>
    <xf numFmtId="0" fontId="5" fillId="9" borderId="0" xfId="0" applyFont="1" applyFill="1" applyAlignment="1" applyProtection="1"/>
    <xf numFmtId="0" fontId="5" fillId="2" borderId="0" xfId="0" applyFont="1" applyFill="1" applyBorder="1" applyAlignment="1" applyProtection="1"/>
    <xf numFmtId="0" fontId="5" fillId="2" borderId="6" xfId="0" applyFont="1" applyFill="1" applyBorder="1" applyAlignment="1" applyProtection="1"/>
    <xf numFmtId="0" fontId="5" fillId="2" borderId="7" xfId="0" applyFont="1" applyFill="1" applyBorder="1" applyAlignment="1" applyProtection="1"/>
    <xf numFmtId="0" fontId="5" fillId="2" borderId="8" xfId="0" applyFont="1" applyFill="1" applyBorder="1" applyAlignment="1" applyProtection="1"/>
    <xf numFmtId="0" fontId="5" fillId="2" borderId="9" xfId="0" applyFont="1" applyFill="1" applyBorder="1" applyAlignment="1" applyProtection="1"/>
    <xf numFmtId="0" fontId="10" fillId="2" borderId="7" xfId="0" applyFont="1" applyFill="1" applyBorder="1" applyAlignment="1" applyProtection="1"/>
    <xf numFmtId="0" fontId="5" fillId="0" borderId="0" xfId="0" applyFont="1" applyAlignment="1" applyProtection="1">
      <alignment wrapText="1"/>
    </xf>
    <xf numFmtId="0" fontId="5" fillId="8" borderId="0" xfId="0" applyFont="1" applyFill="1" applyAlignment="1" applyProtection="1">
      <alignment wrapText="1"/>
    </xf>
    <xf numFmtId="0" fontId="5" fillId="5" borderId="0" xfId="0" applyFont="1" applyFill="1" applyAlignment="1" applyProtection="1">
      <alignment wrapText="1"/>
    </xf>
    <xf numFmtId="0" fontId="5" fillId="2" borderId="0" xfId="0" applyFont="1" applyFill="1" applyAlignment="1" applyProtection="1">
      <alignment wrapText="1"/>
    </xf>
    <xf numFmtId="0" fontId="5" fillId="6" borderId="0" xfId="0" applyFont="1" applyFill="1" applyAlignment="1" applyProtection="1">
      <alignment wrapText="1"/>
    </xf>
    <xf numFmtId="0" fontId="8" fillId="0" borderId="0" xfId="0" applyFont="1" applyAlignment="1" applyProtection="1">
      <alignment horizontal="justify" wrapText="1"/>
    </xf>
    <xf numFmtId="0" fontId="9" fillId="0" borderId="0" xfId="0" applyFont="1" applyAlignment="1" applyProtection="1">
      <alignment horizontal="justify" wrapText="1"/>
    </xf>
    <xf numFmtId="0" fontId="2" fillId="0" borderId="0" xfId="2" applyAlignment="1">
      <alignment horizontal="left"/>
    </xf>
    <xf numFmtId="0" fontId="2" fillId="0" borderId="0" xfId="2"/>
    <xf numFmtId="0" fontId="16" fillId="0" borderId="0" xfId="0" applyFont="1" applyAlignment="1">
      <alignment vertical="center"/>
    </xf>
    <xf numFmtId="0" fontId="5" fillId="0" borderId="0" xfId="0" applyFont="1" applyAlignment="1">
      <alignment horizontal="center" vertical="center"/>
    </xf>
    <xf numFmtId="0" fontId="11" fillId="0" borderId="0" xfId="0" applyFont="1" applyAlignment="1">
      <alignment vertical="center"/>
    </xf>
    <xf numFmtId="0" fontId="5" fillId="0" borderId="0" xfId="0" applyFont="1" applyAlignment="1">
      <alignment vertical="center"/>
    </xf>
    <xf numFmtId="0" fontId="5" fillId="0" borderId="8"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vertical="center"/>
    </xf>
    <xf numFmtId="0" fontId="8" fillId="0" borderId="5" xfId="0" applyFont="1" applyBorder="1" applyAlignment="1">
      <alignment horizontal="center" vertical="center" wrapText="1"/>
    </xf>
    <xf numFmtId="0" fontId="8" fillId="0" borderId="5" xfId="0" applyFont="1" applyBorder="1" applyAlignment="1">
      <alignment vertical="center" wrapText="1"/>
    </xf>
    <xf numFmtId="0" fontId="8" fillId="0" borderId="9" xfId="0" applyFont="1" applyBorder="1" applyAlignment="1">
      <alignment horizontal="center" vertical="center" wrapText="1"/>
    </xf>
    <xf numFmtId="0" fontId="14" fillId="0" borderId="5" xfId="0" applyFont="1" applyBorder="1" applyAlignment="1">
      <alignment horizontal="center" vertical="center" wrapText="1"/>
    </xf>
    <xf numFmtId="0" fontId="8" fillId="0" borderId="1" xfId="0" applyFont="1" applyBorder="1" applyAlignment="1">
      <alignment vertical="center" wrapText="1"/>
    </xf>
    <xf numFmtId="0" fontId="8" fillId="0" borderId="6" xfId="0" applyFont="1" applyBorder="1" applyAlignment="1">
      <alignment horizontal="center" vertical="center" wrapText="1"/>
    </xf>
    <xf numFmtId="0" fontId="14" fillId="0" borderId="4" xfId="0" applyFont="1" applyBorder="1" applyAlignment="1">
      <alignment horizontal="center" vertical="center" wrapText="1"/>
    </xf>
    <xf numFmtId="0" fontId="8" fillId="0" borderId="12" xfId="0" applyFont="1" applyBorder="1" applyAlignment="1">
      <alignment vertical="center" wrapText="1"/>
    </xf>
    <xf numFmtId="0" fontId="8" fillId="0" borderId="4" xfId="0" applyFont="1" applyBorder="1" applyAlignment="1">
      <alignment horizontal="center" vertical="center" wrapText="1"/>
    </xf>
    <xf numFmtId="0" fontId="8" fillId="0" borderId="0" xfId="0" applyFont="1" applyAlignment="1">
      <alignment vertical="center" wrapText="1"/>
    </xf>
    <xf numFmtId="0" fontId="8" fillId="0" borderId="0" xfId="0" applyFont="1" applyAlignment="1">
      <alignment vertical="center"/>
    </xf>
    <xf numFmtId="0" fontId="17" fillId="0" borderId="0" xfId="0" applyFont="1" applyAlignment="1">
      <alignment horizontal="left" vertical="center"/>
    </xf>
    <xf numFmtId="0" fontId="5" fillId="12" borderId="0" xfId="0" applyFont="1" applyFill="1" applyAlignment="1">
      <alignment vertical="center"/>
    </xf>
    <xf numFmtId="0" fontId="8" fillId="12" borderId="0" xfId="0" applyFont="1" applyFill="1" applyAlignment="1">
      <alignment vertical="center" wrapText="1"/>
    </xf>
    <xf numFmtId="0" fontId="16" fillId="12" borderId="0" xfId="0" applyFont="1" applyFill="1" applyAlignment="1">
      <alignment vertical="center"/>
    </xf>
    <xf numFmtId="0" fontId="8" fillId="0" borderId="4" xfId="0" applyFont="1" applyBorder="1" applyAlignment="1">
      <alignment vertical="center" wrapText="1"/>
    </xf>
    <xf numFmtId="0" fontId="4" fillId="0" borderId="0" xfId="1" applyFill="1" applyAlignment="1" applyProtection="1"/>
    <xf numFmtId="0" fontId="5" fillId="2" borderId="6" xfId="0" applyFont="1" applyFill="1" applyBorder="1"/>
    <xf numFmtId="0" fontId="2" fillId="0" borderId="0" xfId="2" applyAlignment="1">
      <alignment wrapText="1"/>
    </xf>
    <xf numFmtId="0" fontId="1" fillId="0" borderId="5" xfId="2" applyFont="1" applyBorder="1" applyAlignment="1">
      <alignment horizontal="left" vertical="center" wrapText="1"/>
    </xf>
    <xf numFmtId="0" fontId="2" fillId="0" borderId="5" xfId="2" applyBorder="1" applyAlignment="1">
      <alignment horizontal="left" vertical="center" wrapText="1"/>
    </xf>
    <xf numFmtId="0" fontId="18" fillId="14" borderId="5" xfId="2" applyFont="1" applyFill="1" applyBorder="1" applyAlignment="1">
      <alignment horizontal="center" vertical="center" wrapText="1"/>
    </xf>
    <xf numFmtId="0" fontId="5" fillId="0" borderId="0" xfId="0" applyFont="1" applyAlignment="1" applyProtection="1">
      <alignment horizontal="right"/>
    </xf>
    <xf numFmtId="0" fontId="5" fillId="0" borderId="0" xfId="0" applyFont="1" applyAlignment="1" applyProtection="1">
      <alignment horizontal="right" wrapText="1"/>
    </xf>
    <xf numFmtId="0" fontId="19" fillId="0" borderId="0" xfId="0" applyFont="1"/>
    <xf numFmtId="0" fontId="20" fillId="0" borderId="4" xfId="0" applyFont="1" applyBorder="1" applyAlignment="1">
      <alignment vertical="center" wrapText="1"/>
    </xf>
    <xf numFmtId="0" fontId="8" fillId="0" borderId="0" xfId="0" applyFont="1"/>
    <xf numFmtId="0" fontId="21" fillId="0" borderId="0" xfId="0" applyFont="1"/>
    <xf numFmtId="1" fontId="19" fillId="0" borderId="0" xfId="0" applyNumberFormat="1" applyFont="1"/>
    <xf numFmtId="0" fontId="19" fillId="0" borderId="0" xfId="0" applyFont="1" applyAlignment="1" applyProtection="1"/>
    <xf numFmtId="0" fontId="8" fillId="0" borderId="0" xfId="0" applyFont="1" applyAlignment="1" applyProtection="1"/>
    <xf numFmtId="0" fontId="22" fillId="0" borderId="0" xfId="0" applyFont="1"/>
    <xf numFmtId="0" fontId="23" fillId="0" borderId="0" xfId="0" applyFont="1"/>
    <xf numFmtId="0" fontId="2" fillId="0" borderId="5" xfId="2" applyBorder="1" applyAlignment="1">
      <alignment horizontal="center" vertical="center" wrapText="1"/>
    </xf>
    <xf numFmtId="0" fontId="2" fillId="0" borderId="0" xfId="2" applyAlignment="1">
      <alignment horizontal="center" vertical="center" wrapText="1"/>
    </xf>
    <xf numFmtId="0" fontId="2" fillId="0" borderId="0" xfId="2" applyAlignment="1">
      <alignment horizontal="center" vertical="center"/>
    </xf>
    <xf numFmtId="0" fontId="26" fillId="0" borderId="0" xfId="0" applyFont="1" applyAlignment="1"/>
    <xf numFmtId="0" fontId="26" fillId="0" borderId="0" xfId="0" applyFont="1" applyAlignment="1" applyProtection="1"/>
    <xf numFmtId="14" fontId="26" fillId="2" borderId="1" xfId="0" applyNumberFormat="1" applyFont="1" applyFill="1" applyBorder="1" applyAlignment="1" applyProtection="1"/>
    <xf numFmtId="49" fontId="30" fillId="3" borderId="2" xfId="0" applyNumberFormat="1" applyFont="1" applyFill="1" applyBorder="1" applyAlignment="1" applyProtection="1">
      <alignment horizontal="center" vertical="center"/>
      <protection locked="0"/>
    </xf>
    <xf numFmtId="14" fontId="26" fillId="3" borderId="2" xfId="0" applyNumberFormat="1" applyFont="1" applyFill="1" applyBorder="1" applyAlignment="1" applyProtection="1">
      <alignment horizontal="center" vertical="center"/>
    </xf>
    <xf numFmtId="49" fontId="26" fillId="0" borderId="0" xfId="0" applyNumberFormat="1" applyFont="1" applyAlignment="1" applyProtection="1"/>
    <xf numFmtId="22" fontId="26" fillId="0" borderId="0" xfId="0" applyNumberFormat="1" applyFont="1" applyAlignment="1" applyProtection="1">
      <alignment horizontal="left"/>
    </xf>
    <xf numFmtId="0" fontId="26" fillId="0" borderId="0" xfId="0" applyFont="1" applyAlignment="1" applyProtection="1">
      <alignment horizontal="center"/>
    </xf>
    <xf numFmtId="0" fontId="26" fillId="2" borderId="1" xfId="0" applyFont="1" applyFill="1" applyBorder="1" applyAlignment="1" applyProtection="1"/>
    <xf numFmtId="0" fontId="26" fillId="3" borderId="2" xfId="0" applyNumberFormat="1" applyFont="1" applyFill="1" applyBorder="1" applyAlignment="1" applyProtection="1">
      <alignment horizontal="center" vertical="center"/>
    </xf>
    <xf numFmtId="0" fontId="26" fillId="0" borderId="0" xfId="0" applyFont="1" applyAlignment="1" applyProtection="1">
      <alignment horizontal="left"/>
    </xf>
    <xf numFmtId="0" fontId="26" fillId="0" borderId="0" xfId="0" applyFont="1" applyFill="1" applyBorder="1" applyAlignment="1" applyProtection="1"/>
    <xf numFmtId="0" fontId="26" fillId="3" borderId="3" xfId="0" applyNumberFormat="1" applyFont="1" applyFill="1" applyBorder="1" applyAlignment="1" applyProtection="1">
      <alignment horizontal="center" vertical="center"/>
      <protection locked="0"/>
    </xf>
    <xf numFmtId="0" fontId="31" fillId="0" borderId="0" xfId="0" applyFont="1" applyFill="1" applyAlignment="1" applyProtection="1"/>
    <xf numFmtId="0" fontId="26" fillId="2" borderId="12" xfId="0" applyFont="1" applyFill="1" applyBorder="1" applyAlignment="1" applyProtection="1"/>
    <xf numFmtId="1" fontId="26" fillId="3" borderId="15" xfId="0" applyNumberFormat="1" applyFont="1" applyFill="1" applyBorder="1" applyAlignment="1" applyProtection="1">
      <alignment horizontal="center" vertical="center"/>
    </xf>
    <xf numFmtId="0" fontId="33" fillId="0" borderId="0" xfId="0" applyFont="1"/>
    <xf numFmtId="0" fontId="34" fillId="0" borderId="0" xfId="0" applyFont="1"/>
    <xf numFmtId="0" fontId="24" fillId="2" borderId="5" xfId="0" applyFont="1" applyFill="1" applyBorder="1" applyAlignment="1">
      <alignment horizontal="center" vertical="center" wrapText="1" shrinkToFit="1"/>
    </xf>
    <xf numFmtId="0" fontId="24" fillId="2" borderId="5" xfId="0" applyFont="1" applyFill="1" applyBorder="1" applyAlignment="1">
      <alignment horizontal="center" vertical="center" wrapText="1"/>
    </xf>
    <xf numFmtId="0" fontId="24" fillId="4" borderId="5" xfId="0" applyFont="1" applyFill="1" applyBorder="1" applyAlignment="1">
      <alignment horizontal="center" vertical="center" wrapText="1" shrinkToFit="1"/>
    </xf>
    <xf numFmtId="0" fontId="25" fillId="13" borderId="5" xfId="0" applyFont="1" applyFill="1" applyBorder="1" applyAlignment="1">
      <alignment horizontal="center" vertical="center" wrapText="1"/>
    </xf>
    <xf numFmtId="0" fontId="25" fillId="11" borderId="5" xfId="0" applyFont="1" applyFill="1" applyBorder="1" applyAlignment="1">
      <alignment horizontal="center" vertical="center" wrapText="1"/>
    </xf>
    <xf numFmtId="0" fontId="26" fillId="0" borderId="0" xfId="0" applyFont="1" applyBorder="1" applyAlignment="1"/>
    <xf numFmtId="0" fontId="24" fillId="2" borderId="0" xfId="0" applyFont="1" applyFill="1" applyBorder="1" applyAlignment="1">
      <alignment horizontal="center" vertical="center" wrapText="1" shrinkToFit="1"/>
    </xf>
    <xf numFmtId="0" fontId="26" fillId="0" borderId="0" xfId="0" applyFont="1" applyBorder="1" applyAlignment="1">
      <alignment wrapText="1"/>
    </xf>
    <xf numFmtId="49" fontId="27" fillId="0" borderId="0" xfId="0" applyNumberFormat="1" applyFont="1" applyBorder="1" applyAlignment="1"/>
    <xf numFmtId="0" fontId="25" fillId="11" borderId="5" xfId="0" applyNumberFormat="1" applyFont="1" applyFill="1" applyBorder="1" applyAlignment="1">
      <alignment horizontal="center" vertical="center" wrapText="1"/>
    </xf>
    <xf numFmtId="0" fontId="26" fillId="0" borderId="16" xfId="0" applyFont="1" applyBorder="1" applyAlignment="1">
      <alignment wrapText="1"/>
    </xf>
    <xf numFmtId="0" fontId="26" fillId="0" borderId="16" xfId="0" applyFont="1" applyBorder="1" applyAlignment="1"/>
    <xf numFmtId="49" fontId="29" fillId="15" borderId="5" xfId="0" applyNumberFormat="1" applyFont="1" applyFill="1" applyBorder="1" applyAlignment="1"/>
    <xf numFmtId="14" fontId="27" fillId="0" borderId="4" xfId="0" applyNumberFormat="1" applyFont="1" applyBorder="1" applyAlignment="1"/>
    <xf numFmtId="49" fontId="27" fillId="0" borderId="4" xfId="0" applyNumberFormat="1" applyFont="1" applyBorder="1" applyAlignment="1"/>
    <xf numFmtId="0" fontId="27" fillId="0" borderId="4" xfId="0" applyFont="1" applyBorder="1" applyAlignment="1"/>
    <xf numFmtId="49" fontId="27" fillId="0" borderId="4" xfId="0" applyNumberFormat="1" applyFont="1" applyBorder="1" applyAlignment="1">
      <alignment horizontal="right"/>
    </xf>
    <xf numFmtId="49" fontId="27" fillId="0" borderId="4" xfId="0" applyNumberFormat="1" applyFont="1" applyBorder="1" applyAlignment="1">
      <alignment horizontal="center"/>
    </xf>
    <xf numFmtId="0" fontId="27" fillId="0" borderId="4" xfId="0" applyFont="1" applyBorder="1" applyAlignment="1">
      <alignment horizontal="center"/>
    </xf>
    <xf numFmtId="1" fontId="27" fillId="0" borderId="4" xfId="0" applyNumberFormat="1" applyFont="1" applyBorder="1" applyAlignment="1">
      <alignment horizontal="center"/>
    </xf>
    <xf numFmtId="164" fontId="27" fillId="0" borderId="4" xfId="0" applyNumberFormat="1" applyFont="1" applyBorder="1" applyAlignment="1"/>
    <xf numFmtId="0" fontId="28" fillId="0" borderId="4" xfId="0" applyFont="1" applyBorder="1" applyAlignment="1"/>
    <xf numFmtId="0" fontId="26" fillId="0" borderId="5" xfId="0" applyFont="1" applyBorder="1" applyAlignment="1"/>
    <xf numFmtId="0" fontId="35" fillId="0" borderId="0" xfId="0" applyFont="1"/>
    <xf numFmtId="1" fontId="36" fillId="0" borderId="0" xfId="0" applyNumberFormat="1" applyFont="1"/>
    <xf numFmtId="0" fontId="36" fillId="0" borderId="0" xfId="0" applyFont="1"/>
    <xf numFmtId="0" fontId="32" fillId="4" borderId="12" xfId="0" applyFont="1" applyFill="1" applyBorder="1" applyAlignment="1" applyProtection="1">
      <alignment horizontal="center" shrinkToFit="1"/>
    </xf>
    <xf numFmtId="0" fontId="32" fillId="4" borderId="14" xfId="0" applyFont="1" applyFill="1" applyBorder="1" applyAlignment="1" applyProtection="1">
      <alignment horizontal="center" shrinkToFit="1"/>
    </xf>
    <xf numFmtId="0" fontId="32" fillId="4" borderId="6" xfId="0" applyFont="1" applyFill="1" applyBorder="1" applyAlignment="1" applyProtection="1">
      <alignment horizontal="center" shrinkToFit="1"/>
    </xf>
    <xf numFmtId="0" fontId="15" fillId="11" borderId="5" xfId="0" applyFont="1" applyFill="1" applyBorder="1" applyAlignment="1">
      <alignment horizontal="center" vertical="center"/>
    </xf>
    <xf numFmtId="0" fontId="15" fillId="10" borderId="5" xfId="0" applyFont="1" applyFill="1" applyBorder="1" applyAlignment="1">
      <alignment horizontal="center" vertical="center"/>
    </xf>
  </cellXfs>
  <cellStyles count="3">
    <cellStyle name="Hyperlink" xfId="1" builtinId="8"/>
    <cellStyle name="Normal" xfId="0" builtinId="0"/>
    <cellStyle name="Normal 2" xfId="2" xr:uid="{00000000-0005-0000-0000-000002000000}"/>
  </cellStyles>
  <dxfs count="21">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MS Reference Sans Serif"/>
        <scheme val="none"/>
      </font>
    </dxf>
    <dxf>
      <font>
        <strike val="0"/>
        <outline val="0"/>
        <shadow val="0"/>
        <u val="none"/>
        <vertAlign val="baseline"/>
        <sz val="10"/>
      </font>
    </dxf>
    <dxf>
      <font>
        <strike val="0"/>
        <outline val="0"/>
        <shadow val="0"/>
        <u val="none"/>
        <vertAlign val="baseline"/>
        <sz val="1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alignment horizontal="general" vertical="center" textRotation="0" wrapText="0" indent="0" justifyLastLine="0" shrinkToFit="0" readingOrder="0"/>
    </dxf>
    <dxf>
      <font>
        <strike val="0"/>
        <outline val="0"/>
        <shadow val="0"/>
        <u val="none"/>
        <vertAlign val="baseline"/>
        <color auto="1"/>
        <name val="Arial"/>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dxf>
    <dxf>
      <border>
        <bottom style="thin">
          <color indexed="64"/>
        </bottom>
      </border>
    </dxf>
    <dxf>
      <font>
        <strike val="0"/>
        <outline val="0"/>
        <shadow val="0"/>
        <u val="none"/>
        <vertAlign val="baseline"/>
        <color auto="1"/>
        <name val="Arial"/>
        <scheme val="none"/>
      </font>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1</xdr:row>
          <xdr:rowOff>57150</xdr:rowOff>
        </xdr:from>
        <xdr:to>
          <xdr:col>10</xdr:col>
          <xdr:colOff>1543050</xdr:colOff>
          <xdr:row>2</xdr:row>
          <xdr:rowOff>200025</xdr:rowOff>
        </xdr:to>
        <xdr:sp macro="" textlink="">
          <xdr:nvSpPr>
            <xdr:cNvPr id="8213" name="CommandButton2" hidden="1">
              <a:extLst>
                <a:ext uri="{63B3BB69-23CF-44E3-9099-C40C66FF867C}">
                  <a14:compatExt spid="_x0000_s8213"/>
                </a:ext>
                <a:ext uri="{FF2B5EF4-FFF2-40B4-BE49-F238E27FC236}">
                  <a16:creationId xmlns:a16="http://schemas.microsoft.com/office/drawing/2014/main" id="{00000000-0008-0000-00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1638300</xdr:colOff>
          <xdr:row>3</xdr:row>
          <xdr:rowOff>28575</xdr:rowOff>
        </xdr:from>
        <xdr:to>
          <xdr:col>13</xdr:col>
          <xdr:colOff>19050</xdr:colOff>
          <xdr:row>4</xdr:row>
          <xdr:rowOff>161925</xdr:rowOff>
        </xdr:to>
        <xdr:sp macro="" textlink="">
          <xdr:nvSpPr>
            <xdr:cNvPr id="8214" name="CommandButton3"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38100</xdr:rowOff>
        </xdr:from>
        <xdr:to>
          <xdr:col>10</xdr:col>
          <xdr:colOff>1590675</xdr:colOff>
          <xdr:row>4</xdr:row>
          <xdr:rowOff>200025</xdr:rowOff>
        </xdr:to>
        <xdr:sp macro="" textlink="">
          <xdr:nvSpPr>
            <xdr:cNvPr id="8264" name="CommandButton4" hidden="1">
              <a:extLst>
                <a:ext uri="{63B3BB69-23CF-44E3-9099-C40C66FF867C}">
                  <a14:compatExt spid="_x0000_s8264"/>
                </a:ext>
                <a:ext uri="{FF2B5EF4-FFF2-40B4-BE49-F238E27FC236}">
                  <a16:creationId xmlns:a16="http://schemas.microsoft.com/office/drawing/2014/main" id="{00000000-0008-0000-00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1647825</xdr:colOff>
          <xdr:row>1</xdr:row>
          <xdr:rowOff>66675</xdr:rowOff>
        </xdr:from>
        <xdr:to>
          <xdr:col>13</xdr:col>
          <xdr:colOff>276225</xdr:colOff>
          <xdr:row>2</xdr:row>
          <xdr:rowOff>180975</xdr:rowOff>
        </xdr:to>
        <xdr:sp macro="" textlink="">
          <xdr:nvSpPr>
            <xdr:cNvPr id="8294" name="CommandButton1" hidden="1">
              <a:extLst>
                <a:ext uri="{63B3BB69-23CF-44E3-9099-C40C66FF867C}">
                  <a14:compatExt spid="_x0000_s8294"/>
                </a:ext>
                <a:ext uri="{FF2B5EF4-FFF2-40B4-BE49-F238E27FC236}">
                  <a16:creationId xmlns:a16="http://schemas.microsoft.com/office/drawing/2014/main" id="{00000000-0008-0000-0000-00006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0</xdr:rowOff>
        </xdr:from>
        <xdr:to>
          <xdr:col>2</xdr:col>
          <xdr:colOff>1419225</xdr:colOff>
          <xdr:row>0</xdr:row>
          <xdr:rowOff>219075</xdr:rowOff>
        </xdr:to>
        <xdr:sp macro="" textlink="">
          <xdr:nvSpPr>
            <xdr:cNvPr id="8299" name="ComboBox1" hidden="1">
              <a:extLst>
                <a:ext uri="{63B3BB69-23CF-44E3-9099-C40C66FF867C}">
                  <a14:compatExt spid="_x0000_s8299"/>
                </a:ext>
                <a:ext uri="{FF2B5EF4-FFF2-40B4-BE49-F238E27FC236}">
                  <a16:creationId xmlns:a16="http://schemas.microsoft.com/office/drawing/2014/main" id="{00000000-0008-0000-0000-00006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2</xdr:col>
      <xdr:colOff>254467</xdr:colOff>
      <xdr:row>27</xdr:row>
      <xdr:rowOff>0</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76563"/>
          <a:ext cx="7517280" cy="481210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3:F25" totalsRowShown="0" headerRowDxfId="20" dataDxfId="18" headerRowBorderDxfId="19" tableBorderDxfId="17" totalsRowBorderDxfId="16">
  <tableColumns count="3">
    <tableColumn id="1" xr3:uid="{00000000-0010-0000-0000-000001000000}" name="#" dataDxfId="15"/>
    <tableColumn id="2" xr3:uid="{00000000-0010-0000-0000-000002000000}" name="Name" dataDxfId="14"/>
    <tableColumn id="3" xr3:uid="{00000000-0010-0000-0000-000003000000}" name="Description" dataDxf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3:B11" totalsRowShown="0" headerRowDxfId="12" dataDxfId="11">
  <tableColumns count="2">
    <tableColumn id="1" xr3:uid="{00000000-0010-0000-0100-000001000000}" name="#" dataDxfId="10"/>
    <tableColumn id="2" xr3:uid="{00000000-0010-0000-0100-000002000000}" name="General Guidelines" dataDxfId="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N4:Q101" totalsRowShown="0" headerRowDxfId="5" dataDxfId="4">
  <autoFilter ref="N4:Q101" xr:uid="{00000000-0009-0000-0100-000003000000}"/>
  <sortState xmlns:xlrd2="http://schemas.microsoft.com/office/spreadsheetml/2017/richdata2" ref="N5:Q101">
    <sortCondition ref="N4:N101"/>
  </sortState>
  <tableColumns count="4">
    <tableColumn id="1" xr3:uid="{00000000-0010-0000-0200-000001000000}" name="vslName" dataDxfId="3"/>
    <tableColumn id="2" xr3:uid="{00000000-0010-0000-0200-000002000000}" name="IMO" dataDxfId="2"/>
    <tableColumn id="3" xr3:uid="{00000000-0010-0000-0200-000003000000}" name="threeCode" dataDxfId="1"/>
    <tableColumn id="4" xr3:uid="{00000000-0010-0000-0200-000004000000}" name="DRSCode"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file:///\\ORCASVR-101\shares\drsapp\Incoming" TargetMode="External"/><Relationship Id="rId1" Type="http://schemas.openxmlformats.org/officeDocument/2006/relationships/hyperlink" Target="file:///\\mms_svr01\DRsender\DRSendApp\script.bat" TargetMode="Externa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W8"/>
  <sheetViews>
    <sheetView showGridLines="0" tabSelected="1" topLeftCell="B1" zoomScaleNormal="100" workbookViewId="0">
      <pane ySplit="6" topLeftCell="A8" activePane="bottomLeft" state="frozen"/>
      <selection pane="bottomLeft" activeCell="C1" sqref="C1"/>
    </sheetView>
  </sheetViews>
  <sheetFormatPr defaultColWidth="9" defaultRowHeight="15" customHeight="1" x14ac:dyDescent="0.3"/>
  <cols>
    <col min="1" max="1" width="17.625" style="87" hidden="1" customWidth="1"/>
    <col min="2" max="2" width="11.875" style="87" customWidth="1"/>
    <col min="3" max="3" width="20.25" style="87" customWidth="1"/>
    <col min="4" max="4" width="14.875" style="87" customWidth="1"/>
    <col min="5" max="5" width="6.75" style="87" hidden="1" customWidth="1"/>
    <col min="6" max="6" width="9.375" style="87" hidden="1" customWidth="1"/>
    <col min="7" max="7" width="11.5" style="87" customWidth="1"/>
    <col min="8" max="8" width="16" style="87" customWidth="1"/>
    <col min="9" max="9" width="19.625" style="87" customWidth="1"/>
    <col min="10" max="10" width="8.625" style="87" customWidth="1"/>
    <col min="11" max="11" width="31.5" style="87" customWidth="1"/>
    <col min="12" max="12" width="15.25" style="87" hidden="1" customWidth="1"/>
    <col min="13" max="13" width="9" style="87" customWidth="1"/>
    <col min="14" max="14" width="43" style="87" customWidth="1"/>
    <col min="15" max="15" width="33.5" style="87" customWidth="1"/>
    <col min="16" max="16" width="11.5" style="87" customWidth="1"/>
    <col min="17" max="17" width="13.25" style="87" customWidth="1"/>
    <col min="18" max="18" width="9.625" style="87" bestFit="1" customWidth="1"/>
    <col min="19" max="19" width="21.5" style="87" customWidth="1"/>
    <col min="20" max="20" width="12.875" style="87" customWidth="1"/>
    <col min="21" max="23" width="9" style="87" customWidth="1"/>
    <col min="24" max="24" width="21.5" style="87" customWidth="1"/>
    <col min="25" max="25" width="11.125" style="87" customWidth="1"/>
    <col min="26" max="26" width="10.5" style="87" customWidth="1"/>
    <col min="27" max="27" width="16.875" style="87" customWidth="1"/>
    <col min="28" max="28" width="23.5" style="87" customWidth="1"/>
    <col min="29" max="29" width="13.5" style="87" customWidth="1"/>
    <col min="30" max="30" width="9" style="87" customWidth="1"/>
    <col min="31" max="31" width="11.5" style="87" customWidth="1"/>
    <col min="32" max="33" width="11" style="87" hidden="1" customWidth="1"/>
    <col min="34" max="34" width="11" style="87" customWidth="1"/>
    <col min="35" max="35" width="11.25" style="87" customWidth="1"/>
    <col min="36" max="36" width="11.625" style="87" customWidth="1"/>
    <col min="37" max="37" width="15.125" style="87" customWidth="1"/>
    <col min="38" max="38" width="15.5" style="87" customWidth="1"/>
    <col min="39" max="39" width="20.5" style="87" customWidth="1"/>
    <col min="40" max="40" width="11.25" style="87" customWidth="1"/>
    <col min="41" max="42" width="11" style="87" customWidth="1"/>
    <col min="43" max="43" width="14.5" style="87" customWidth="1"/>
    <col min="44" max="47" width="11" style="87" customWidth="1"/>
    <col min="48" max="48" width="16.125" style="87" customWidth="1"/>
    <col min="49" max="49" width="12.5" style="87" hidden="1" customWidth="1"/>
    <col min="50" max="50" width="14" style="87" hidden="1" customWidth="1"/>
    <col min="51" max="51" width="11" style="87" hidden="1" customWidth="1"/>
    <col min="52" max="52" width="11.5" style="87" hidden="1" customWidth="1"/>
    <col min="53" max="53" width="11.25" style="87" hidden="1" customWidth="1"/>
    <col min="54" max="54" width="11" style="87" hidden="1" customWidth="1"/>
    <col min="55" max="55" width="12.5" style="87" hidden="1" customWidth="1"/>
    <col min="56" max="56" width="15.25" style="87" hidden="1" customWidth="1"/>
    <col min="57" max="57" width="12.875" style="87" hidden="1" customWidth="1"/>
    <col min="58" max="59" width="11" style="87" hidden="1" customWidth="1"/>
    <col min="60" max="60" width="12.5" style="87" hidden="1" customWidth="1"/>
    <col min="61" max="63" width="11" style="87" hidden="1" customWidth="1"/>
    <col min="64" max="64" width="25.25" style="87" hidden="1" customWidth="1"/>
    <col min="65" max="65" width="13.625" style="87" hidden="1" customWidth="1"/>
    <col min="66" max="66" width="13.5" style="87" hidden="1" customWidth="1"/>
    <col min="67" max="68" width="11.625" style="87" hidden="1" customWidth="1"/>
    <col min="69" max="69" width="11.25" style="87" hidden="1" customWidth="1"/>
    <col min="70" max="70" width="10" style="87" hidden="1" customWidth="1"/>
    <col min="71" max="74" width="9" style="87" hidden="1" customWidth="1"/>
    <col min="75" max="75" width="11.5" style="87" hidden="1" customWidth="1"/>
    <col min="76" max="76" width="9" style="87" hidden="1" customWidth="1"/>
    <col min="77" max="77" width="10.875" style="87" hidden="1" customWidth="1"/>
    <col min="78" max="78" width="8.5" style="87" hidden="1" customWidth="1"/>
    <col min="79" max="81" width="10.5" style="87" hidden="1" customWidth="1"/>
    <col min="82" max="99" width="9.875" style="87" hidden="1" customWidth="1"/>
    <col min="100" max="100" width="7.5" style="87" hidden="1" customWidth="1"/>
    <col min="101" max="132" width="9" style="87" customWidth="1"/>
    <col min="133" max="133" width="38.625" style="87" customWidth="1"/>
    <col min="134" max="16384" width="9" style="87"/>
  </cols>
  <sheetData>
    <row r="1" spans="1:101" ht="18" customHeight="1" thickBot="1" x14ac:dyDescent="0.35">
      <c r="A1" s="88"/>
      <c r="B1" s="89" t="s">
        <v>799</v>
      </c>
      <c r="C1" s="90" t="s">
        <v>568</v>
      </c>
      <c r="D1" s="91" t="e">
        <f>VLOOKUP(C1,vesseldata,3,FALSE)</f>
        <v>#N/A</v>
      </c>
      <c r="E1" s="88"/>
      <c r="F1" s="88"/>
      <c r="G1" s="88"/>
      <c r="H1" s="92" t="s">
        <v>296</v>
      </c>
      <c r="I1" s="93">
        <v>44698.903946759259</v>
      </c>
      <c r="J1" s="88"/>
      <c r="K1" s="93" t="s">
        <v>1103</v>
      </c>
      <c r="L1" s="88"/>
      <c r="M1" s="88" t="s">
        <v>1093</v>
      </c>
      <c r="N1" s="88"/>
      <c r="O1" s="88"/>
      <c r="P1" s="88"/>
      <c r="Q1" s="88"/>
      <c r="R1" s="88"/>
      <c r="S1" s="88"/>
      <c r="T1" s="88"/>
      <c r="U1" s="88"/>
      <c r="V1" s="88"/>
      <c r="W1" s="88"/>
      <c r="X1" s="88"/>
      <c r="Y1" s="88"/>
      <c r="Z1" s="88"/>
      <c r="AA1" s="88"/>
      <c r="AB1" s="88"/>
      <c r="AC1" s="88"/>
      <c r="AD1" s="88"/>
      <c r="AE1" s="88"/>
      <c r="AF1" s="88"/>
      <c r="AG1" s="88"/>
      <c r="AH1" s="94"/>
      <c r="AI1" s="94"/>
      <c r="AJ1" s="94"/>
      <c r="AK1" s="94"/>
      <c r="AL1" s="94"/>
      <c r="AM1" s="94"/>
      <c r="AN1" s="94"/>
      <c r="AO1" s="94"/>
      <c r="AP1" s="94"/>
      <c r="AQ1" s="94"/>
      <c r="AR1" s="94"/>
      <c r="AS1" s="94"/>
      <c r="AT1" s="94"/>
      <c r="AU1" s="88"/>
      <c r="AV1" s="88"/>
      <c r="AW1" s="88"/>
      <c r="AX1" s="88"/>
      <c r="AY1" s="88"/>
      <c r="AZ1" s="88"/>
      <c r="BA1" s="88"/>
      <c r="BB1" s="88"/>
      <c r="BC1" s="88"/>
      <c r="BD1" s="88"/>
      <c r="BE1" s="88"/>
      <c r="BF1" s="88"/>
      <c r="BG1" s="88"/>
      <c r="BH1" s="88"/>
      <c r="BI1" s="88"/>
      <c r="BJ1" s="88"/>
      <c r="BK1" s="88"/>
      <c r="BL1" s="88"/>
      <c r="BM1" s="88"/>
      <c r="BN1" s="88"/>
      <c r="BO1" s="88"/>
      <c r="BP1" s="88"/>
      <c r="BQ1" s="88"/>
      <c r="BR1" s="88"/>
      <c r="BS1" s="88"/>
      <c r="BT1" s="88"/>
      <c r="BU1" s="88"/>
      <c r="BV1" s="88"/>
      <c r="BW1" s="88"/>
      <c r="BX1" s="88"/>
      <c r="BY1" s="88"/>
      <c r="BZ1" s="88"/>
      <c r="CA1" s="88"/>
      <c r="CB1" s="88"/>
      <c r="CC1" s="88"/>
      <c r="CD1" s="88"/>
      <c r="CE1" s="88"/>
      <c r="CF1" s="88"/>
      <c r="CG1" s="88"/>
      <c r="CH1" s="88"/>
      <c r="CI1" s="88"/>
      <c r="CJ1" s="88"/>
      <c r="CK1" s="88"/>
      <c r="CL1" s="88"/>
      <c r="CM1" s="88"/>
      <c r="CN1" s="88"/>
      <c r="CO1" s="88"/>
      <c r="CP1" s="88"/>
      <c r="CQ1" s="88"/>
      <c r="CR1" s="88"/>
      <c r="CS1" s="88"/>
      <c r="CT1" s="88"/>
      <c r="CU1" s="88"/>
      <c r="CV1" s="88"/>
    </row>
    <row r="2" spans="1:101" ht="18" customHeight="1" thickBot="1" x14ac:dyDescent="0.35">
      <c r="A2" s="88"/>
      <c r="B2" s="95" t="s">
        <v>297</v>
      </c>
      <c r="C2" s="96" t="e">
        <f>VLOOKUP($C$1,vesseldata,4,FALSE)</f>
        <v>#N/A</v>
      </c>
      <c r="D2" s="88"/>
      <c r="E2" s="88"/>
      <c r="F2" s="88"/>
      <c r="G2" s="88"/>
      <c r="H2" s="92"/>
      <c r="I2" s="97"/>
      <c r="J2" s="88"/>
      <c r="K2" s="98"/>
      <c r="L2" s="98"/>
      <c r="M2" s="98"/>
      <c r="N2" s="98"/>
      <c r="O2" s="88"/>
      <c r="P2" s="88"/>
      <c r="Q2" s="88"/>
      <c r="R2" s="88"/>
      <c r="S2" s="88"/>
      <c r="T2" s="88"/>
      <c r="U2" s="88"/>
      <c r="V2" s="88"/>
      <c r="W2" s="88"/>
      <c r="X2" s="88"/>
      <c r="Y2" s="88"/>
      <c r="Z2" s="88"/>
      <c r="AA2" s="88"/>
      <c r="AB2" s="88"/>
      <c r="AC2" s="88"/>
      <c r="AD2" s="88"/>
      <c r="AE2" s="88"/>
      <c r="AF2" s="88"/>
      <c r="AG2" s="88"/>
      <c r="AH2" s="94"/>
      <c r="AI2" s="94"/>
      <c r="AJ2" s="94"/>
      <c r="AK2" s="94"/>
      <c r="AL2" s="94"/>
      <c r="AM2" s="94"/>
      <c r="AN2" s="94"/>
      <c r="AO2" s="94"/>
      <c r="AP2" s="94"/>
      <c r="AQ2" s="94"/>
      <c r="AR2" s="94"/>
      <c r="AS2" s="94"/>
      <c r="AT2" s="94"/>
      <c r="AU2" s="88"/>
      <c r="AV2" s="88"/>
      <c r="AW2" s="88"/>
      <c r="AX2" s="88"/>
      <c r="AY2" s="88"/>
      <c r="AZ2" s="88"/>
      <c r="BA2" s="88"/>
      <c r="BB2" s="88"/>
      <c r="BC2" s="88"/>
      <c r="BD2" s="88"/>
      <c r="BE2" s="88"/>
      <c r="BF2" s="88"/>
      <c r="BG2" s="88"/>
      <c r="BH2" s="88"/>
      <c r="BI2" s="88"/>
      <c r="BJ2" s="88"/>
      <c r="BK2" s="88"/>
      <c r="BL2" s="88"/>
      <c r="BM2" s="88"/>
      <c r="BN2" s="88"/>
      <c r="BO2" s="88"/>
      <c r="BP2" s="88"/>
      <c r="BQ2" s="88"/>
      <c r="BR2" s="88"/>
      <c r="BS2" s="88"/>
      <c r="BT2" s="88"/>
      <c r="BU2" s="88"/>
      <c r="BV2" s="88"/>
      <c r="BW2" s="88"/>
      <c r="BX2" s="88"/>
      <c r="BY2" s="88"/>
      <c r="BZ2" s="88"/>
      <c r="CA2" s="88"/>
      <c r="CB2" s="88"/>
      <c r="CC2" s="88"/>
      <c r="CD2" s="88"/>
      <c r="CE2" s="88"/>
      <c r="CF2" s="88"/>
      <c r="CG2" s="88"/>
      <c r="CH2" s="88"/>
      <c r="CI2" s="88"/>
      <c r="CJ2" s="88"/>
      <c r="CK2" s="88"/>
      <c r="CL2" s="88"/>
      <c r="CM2" s="88"/>
      <c r="CN2" s="88"/>
      <c r="CO2" s="88"/>
      <c r="CP2" s="88"/>
      <c r="CQ2" s="88"/>
      <c r="CR2" s="88"/>
      <c r="CS2" s="88"/>
      <c r="CT2" s="88"/>
      <c r="CU2" s="88"/>
      <c r="CV2" s="88"/>
    </row>
    <row r="3" spans="1:101" ht="18" customHeight="1" thickBot="1" x14ac:dyDescent="0.35">
      <c r="A3" s="88"/>
      <c r="B3" s="95" t="s">
        <v>298</v>
      </c>
      <c r="C3" s="91">
        <f ca="1">TODAY()</f>
        <v>44712</v>
      </c>
      <c r="D3" s="88"/>
      <c r="E3" s="88"/>
      <c r="F3" s="88"/>
      <c r="G3" s="88"/>
      <c r="H3" s="92" t="s">
        <v>299</v>
      </c>
      <c r="I3" s="93"/>
      <c r="J3" s="88"/>
      <c r="K3" s="98"/>
      <c r="L3" s="98"/>
      <c r="M3" s="98"/>
      <c r="N3" s="98"/>
      <c r="O3" s="88"/>
      <c r="P3" s="88"/>
      <c r="Q3" s="88"/>
      <c r="R3" s="88"/>
      <c r="S3" s="88"/>
      <c r="T3" s="88"/>
      <c r="U3" s="88"/>
      <c r="V3" s="88"/>
      <c r="W3" s="88"/>
      <c r="X3" s="88"/>
      <c r="Y3" s="88"/>
      <c r="Z3" s="88"/>
      <c r="AA3" s="88"/>
      <c r="AB3" s="88"/>
      <c r="AC3" s="88"/>
      <c r="AD3" s="88"/>
      <c r="AE3" s="88"/>
      <c r="AF3" s="88"/>
      <c r="AG3" s="88"/>
      <c r="AH3" s="94"/>
      <c r="AI3" s="94"/>
      <c r="AJ3" s="94"/>
      <c r="AK3" s="94"/>
      <c r="AL3" s="94"/>
      <c r="AM3" s="94"/>
      <c r="AN3" s="94"/>
      <c r="AO3" s="94"/>
      <c r="AP3" s="94"/>
      <c r="AQ3" s="94"/>
      <c r="AR3" s="94"/>
      <c r="AS3" s="94"/>
      <c r="AT3" s="94"/>
      <c r="AU3" s="88"/>
      <c r="AV3" s="88"/>
      <c r="AW3" s="88"/>
      <c r="AX3" s="88"/>
      <c r="AY3" s="88"/>
      <c r="AZ3" s="88"/>
      <c r="BA3" s="88"/>
      <c r="BB3" s="88"/>
      <c r="BC3" s="88"/>
      <c r="BD3" s="88"/>
      <c r="BE3" s="88"/>
      <c r="BF3" s="88"/>
      <c r="BG3" s="88"/>
      <c r="BH3" s="88"/>
      <c r="BI3" s="88"/>
      <c r="BJ3" s="88"/>
      <c r="BK3" s="88"/>
      <c r="BL3" s="88"/>
      <c r="BM3" s="88"/>
      <c r="BN3" s="88"/>
      <c r="BO3" s="88"/>
      <c r="BP3" s="88"/>
      <c r="BQ3" s="88"/>
      <c r="BR3" s="88"/>
      <c r="BS3" s="88"/>
      <c r="BT3" s="88"/>
      <c r="BU3" s="88"/>
      <c r="BV3" s="88"/>
      <c r="BW3" s="88"/>
      <c r="BX3" s="88"/>
      <c r="BY3" s="88"/>
      <c r="BZ3" s="88"/>
      <c r="CA3" s="88"/>
      <c r="CB3" s="88"/>
      <c r="CC3" s="88"/>
      <c r="CD3" s="88"/>
      <c r="CE3" s="88"/>
      <c r="CF3" s="88"/>
      <c r="CG3" s="88"/>
      <c r="CH3" s="88"/>
      <c r="CI3" s="88"/>
      <c r="CJ3" s="88"/>
      <c r="CK3" s="88"/>
      <c r="CL3" s="88"/>
      <c r="CM3" s="88"/>
      <c r="CN3" s="88"/>
      <c r="CO3" s="88"/>
      <c r="CP3" s="88"/>
      <c r="CQ3" s="88"/>
      <c r="CR3" s="88"/>
      <c r="CS3" s="88"/>
      <c r="CT3" s="88"/>
      <c r="CU3" s="88"/>
      <c r="CV3" s="88"/>
    </row>
    <row r="4" spans="1:101" ht="18" customHeight="1" thickBot="1" x14ac:dyDescent="0.35">
      <c r="A4" s="88"/>
      <c r="B4" s="95" t="s">
        <v>300</v>
      </c>
      <c r="C4" s="99"/>
      <c r="D4" s="88"/>
      <c r="E4" s="88"/>
      <c r="F4" s="88"/>
      <c r="G4" s="88"/>
      <c r="H4" s="88"/>
      <c r="I4" s="88"/>
      <c r="J4" s="88"/>
      <c r="K4" s="98"/>
      <c r="L4" s="98"/>
      <c r="M4" s="98"/>
      <c r="N4" s="98"/>
      <c r="O4" s="88"/>
      <c r="P4" s="88"/>
      <c r="Q4" s="88"/>
      <c r="R4" s="88"/>
      <c r="S4" s="88"/>
      <c r="T4" s="88"/>
      <c r="U4" s="88"/>
      <c r="V4" s="88"/>
      <c r="W4" s="88"/>
      <c r="X4" s="88"/>
      <c r="Y4" s="88"/>
      <c r="Z4" s="88"/>
      <c r="AA4" s="88"/>
      <c r="AB4" s="88"/>
      <c r="AC4" s="88"/>
      <c r="AD4" s="88"/>
      <c r="AE4" s="88"/>
      <c r="AF4" s="88"/>
      <c r="AG4" s="88"/>
      <c r="AH4" s="94"/>
      <c r="AI4" s="94"/>
      <c r="AJ4" s="94"/>
      <c r="AK4" s="94"/>
      <c r="AL4" s="94"/>
      <c r="AM4" s="94"/>
      <c r="AN4" s="94"/>
      <c r="AO4" s="94"/>
      <c r="AP4" s="94"/>
      <c r="AQ4" s="94"/>
      <c r="AR4" s="94"/>
      <c r="AS4" s="94"/>
      <c r="AT4" s="94"/>
      <c r="AU4" s="88"/>
      <c r="AV4" s="88"/>
      <c r="AW4" s="88"/>
      <c r="AX4" s="88"/>
      <c r="AY4" s="88"/>
      <c r="AZ4" s="88"/>
      <c r="BA4" s="88"/>
      <c r="BB4" s="88"/>
      <c r="BC4" s="88"/>
      <c r="BD4" s="88"/>
      <c r="BE4" s="88"/>
      <c r="BF4" s="88"/>
      <c r="BG4" s="88"/>
      <c r="BH4" s="88"/>
      <c r="BI4" s="88"/>
      <c r="BJ4" s="88"/>
      <c r="BK4" s="88"/>
      <c r="BL4" s="88"/>
      <c r="BM4" s="88"/>
      <c r="BN4" s="88"/>
      <c r="BO4" s="88"/>
      <c r="BP4" s="88"/>
      <c r="BQ4" s="88"/>
      <c r="BR4" s="88"/>
      <c r="BS4" s="88"/>
      <c r="BT4" s="88"/>
      <c r="BU4" s="88"/>
      <c r="BV4" s="88"/>
      <c r="BW4" s="88"/>
      <c r="BX4" s="88"/>
      <c r="BY4" s="88"/>
      <c r="BZ4" s="88"/>
      <c r="CA4" s="88"/>
      <c r="CB4" s="88"/>
      <c r="CC4" s="88"/>
      <c r="CD4" s="88"/>
      <c r="CE4" s="88"/>
      <c r="CF4" s="100"/>
      <c r="CG4" s="100"/>
      <c r="CH4" s="88"/>
      <c r="CI4" s="88"/>
      <c r="CJ4" s="88"/>
      <c r="CK4" s="88"/>
      <c r="CL4" s="88"/>
      <c r="CM4" s="88"/>
      <c r="CN4" s="88"/>
      <c r="CO4" s="88"/>
      <c r="CP4" s="88"/>
      <c r="CQ4" s="88"/>
      <c r="CR4" s="88"/>
      <c r="CS4" s="88"/>
      <c r="CT4" s="88"/>
      <c r="CU4" s="88"/>
      <c r="CV4" s="88"/>
    </row>
    <row r="5" spans="1:101" ht="18" customHeight="1" x14ac:dyDescent="0.3">
      <c r="A5" s="88"/>
      <c r="B5" s="101" t="s">
        <v>481</v>
      </c>
      <c r="C5" s="102" t="e">
        <f>VLOOKUP($C$1,vesseldata,2,FALSE)</f>
        <v>#N/A</v>
      </c>
      <c r="D5" s="88"/>
      <c r="E5" s="88"/>
      <c r="F5" s="88"/>
      <c r="G5" s="88"/>
      <c r="H5" s="88"/>
      <c r="I5" s="88"/>
      <c r="J5" s="88"/>
      <c r="K5" s="98"/>
      <c r="L5" s="98"/>
      <c r="M5" s="98"/>
      <c r="N5" s="98"/>
      <c r="O5" s="88"/>
      <c r="P5" s="88"/>
      <c r="Q5" s="88"/>
      <c r="R5" s="88"/>
      <c r="S5" s="88"/>
      <c r="T5" s="88"/>
      <c r="U5" s="88"/>
      <c r="V5" s="88"/>
      <c r="W5" s="88"/>
      <c r="X5" s="131" t="s">
        <v>301</v>
      </c>
      <c r="Y5" s="132"/>
      <c r="Z5" s="132"/>
      <c r="AA5" s="132"/>
      <c r="AB5" s="132"/>
      <c r="AC5" s="132"/>
      <c r="AD5" s="132"/>
      <c r="AE5" s="133"/>
      <c r="AF5" s="88"/>
      <c r="AG5" s="88"/>
      <c r="AH5" s="94"/>
      <c r="AI5" s="94"/>
      <c r="AJ5" s="94"/>
      <c r="AK5" s="94"/>
      <c r="AL5" s="94"/>
      <c r="AM5" s="94"/>
      <c r="AN5" s="94"/>
      <c r="AO5" s="94"/>
      <c r="AP5" s="94"/>
      <c r="AQ5" s="94"/>
      <c r="AR5" s="94"/>
      <c r="AS5" s="94"/>
      <c r="AT5" s="94"/>
      <c r="AU5" s="88"/>
      <c r="AV5" s="88"/>
      <c r="AW5" s="88"/>
      <c r="AX5" s="88"/>
      <c r="AY5" s="88"/>
      <c r="AZ5" s="88"/>
      <c r="BA5" s="88"/>
      <c r="BB5" s="88"/>
      <c r="BC5" s="88"/>
      <c r="BD5" s="88"/>
      <c r="BE5" s="88"/>
      <c r="BF5" s="88"/>
      <c r="BG5" s="88"/>
      <c r="BH5" s="88"/>
      <c r="BI5" s="88"/>
      <c r="BJ5" s="88"/>
      <c r="BK5" s="88"/>
      <c r="BL5" s="88"/>
      <c r="BM5" s="88"/>
      <c r="BN5" s="88"/>
      <c r="BO5" s="88"/>
      <c r="BP5" s="88"/>
      <c r="BQ5" s="88"/>
      <c r="BR5" s="88"/>
      <c r="BS5" s="88"/>
      <c r="BT5" s="88"/>
      <c r="BU5" s="88"/>
      <c r="BV5" s="88"/>
      <c r="BW5" s="88"/>
      <c r="BX5" s="88"/>
      <c r="BY5" s="88"/>
      <c r="BZ5" s="88"/>
      <c r="CA5" s="88"/>
      <c r="CB5" s="88"/>
      <c r="CC5" s="88"/>
      <c r="CD5" s="88"/>
      <c r="CE5" s="88"/>
      <c r="CF5" s="88"/>
      <c r="CG5" s="88"/>
      <c r="CH5" s="88"/>
      <c r="CI5" s="88"/>
      <c r="CJ5" s="88"/>
      <c r="CK5" s="88"/>
      <c r="CL5" s="88"/>
      <c r="CM5" s="88"/>
      <c r="CN5" s="88"/>
      <c r="CO5" s="88"/>
      <c r="CP5" s="88"/>
      <c r="CQ5" s="88"/>
      <c r="CR5" s="88"/>
      <c r="CS5" s="88"/>
      <c r="CT5" s="88"/>
      <c r="CU5" s="88"/>
      <c r="CV5" s="88"/>
    </row>
    <row r="6" spans="1:101" s="112" customFormat="1" ht="24.75" customHeight="1" x14ac:dyDescent="0.3">
      <c r="A6" s="111" t="s">
        <v>302</v>
      </c>
      <c r="B6" s="105" t="s">
        <v>303</v>
      </c>
      <c r="C6" s="105" t="s">
        <v>304</v>
      </c>
      <c r="D6" s="105" t="s">
        <v>305</v>
      </c>
      <c r="E6" s="105" t="s">
        <v>497</v>
      </c>
      <c r="F6" s="105" t="s">
        <v>498</v>
      </c>
      <c r="G6" s="105" t="s">
        <v>306</v>
      </c>
      <c r="H6" s="105" t="s">
        <v>307</v>
      </c>
      <c r="I6" s="105" t="s">
        <v>308</v>
      </c>
      <c r="J6" s="105" t="s">
        <v>500</v>
      </c>
      <c r="K6" s="105" t="s">
        <v>309</v>
      </c>
      <c r="L6" s="105" t="s">
        <v>891</v>
      </c>
      <c r="M6" s="106" t="s">
        <v>954</v>
      </c>
      <c r="N6" s="105" t="s">
        <v>311</v>
      </c>
      <c r="O6" s="105" t="s">
        <v>312</v>
      </c>
      <c r="P6" s="105" t="s">
        <v>313</v>
      </c>
      <c r="Q6" s="105" t="s">
        <v>314</v>
      </c>
      <c r="R6" s="105" t="s">
        <v>315</v>
      </c>
      <c r="S6" s="105" t="s">
        <v>316</v>
      </c>
      <c r="T6" s="105" t="s">
        <v>317</v>
      </c>
      <c r="U6" s="105" t="s">
        <v>318</v>
      </c>
      <c r="V6" s="105" t="s">
        <v>319</v>
      </c>
      <c r="W6" s="105" t="s">
        <v>320</v>
      </c>
      <c r="X6" s="107" t="s">
        <v>321</v>
      </c>
      <c r="Y6" s="107" t="s">
        <v>322</v>
      </c>
      <c r="Z6" s="107" t="s">
        <v>893</v>
      </c>
      <c r="AA6" s="107" t="s">
        <v>323</v>
      </c>
      <c r="AB6" s="107" t="s">
        <v>324</v>
      </c>
      <c r="AC6" s="107" t="s">
        <v>325</v>
      </c>
      <c r="AD6" s="107" t="s">
        <v>326</v>
      </c>
      <c r="AE6" s="107" t="s">
        <v>955</v>
      </c>
      <c r="AF6" s="108" t="s">
        <v>499</v>
      </c>
      <c r="AG6" s="108" t="s">
        <v>892</v>
      </c>
      <c r="AH6" s="109" t="s">
        <v>890</v>
      </c>
      <c r="AI6" s="109" t="s">
        <v>482</v>
      </c>
      <c r="AJ6" s="109" t="s">
        <v>508</v>
      </c>
      <c r="AK6" s="109" t="s">
        <v>483</v>
      </c>
      <c r="AL6" s="109" t="s">
        <v>490</v>
      </c>
      <c r="AM6" s="109" t="s">
        <v>489</v>
      </c>
      <c r="AN6" s="109" t="s">
        <v>484</v>
      </c>
      <c r="AO6" s="109" t="s">
        <v>485</v>
      </c>
      <c r="AP6" s="109" t="s">
        <v>486</v>
      </c>
      <c r="AQ6" s="109" t="s">
        <v>487</v>
      </c>
      <c r="AR6" s="109" t="s">
        <v>488</v>
      </c>
      <c r="AS6" s="109" t="s">
        <v>342</v>
      </c>
      <c r="AT6" s="109" t="s">
        <v>492</v>
      </c>
      <c r="AU6" s="109" t="s">
        <v>491</v>
      </c>
      <c r="AV6" s="109" t="s">
        <v>493</v>
      </c>
      <c r="AW6" s="109" t="s">
        <v>494</v>
      </c>
      <c r="AX6" s="109" t="s">
        <v>495</v>
      </c>
      <c r="AY6" s="109" t="s">
        <v>496</v>
      </c>
      <c r="AZ6" s="109" t="s">
        <v>501</v>
      </c>
      <c r="BA6" s="109" t="s">
        <v>895</v>
      </c>
      <c r="BB6" s="109" t="s">
        <v>754</v>
      </c>
      <c r="BC6" s="109" t="s">
        <v>502</v>
      </c>
      <c r="BD6" s="109" t="s">
        <v>504</v>
      </c>
      <c r="BE6" s="109" t="s">
        <v>503</v>
      </c>
      <c r="BF6" s="109" t="s">
        <v>506</v>
      </c>
      <c r="BG6" s="109" t="s">
        <v>507</v>
      </c>
      <c r="BH6" s="109" t="s">
        <v>509</v>
      </c>
      <c r="BI6" s="109" t="s">
        <v>570</v>
      </c>
      <c r="BJ6" s="109" t="s">
        <v>585</v>
      </c>
      <c r="BK6" s="109" t="s">
        <v>626</v>
      </c>
      <c r="BL6" s="109" t="s">
        <v>855</v>
      </c>
      <c r="BM6" s="109" t="s">
        <v>856</v>
      </c>
      <c r="BN6" s="109" t="s">
        <v>880</v>
      </c>
      <c r="BO6" s="109" t="s">
        <v>881</v>
      </c>
      <c r="BP6" s="109" t="s">
        <v>961</v>
      </c>
      <c r="BQ6" s="109" t="s">
        <v>882</v>
      </c>
      <c r="BR6" s="109" t="s">
        <v>883</v>
      </c>
      <c r="BS6" s="109" t="s">
        <v>884</v>
      </c>
      <c r="BT6" s="109" t="s">
        <v>885</v>
      </c>
      <c r="BU6" s="109" t="s">
        <v>960</v>
      </c>
      <c r="BV6" s="109" t="s">
        <v>886</v>
      </c>
      <c r="BW6" s="109" t="s">
        <v>887</v>
      </c>
      <c r="BX6" s="109" t="s">
        <v>889</v>
      </c>
      <c r="BY6" s="109" t="s">
        <v>888</v>
      </c>
      <c r="BZ6" s="109" t="s">
        <v>860</v>
      </c>
      <c r="CA6" s="109" t="s">
        <v>861</v>
      </c>
      <c r="CB6" s="109" t="s">
        <v>857</v>
      </c>
      <c r="CC6" s="114" t="s">
        <v>859</v>
      </c>
      <c r="CD6" s="109" t="s">
        <v>862</v>
      </c>
      <c r="CE6" s="109" t="s">
        <v>863</v>
      </c>
      <c r="CF6" s="109" t="s">
        <v>864</v>
      </c>
      <c r="CG6" s="109" t="s">
        <v>865</v>
      </c>
      <c r="CH6" s="109" t="s">
        <v>866</v>
      </c>
      <c r="CI6" s="109" t="s">
        <v>867</v>
      </c>
      <c r="CJ6" s="109" t="s">
        <v>868</v>
      </c>
      <c r="CK6" s="109" t="s">
        <v>869</v>
      </c>
      <c r="CL6" s="109" t="s">
        <v>870</v>
      </c>
      <c r="CM6" s="109" t="s">
        <v>871</v>
      </c>
      <c r="CN6" s="109" t="s">
        <v>858</v>
      </c>
      <c r="CO6" s="109" t="s">
        <v>872</v>
      </c>
      <c r="CP6" s="109" t="s">
        <v>873</v>
      </c>
      <c r="CQ6" s="109" t="s">
        <v>874</v>
      </c>
      <c r="CR6" s="109" t="s">
        <v>875</v>
      </c>
      <c r="CS6" s="109" t="s">
        <v>876</v>
      </c>
      <c r="CT6" s="109" t="s">
        <v>877</v>
      </c>
      <c r="CU6" s="109" t="s">
        <v>878</v>
      </c>
      <c r="CV6" s="109" t="s">
        <v>879</v>
      </c>
      <c r="CW6" s="115"/>
    </row>
    <row r="7" spans="1:101" s="110" customFormat="1" ht="32.450000000000003" hidden="1" customHeight="1" x14ac:dyDescent="0.3">
      <c r="A7" s="113" t="s">
        <v>568</v>
      </c>
      <c r="B7" s="118"/>
      <c r="C7" s="119"/>
      <c r="D7" s="119"/>
      <c r="E7" s="120" t="str">
        <f>LEFT(D7,1)&amp;"moge"</f>
        <v>moge</v>
      </c>
      <c r="F7" s="119" t="str">
        <f>LEFT(D7,1)&amp;"hoge"</f>
        <v>hoge</v>
      </c>
      <c r="G7" s="119"/>
      <c r="H7" s="119"/>
      <c r="I7" s="119"/>
      <c r="J7" s="119" t="str">
        <f>LEFT(I7,3)</f>
        <v/>
      </c>
      <c r="K7" s="119"/>
      <c r="L7" s="119" t="str">
        <f>LEFT(K7,5)</f>
        <v/>
      </c>
      <c r="M7" s="120" t="s">
        <v>346</v>
      </c>
      <c r="N7" s="119"/>
      <c r="O7" s="119"/>
      <c r="P7" s="119"/>
      <c r="Q7" s="118"/>
      <c r="R7" s="118"/>
      <c r="S7" s="119"/>
      <c r="T7" s="118"/>
      <c r="U7" s="121" t="s">
        <v>295</v>
      </c>
      <c r="V7" s="121" t="s">
        <v>295</v>
      </c>
      <c r="W7" s="122" t="s">
        <v>262</v>
      </c>
      <c r="X7" s="119"/>
      <c r="Y7" s="119"/>
      <c r="Z7" s="119"/>
      <c r="AA7" s="119"/>
      <c r="AB7" s="119"/>
      <c r="AC7" s="118"/>
      <c r="AD7" s="119" t="s">
        <v>261</v>
      </c>
      <c r="AE7" s="119"/>
      <c r="AF7" s="119"/>
      <c r="AG7" s="119" t="s">
        <v>0</v>
      </c>
      <c r="AH7" s="122" t="s">
        <v>972</v>
      </c>
      <c r="AI7" s="122" t="b">
        <v>0</v>
      </c>
      <c r="AJ7" s="122"/>
      <c r="AK7" s="122" t="b">
        <v>0</v>
      </c>
      <c r="AL7" s="122"/>
      <c r="AM7" s="122" t="b">
        <v>0</v>
      </c>
      <c r="AN7" s="122" t="b">
        <v>0</v>
      </c>
      <c r="AO7" s="122" t="b">
        <v>0</v>
      </c>
      <c r="AP7" s="122" t="b">
        <v>0</v>
      </c>
      <c r="AQ7" s="122" t="b">
        <v>0</v>
      </c>
      <c r="AR7" s="122" t="b">
        <v>0</v>
      </c>
      <c r="AS7" s="122" t="b">
        <v>0</v>
      </c>
      <c r="AT7" s="123"/>
      <c r="AU7" s="124" t="e">
        <f>$C$5</f>
        <v>#N/A</v>
      </c>
      <c r="AV7" s="119" t="str">
        <f>$C$1</f>
        <v/>
      </c>
      <c r="AW7" s="120" t="e">
        <f>$C$2</f>
        <v>#N/A</v>
      </c>
      <c r="AX7" s="118">
        <f ca="1">$C$3</f>
        <v>44712</v>
      </c>
      <c r="AY7" s="120">
        <f>$C$4</f>
        <v>0</v>
      </c>
      <c r="AZ7" s="119"/>
      <c r="BA7" s="119"/>
      <c r="BB7" s="119"/>
      <c r="BC7" s="119"/>
      <c r="BD7" s="119"/>
      <c r="BE7" s="119"/>
      <c r="BF7" s="119"/>
      <c r="BG7" s="118"/>
      <c r="BH7" s="122" t="b">
        <v>0</v>
      </c>
      <c r="BI7" s="119"/>
      <c r="BJ7" s="119"/>
      <c r="BK7" s="119"/>
      <c r="BL7" s="119"/>
      <c r="BM7" s="119"/>
      <c r="BN7" s="119"/>
      <c r="BO7" s="119"/>
      <c r="BP7" s="119"/>
      <c r="BQ7" s="119"/>
      <c r="BR7" s="125"/>
      <c r="BS7" s="119"/>
      <c r="BT7" s="119"/>
      <c r="BU7" s="119"/>
      <c r="BV7" s="119"/>
      <c r="BW7" s="119"/>
      <c r="BX7" s="119"/>
      <c r="BY7" s="119"/>
      <c r="BZ7" s="119"/>
      <c r="CA7" s="119"/>
      <c r="CB7" s="119"/>
      <c r="CC7" s="118"/>
      <c r="CD7" s="119"/>
      <c r="CE7" s="118"/>
      <c r="CF7" s="119"/>
      <c r="CG7" s="118"/>
      <c r="CH7" s="119"/>
      <c r="CI7" s="118"/>
      <c r="CJ7" s="119"/>
      <c r="CK7" s="118"/>
      <c r="CL7" s="119"/>
      <c r="CM7" s="118"/>
      <c r="CN7" s="126"/>
      <c r="CO7" s="118"/>
      <c r="CP7" s="119"/>
      <c r="CQ7" s="119"/>
      <c r="CR7" s="119"/>
      <c r="CS7" s="119"/>
      <c r="CT7" s="118"/>
      <c r="CU7" s="119"/>
      <c r="CV7" s="118"/>
      <c r="CW7" s="116"/>
    </row>
    <row r="8" spans="1:101" s="110" customFormat="1" ht="15" customHeight="1" x14ac:dyDescent="0.3">
      <c r="A8" s="117" t="s">
        <v>1060</v>
      </c>
      <c r="B8" s="127"/>
      <c r="C8" s="127"/>
      <c r="D8" s="127"/>
      <c r="E8" s="127"/>
      <c r="F8" s="127"/>
      <c r="G8" s="127"/>
      <c r="H8" s="127"/>
      <c r="I8" s="127"/>
      <c r="J8" s="127"/>
      <c r="K8" s="127"/>
      <c r="L8" s="127"/>
      <c r="M8" s="127"/>
      <c r="N8" s="127"/>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7"/>
      <c r="BB8" s="127"/>
      <c r="BC8" s="127"/>
      <c r="BD8" s="127"/>
      <c r="BE8" s="127"/>
      <c r="BF8" s="127"/>
      <c r="BG8" s="127"/>
      <c r="BH8" s="127"/>
      <c r="BI8" s="127"/>
      <c r="BJ8" s="127"/>
      <c r="BK8" s="127"/>
      <c r="BL8" s="127"/>
      <c r="BM8" s="127"/>
      <c r="BN8" s="127"/>
      <c r="BO8" s="127"/>
      <c r="BP8" s="127"/>
      <c r="BQ8" s="127"/>
      <c r="BR8" s="127"/>
      <c r="BS8" s="127"/>
      <c r="BT8" s="127"/>
      <c r="BU8" s="127"/>
      <c r="BV8" s="127"/>
      <c r="BW8" s="127"/>
      <c r="BX8" s="127"/>
      <c r="BY8" s="127"/>
      <c r="BZ8" s="127"/>
      <c r="CA8" s="127"/>
      <c r="CB8" s="127"/>
      <c r="CC8" s="127"/>
      <c r="CD8" s="127"/>
      <c r="CE8" s="127"/>
      <c r="CF8" s="127"/>
      <c r="CG8" s="127"/>
      <c r="CH8" s="127"/>
      <c r="CI8" s="127"/>
      <c r="CJ8" s="127"/>
      <c r="CK8" s="127"/>
      <c r="CL8" s="127"/>
      <c r="CM8" s="127"/>
      <c r="CN8" s="127"/>
      <c r="CO8" s="127"/>
      <c r="CP8" s="127"/>
      <c r="CQ8" s="127"/>
      <c r="CR8" s="127"/>
      <c r="CS8" s="127"/>
      <c r="CT8" s="127"/>
      <c r="CU8" s="127"/>
      <c r="CV8" s="127"/>
      <c r="CW8" s="116"/>
    </row>
  </sheetData>
  <dataConsolidate link="1"/>
  <mergeCells count="1">
    <mergeCell ref="X5:AE5"/>
  </mergeCells>
  <phoneticPr fontId="3"/>
  <dataValidations count="1">
    <dataValidation type="whole" allowBlank="1" showInputMessage="1" showErrorMessage="1" errorTitle="IMO numner error" error="Enter only whole number with 7 digits starting with 9" promptTitle="Enter IMO number" prompt="only whole number with 7 digits starting with 9" sqref="C5" xr:uid="{00000000-0002-0000-0000-000000000000}">
      <formula1>8999999</formula1>
      <formula2>9999999</formula2>
    </dataValidation>
  </dataValidations>
  <pageMargins left="0.15748031496062992" right="0.15748031496062992" top="0.98425196850393704" bottom="0.98425196850393704" header="0.51181102362204722" footer="0.51181102362204722"/>
  <pageSetup paperSize="9" scale="75" orientation="landscape" r:id="rId1"/>
  <headerFooter alignWithMargins="0"/>
  <colBreaks count="1" manualBreakCount="1">
    <brk id="14" max="176" man="1"/>
  </colBreaks>
  <drawing r:id="rId2"/>
  <legacyDrawing r:id="rId3"/>
  <controls>
    <mc:AlternateContent xmlns:mc="http://schemas.openxmlformats.org/markup-compatibility/2006">
      <mc:Choice Requires="x14">
        <control shapeId="8294" r:id="rId4" name="CommandButton1">
          <controlPr defaultSize="0" autoLine="0" r:id="rId5">
            <anchor moveWithCells="1">
              <from>
                <xdr:col>10</xdr:col>
                <xdr:colOff>1647825</xdr:colOff>
                <xdr:row>1</xdr:row>
                <xdr:rowOff>66675</xdr:rowOff>
              </from>
              <to>
                <xdr:col>13</xdr:col>
                <xdr:colOff>266700</xdr:colOff>
                <xdr:row>2</xdr:row>
                <xdr:rowOff>180975</xdr:rowOff>
              </to>
            </anchor>
          </controlPr>
        </control>
      </mc:Choice>
      <mc:Fallback>
        <control shapeId="8294" r:id="rId4" name="CommandButton1"/>
      </mc:Fallback>
    </mc:AlternateContent>
    <mc:AlternateContent xmlns:mc="http://schemas.openxmlformats.org/markup-compatibility/2006">
      <mc:Choice Requires="x14">
        <control shapeId="8264" r:id="rId6" name="CommandButton4">
          <controlPr locked="0" defaultSize="0" autoLine="0" r:id="rId7">
            <anchor moveWithCells="1">
              <from>
                <xdr:col>10</xdr:col>
                <xdr:colOff>19050</xdr:colOff>
                <xdr:row>3</xdr:row>
                <xdr:rowOff>38100</xdr:rowOff>
              </from>
              <to>
                <xdr:col>10</xdr:col>
                <xdr:colOff>1590675</xdr:colOff>
                <xdr:row>4</xdr:row>
                <xdr:rowOff>200025</xdr:rowOff>
              </to>
            </anchor>
          </controlPr>
        </control>
      </mc:Choice>
      <mc:Fallback>
        <control shapeId="8264" r:id="rId6" name="CommandButton4"/>
      </mc:Fallback>
    </mc:AlternateContent>
    <mc:AlternateContent xmlns:mc="http://schemas.openxmlformats.org/markup-compatibility/2006">
      <mc:Choice Requires="x14">
        <control shapeId="8214" r:id="rId8" name="CommandButton3">
          <controlPr locked="0" defaultSize="0" autoLine="0" r:id="rId9">
            <anchor moveWithCells="1">
              <from>
                <xdr:col>10</xdr:col>
                <xdr:colOff>1638300</xdr:colOff>
                <xdr:row>3</xdr:row>
                <xdr:rowOff>28575</xdr:rowOff>
              </from>
              <to>
                <xdr:col>13</xdr:col>
                <xdr:colOff>19050</xdr:colOff>
                <xdr:row>4</xdr:row>
                <xdr:rowOff>161925</xdr:rowOff>
              </to>
            </anchor>
          </controlPr>
        </control>
      </mc:Choice>
      <mc:Fallback>
        <control shapeId="8214" r:id="rId8" name="CommandButton3"/>
      </mc:Fallback>
    </mc:AlternateContent>
    <mc:AlternateContent xmlns:mc="http://schemas.openxmlformats.org/markup-compatibility/2006">
      <mc:Choice Requires="x14">
        <control shapeId="8213" r:id="rId10" name="CommandButton2">
          <controlPr defaultSize="0" autoLine="0" r:id="rId11">
            <anchor moveWithCells="1">
              <from>
                <xdr:col>10</xdr:col>
                <xdr:colOff>19050</xdr:colOff>
                <xdr:row>1</xdr:row>
                <xdr:rowOff>57150</xdr:rowOff>
              </from>
              <to>
                <xdr:col>10</xdr:col>
                <xdr:colOff>1543050</xdr:colOff>
                <xdr:row>2</xdr:row>
                <xdr:rowOff>200025</xdr:rowOff>
              </to>
            </anchor>
          </controlPr>
        </control>
      </mc:Choice>
      <mc:Fallback>
        <control shapeId="8213" r:id="rId10" name="CommandButton2"/>
      </mc:Fallback>
    </mc:AlternateContent>
    <mc:AlternateContent xmlns:mc="http://schemas.openxmlformats.org/markup-compatibility/2006">
      <mc:Choice Requires="x14">
        <control shapeId="8299" r:id="rId12" name="ComboBox1">
          <controlPr defaultSize="0" autoLine="0" linkedCell="C1" listFillRange="shipname" r:id="rId13">
            <anchor moveWithCells="1">
              <from>
                <xdr:col>2</xdr:col>
                <xdr:colOff>19050</xdr:colOff>
                <xdr:row>0</xdr:row>
                <xdr:rowOff>0</xdr:rowOff>
              </from>
              <to>
                <xdr:col>2</xdr:col>
                <xdr:colOff>1419225</xdr:colOff>
                <xdr:row>0</xdr:row>
                <xdr:rowOff>219075</xdr:rowOff>
              </to>
            </anchor>
          </controlPr>
        </control>
      </mc:Choice>
      <mc:Fallback>
        <control shapeId="8299" r:id="rId12" name="ComboBox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G4333"/>
  <sheetViews>
    <sheetView zoomScale="96" zoomScaleNormal="96" workbookViewId="0">
      <selection sqref="A1:B1"/>
    </sheetView>
  </sheetViews>
  <sheetFormatPr defaultColWidth="0" defaultRowHeight="14.25" x14ac:dyDescent="0.15"/>
  <cols>
    <col min="1" max="1" width="4.25" style="45" bestFit="1" customWidth="1"/>
    <col min="2" max="2" width="91" style="47" bestFit="1" customWidth="1"/>
    <col min="3" max="3" width="3.5" style="47" customWidth="1"/>
    <col min="4" max="4" width="4.625" style="47" customWidth="1"/>
    <col min="5" max="5" width="11.875" style="47" customWidth="1"/>
    <col min="6" max="6" width="62.875" style="47" customWidth="1"/>
    <col min="7" max="7" width="0" style="47" hidden="1" customWidth="1"/>
    <col min="8" max="16384" width="9" style="47" hidden="1"/>
  </cols>
  <sheetData>
    <row r="1" spans="1:6" s="44" customFormat="1" ht="27.75" x14ac:dyDescent="0.15">
      <c r="A1" s="135" t="s">
        <v>894</v>
      </c>
      <c r="B1" s="135"/>
      <c r="C1" s="65"/>
      <c r="D1" s="134" t="s">
        <v>603</v>
      </c>
      <c r="E1" s="134"/>
      <c r="F1" s="134"/>
    </row>
    <row r="2" spans="1:6" ht="7.5" customHeight="1" x14ac:dyDescent="0.15">
      <c r="B2" s="46"/>
      <c r="C2" s="63"/>
      <c r="E2" s="46"/>
    </row>
    <row r="3" spans="1:6" ht="15" x14ac:dyDescent="0.15">
      <c r="A3" s="45" t="s">
        <v>587</v>
      </c>
      <c r="B3" s="62" t="s">
        <v>894</v>
      </c>
      <c r="C3" s="63"/>
      <c r="D3" s="48" t="s">
        <v>587</v>
      </c>
      <c r="E3" s="49" t="s">
        <v>588</v>
      </c>
      <c r="F3" s="50" t="s">
        <v>589</v>
      </c>
    </row>
    <row r="4" spans="1:6" ht="25.5" x14ac:dyDescent="0.15">
      <c r="A4" s="51">
        <v>1</v>
      </c>
      <c r="B4" s="52" t="s">
        <v>623</v>
      </c>
      <c r="C4" s="63"/>
      <c r="D4" s="53">
        <v>1</v>
      </c>
      <c r="E4" s="54" t="s">
        <v>602</v>
      </c>
      <c r="F4" s="55" t="s">
        <v>622</v>
      </c>
    </row>
    <row r="5" spans="1:6" ht="25.5" x14ac:dyDescent="0.15">
      <c r="A5" s="51">
        <v>2</v>
      </c>
      <c r="B5" s="52" t="s">
        <v>624</v>
      </c>
      <c r="C5" s="63"/>
      <c r="D5" s="53">
        <v>2</v>
      </c>
      <c r="E5" s="54" t="s">
        <v>600</v>
      </c>
      <c r="F5" s="55" t="s">
        <v>601</v>
      </c>
    </row>
    <row r="6" spans="1:6" ht="25.5" x14ac:dyDescent="0.15">
      <c r="A6" s="51">
        <v>3</v>
      </c>
      <c r="B6" s="52" t="s">
        <v>898</v>
      </c>
      <c r="C6" s="63"/>
      <c r="D6" s="53">
        <v>3</v>
      </c>
      <c r="E6" s="54" t="s">
        <v>304</v>
      </c>
      <c r="F6" s="55" t="s">
        <v>599</v>
      </c>
    </row>
    <row r="7" spans="1:6" x14ac:dyDescent="0.15">
      <c r="A7" s="51">
        <v>4</v>
      </c>
      <c r="B7" s="52" t="s">
        <v>604</v>
      </c>
      <c r="C7" s="63"/>
      <c r="D7" s="53">
        <v>4</v>
      </c>
      <c r="E7" s="54" t="s">
        <v>598</v>
      </c>
      <c r="F7" s="55" t="s">
        <v>621</v>
      </c>
    </row>
    <row r="8" spans="1:6" x14ac:dyDescent="0.15">
      <c r="A8" s="51">
        <v>5</v>
      </c>
      <c r="B8" s="52" t="s">
        <v>625</v>
      </c>
      <c r="C8" s="63"/>
      <c r="D8" s="53">
        <v>5</v>
      </c>
      <c r="E8" s="54" t="s">
        <v>596</v>
      </c>
      <c r="F8" s="55" t="s">
        <v>597</v>
      </c>
    </row>
    <row r="9" spans="1:6" ht="38.25" x14ac:dyDescent="0.15">
      <c r="A9" s="51">
        <v>6</v>
      </c>
      <c r="B9" s="66" t="s">
        <v>1043</v>
      </c>
      <c r="C9" s="63"/>
      <c r="D9" s="53">
        <v>6</v>
      </c>
      <c r="E9" s="54" t="s">
        <v>896</v>
      </c>
      <c r="F9" s="55" t="s">
        <v>1044</v>
      </c>
    </row>
    <row r="10" spans="1:6" x14ac:dyDescent="0.15">
      <c r="A10" s="51">
        <v>7</v>
      </c>
      <c r="B10" s="66" t="s">
        <v>605</v>
      </c>
      <c r="C10" s="63"/>
      <c r="D10" s="53">
        <v>7</v>
      </c>
      <c r="E10" s="54" t="s">
        <v>897</v>
      </c>
      <c r="F10" s="55" t="s">
        <v>595</v>
      </c>
    </row>
    <row r="11" spans="1:6" ht="25.5" x14ac:dyDescent="0.15">
      <c r="A11" s="51">
        <v>8</v>
      </c>
      <c r="B11" s="76" t="s">
        <v>1095</v>
      </c>
      <c r="C11" s="63"/>
      <c r="D11" s="53">
        <v>8</v>
      </c>
      <c r="E11" s="54" t="s">
        <v>593</v>
      </c>
      <c r="F11" s="55" t="s">
        <v>594</v>
      </c>
    </row>
    <row r="12" spans="1:6" ht="25.5" x14ac:dyDescent="0.15">
      <c r="C12" s="63"/>
      <c r="D12" s="53">
        <v>9</v>
      </c>
      <c r="E12" s="54" t="s">
        <v>592</v>
      </c>
      <c r="F12" s="55" t="s">
        <v>620</v>
      </c>
    </row>
    <row r="13" spans="1:6" ht="25.5" x14ac:dyDescent="0.15">
      <c r="C13" s="63"/>
      <c r="D13" s="53">
        <v>10</v>
      </c>
      <c r="E13" s="54" t="s">
        <v>890</v>
      </c>
      <c r="F13" s="55" t="s">
        <v>975</v>
      </c>
    </row>
    <row r="14" spans="1:6" ht="25.5" x14ac:dyDescent="0.15">
      <c r="C14" s="63"/>
      <c r="D14" s="53">
        <v>11</v>
      </c>
      <c r="E14" s="54" t="s">
        <v>591</v>
      </c>
      <c r="F14" s="55" t="s">
        <v>976</v>
      </c>
    </row>
    <row r="15" spans="1:6" x14ac:dyDescent="0.15">
      <c r="C15" s="63"/>
      <c r="D15" s="53">
        <v>12</v>
      </c>
      <c r="E15" s="54" t="s">
        <v>590</v>
      </c>
      <c r="F15" s="55" t="s">
        <v>586</v>
      </c>
    </row>
    <row r="16" spans="1:6" ht="25.5" x14ac:dyDescent="0.15">
      <c r="C16" s="63"/>
      <c r="D16" s="53">
        <v>13</v>
      </c>
      <c r="E16" s="54" t="s">
        <v>606</v>
      </c>
      <c r="F16" s="55" t="s">
        <v>613</v>
      </c>
    </row>
    <row r="17" spans="3:6" ht="38.25" x14ac:dyDescent="0.15">
      <c r="C17" s="63"/>
      <c r="D17" s="53">
        <v>14</v>
      </c>
      <c r="E17" s="54" t="s">
        <v>607</v>
      </c>
      <c r="F17" s="55" t="s">
        <v>614</v>
      </c>
    </row>
    <row r="18" spans="3:6" ht="25.5" x14ac:dyDescent="0.15">
      <c r="C18" s="63"/>
      <c r="D18" s="53">
        <v>15</v>
      </c>
      <c r="E18" s="54" t="s">
        <v>608</v>
      </c>
      <c r="F18" s="55" t="s">
        <v>615</v>
      </c>
    </row>
    <row r="19" spans="3:6" ht="38.25" x14ac:dyDescent="0.15">
      <c r="C19" s="63"/>
      <c r="D19" s="53">
        <v>16</v>
      </c>
      <c r="E19" s="54" t="s">
        <v>609</v>
      </c>
      <c r="F19" s="55" t="s">
        <v>616</v>
      </c>
    </row>
    <row r="20" spans="3:6" ht="25.5" x14ac:dyDescent="0.15">
      <c r="C20" s="63"/>
      <c r="D20" s="56">
        <v>17</v>
      </c>
      <c r="E20" s="57" t="s">
        <v>610</v>
      </c>
      <c r="F20" s="58" t="s">
        <v>617</v>
      </c>
    </row>
    <row r="21" spans="3:6" x14ac:dyDescent="0.15">
      <c r="C21" s="63"/>
      <c r="D21" s="53">
        <v>18</v>
      </c>
      <c r="E21" s="57" t="s">
        <v>611</v>
      </c>
      <c r="F21" s="58"/>
    </row>
    <row r="22" spans="3:6" ht="25.5" x14ac:dyDescent="0.15">
      <c r="C22" s="63"/>
      <c r="D22" s="56">
        <v>19</v>
      </c>
      <c r="E22" s="57" t="s">
        <v>487</v>
      </c>
      <c r="F22" s="58" t="s">
        <v>618</v>
      </c>
    </row>
    <row r="23" spans="3:6" x14ac:dyDescent="0.15">
      <c r="C23" s="63"/>
      <c r="D23" s="53">
        <v>20</v>
      </c>
      <c r="E23" s="59" t="s">
        <v>488</v>
      </c>
      <c r="F23" s="58" t="s">
        <v>619</v>
      </c>
    </row>
    <row r="24" spans="3:6" ht="25.5" x14ac:dyDescent="0.15">
      <c r="C24" s="63"/>
      <c r="D24" s="56">
        <v>21</v>
      </c>
      <c r="E24" s="59" t="s">
        <v>612</v>
      </c>
      <c r="F24" s="58" t="s">
        <v>1045</v>
      </c>
    </row>
    <row r="25" spans="3:6" ht="25.5" x14ac:dyDescent="0.15">
      <c r="C25" s="63"/>
      <c r="D25" s="53">
        <v>22</v>
      </c>
      <c r="E25" s="59" t="s">
        <v>1046</v>
      </c>
      <c r="F25" s="58" t="s">
        <v>1047</v>
      </c>
    </row>
    <row r="26" spans="3:6" x14ac:dyDescent="0.15">
      <c r="C26" s="63"/>
      <c r="D26" s="64"/>
      <c r="E26" s="64"/>
      <c r="F26" s="64"/>
    </row>
    <row r="27" spans="3:6" x14ac:dyDescent="0.15">
      <c r="C27" s="63"/>
      <c r="D27" s="64"/>
      <c r="E27" s="64"/>
      <c r="F27" s="64"/>
    </row>
    <row r="28" spans="3:6" x14ac:dyDescent="0.15">
      <c r="D28" s="60"/>
      <c r="E28" s="60"/>
      <c r="F28" s="60"/>
    </row>
    <row r="29" spans="3:6" x14ac:dyDescent="0.15">
      <c r="D29" s="61"/>
      <c r="E29" s="61"/>
    </row>
    <row r="30" spans="3:6" x14ac:dyDescent="0.15">
      <c r="D30" s="61"/>
      <c r="E30" s="61"/>
      <c r="F30" s="61"/>
    </row>
    <row r="31" spans="3:6" x14ac:dyDescent="0.15">
      <c r="D31" s="61"/>
      <c r="E31" s="61"/>
      <c r="F31" s="61"/>
    </row>
    <row r="32" spans="3:6" x14ac:dyDescent="0.15">
      <c r="D32" s="61"/>
      <c r="E32" s="61"/>
      <c r="F32" s="61"/>
    </row>
    <row r="33" spans="4:6" x14ac:dyDescent="0.15">
      <c r="D33" s="61"/>
      <c r="E33" s="61"/>
      <c r="F33" s="61"/>
    </row>
    <row r="34" spans="4:6" x14ac:dyDescent="0.15">
      <c r="D34" s="61"/>
      <c r="E34" s="61"/>
      <c r="F34" s="61"/>
    </row>
    <row r="4333" spans="1:1" x14ac:dyDescent="0.15">
      <c r="A4333" s="45" t="s">
        <v>1059</v>
      </c>
    </row>
  </sheetData>
  <mergeCells count="2">
    <mergeCell ref="D1:F1"/>
    <mergeCell ref="A1:B1"/>
  </mergeCells>
  <pageMargins left="0.7" right="0.7" top="0.75" bottom="0.75" header="0.3" footer="0.3"/>
  <pageSetup paperSize="9" orientation="portrait" r:id="rId1"/>
  <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1"/>
  <sheetViews>
    <sheetView workbookViewId="0">
      <selection activeCell="A2" sqref="A2"/>
    </sheetView>
  </sheetViews>
  <sheetFormatPr defaultRowHeight="13.5" x14ac:dyDescent="0.15"/>
  <cols>
    <col min="1" max="1" width="24.75" bestFit="1" customWidth="1"/>
    <col min="2" max="2" width="11" bestFit="1" customWidth="1"/>
    <col min="17" max="17" width="10.875" bestFit="1" customWidth="1"/>
    <col min="18" max="18" width="11.5" customWidth="1"/>
    <col min="20" max="20" width="12.25" customWidth="1"/>
    <col min="29" max="29" width="10.875" bestFit="1" customWidth="1"/>
    <col min="50" max="50" width="10.875" bestFit="1" customWidth="1"/>
    <col min="59" max="59" width="10.875" bestFit="1" customWidth="1"/>
    <col min="81" max="81" width="10.875" bestFit="1" customWidth="1"/>
    <col min="83" max="83" width="10.875" bestFit="1" customWidth="1"/>
    <col min="85" max="85" width="10.875" bestFit="1" customWidth="1"/>
    <col min="87" max="87" width="10.875" bestFit="1" customWidth="1"/>
    <col min="89" max="89" width="10.875" bestFit="1" customWidth="1"/>
    <col min="91" max="91" width="10.875" bestFit="1" customWidth="1"/>
    <col min="93" max="93" width="10.875" bestFit="1" customWidth="1"/>
    <col min="98" max="98" width="10.875" bestFit="1" customWidth="1"/>
    <col min="100" max="100" width="10.875" bestFit="1" customWidth="1"/>
  </cols>
  <sheetData>
    <row r="1" spans="1:100" ht="45" x14ac:dyDescent="0.25">
      <c r="A1" s="1" t="s">
        <v>512</v>
      </c>
      <c r="B1" s="4" t="s">
        <v>513</v>
      </c>
      <c r="C1" s="4" t="s">
        <v>514</v>
      </c>
      <c r="D1" s="4" t="s">
        <v>515</v>
      </c>
      <c r="E1" s="4" t="s">
        <v>497</v>
      </c>
      <c r="F1" s="4" t="s">
        <v>498</v>
      </c>
      <c r="G1" s="4" t="s">
        <v>516</v>
      </c>
      <c r="H1" s="5" t="s">
        <v>517</v>
      </c>
      <c r="I1" s="5" t="s">
        <v>518</v>
      </c>
      <c r="J1" s="5" t="s">
        <v>519</v>
      </c>
      <c r="K1" s="4" t="s">
        <v>520</v>
      </c>
      <c r="L1" s="4" t="s">
        <v>521</v>
      </c>
      <c r="M1" s="4" t="s">
        <v>522</v>
      </c>
      <c r="N1" s="4" t="s">
        <v>523</v>
      </c>
      <c r="O1" s="5" t="s">
        <v>524</v>
      </c>
      <c r="P1" s="5" t="s">
        <v>525</v>
      </c>
      <c r="Q1" s="5" t="s">
        <v>526</v>
      </c>
      <c r="R1" s="5" t="s">
        <v>527</v>
      </c>
      <c r="S1" s="5" t="s">
        <v>528</v>
      </c>
      <c r="T1" s="5" t="s">
        <v>529</v>
      </c>
      <c r="U1" s="4" t="s">
        <v>530</v>
      </c>
      <c r="V1" s="4" t="s">
        <v>531</v>
      </c>
      <c r="W1" s="4" t="s">
        <v>532</v>
      </c>
      <c r="X1" s="6" t="s">
        <v>533</v>
      </c>
      <c r="Y1" s="7" t="s">
        <v>534</v>
      </c>
      <c r="Z1" s="6" t="s">
        <v>535</v>
      </c>
      <c r="AA1" s="7" t="s">
        <v>536</v>
      </c>
      <c r="AB1" s="6" t="s">
        <v>537</v>
      </c>
      <c r="AC1" s="6" t="s">
        <v>538</v>
      </c>
      <c r="AD1" s="7" t="s">
        <v>539</v>
      </c>
      <c r="AE1" s="6" t="s">
        <v>540</v>
      </c>
      <c r="AF1" s="2" t="s">
        <v>541</v>
      </c>
      <c r="AG1" s="3" t="s">
        <v>542</v>
      </c>
      <c r="AH1" s="3" t="s">
        <v>890</v>
      </c>
      <c r="AI1" s="3" t="s">
        <v>549</v>
      </c>
      <c r="AJ1" s="3" t="s">
        <v>550</v>
      </c>
      <c r="AK1" s="3" t="s">
        <v>548</v>
      </c>
      <c r="AL1" s="3" t="s">
        <v>551</v>
      </c>
      <c r="AM1" s="3" t="s">
        <v>552</v>
      </c>
      <c r="AN1" s="3" t="s">
        <v>553</v>
      </c>
      <c r="AO1" s="3" t="s">
        <v>554</v>
      </c>
      <c r="AP1" s="3" t="s">
        <v>555</v>
      </c>
      <c r="AQ1" s="3" t="s">
        <v>556</v>
      </c>
      <c r="AR1" s="3" t="s">
        <v>557</v>
      </c>
      <c r="AS1" s="3" t="s">
        <v>543</v>
      </c>
      <c r="AT1" s="2" t="s">
        <v>558</v>
      </c>
      <c r="AU1" s="3" t="s">
        <v>559</v>
      </c>
      <c r="AV1" s="2" t="s">
        <v>544</v>
      </c>
      <c r="AW1" s="2" t="s">
        <v>560</v>
      </c>
      <c r="AX1" s="2" t="s">
        <v>561</v>
      </c>
      <c r="AY1" s="2" t="s">
        <v>562</v>
      </c>
      <c r="AZ1" s="2" t="s">
        <v>545</v>
      </c>
      <c r="BA1" s="2" t="s">
        <v>546</v>
      </c>
      <c r="BB1" s="2" t="s">
        <v>564</v>
      </c>
      <c r="BC1" s="2" t="s">
        <v>563</v>
      </c>
      <c r="BD1" s="2" t="s">
        <v>565</v>
      </c>
      <c r="BE1" s="2" t="s">
        <v>566</v>
      </c>
      <c r="BF1" s="2" t="s">
        <v>506</v>
      </c>
      <c r="BG1" s="2" t="s">
        <v>507</v>
      </c>
      <c r="BH1" s="2" t="s">
        <v>547</v>
      </c>
      <c r="BI1" s="2" t="s">
        <v>570</v>
      </c>
      <c r="BJ1" s="2" t="s">
        <v>585</v>
      </c>
      <c r="BK1" s="2" t="s">
        <v>626</v>
      </c>
      <c r="BL1" s="12" t="s">
        <v>855</v>
      </c>
      <c r="BM1" s="12" t="s">
        <v>856</v>
      </c>
      <c r="BN1" s="12" t="s">
        <v>880</v>
      </c>
      <c r="BO1" s="12" t="s">
        <v>881</v>
      </c>
      <c r="BP1" s="12" t="s">
        <v>961</v>
      </c>
      <c r="BQ1" s="12" t="s">
        <v>882</v>
      </c>
      <c r="BR1" s="12" t="s">
        <v>883</v>
      </c>
      <c r="BS1" s="12" t="s">
        <v>884</v>
      </c>
      <c r="BT1" s="12" t="s">
        <v>885</v>
      </c>
      <c r="BU1" s="12" t="s">
        <v>962</v>
      </c>
      <c r="BV1" s="12" t="s">
        <v>886</v>
      </c>
      <c r="BW1" s="12" t="s">
        <v>887</v>
      </c>
      <c r="BX1" s="12" t="s">
        <v>889</v>
      </c>
      <c r="BY1" s="12" t="s">
        <v>888</v>
      </c>
      <c r="BZ1" s="12" t="s">
        <v>860</v>
      </c>
      <c r="CA1" s="12" t="s">
        <v>861</v>
      </c>
      <c r="CB1" s="12" t="s">
        <v>857</v>
      </c>
      <c r="CC1" s="13" t="s">
        <v>859</v>
      </c>
      <c r="CD1" s="12" t="s">
        <v>862</v>
      </c>
      <c r="CE1" s="12" t="s">
        <v>863</v>
      </c>
      <c r="CF1" s="12" t="s">
        <v>864</v>
      </c>
      <c r="CG1" s="12" t="s">
        <v>865</v>
      </c>
      <c r="CH1" s="12" t="s">
        <v>866</v>
      </c>
      <c r="CI1" s="12" t="s">
        <v>867</v>
      </c>
      <c r="CJ1" s="12" t="s">
        <v>868</v>
      </c>
      <c r="CK1" s="12" t="s">
        <v>869</v>
      </c>
      <c r="CL1" s="12" t="s">
        <v>870</v>
      </c>
      <c r="CM1" s="12" t="s">
        <v>871</v>
      </c>
      <c r="CN1" s="12" t="s">
        <v>858</v>
      </c>
      <c r="CO1" s="12" t="s">
        <v>872</v>
      </c>
      <c r="CP1" s="12" t="s">
        <v>873</v>
      </c>
      <c r="CQ1" s="12" t="s">
        <v>874</v>
      </c>
      <c r="CR1" s="12" t="s">
        <v>875</v>
      </c>
      <c r="CS1" s="12" t="s">
        <v>876</v>
      </c>
      <c r="CT1" s="12" t="s">
        <v>877</v>
      </c>
      <c r="CU1" s="12" t="s">
        <v>878</v>
      </c>
      <c r="CV1" s="12" t="s">
        <v>879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7"/>
  <sheetViews>
    <sheetView showGridLines="0" zoomScaleNormal="100" workbookViewId="0">
      <selection activeCell="D3" sqref="D3"/>
    </sheetView>
  </sheetViews>
  <sheetFormatPr defaultColWidth="9.5" defaultRowHeight="15" customHeight="1" x14ac:dyDescent="0.25"/>
  <cols>
    <col min="1" max="1" width="12.5" style="42" customWidth="1"/>
    <col min="2" max="2" width="27" style="43" customWidth="1"/>
    <col min="3" max="5" width="23.125" style="43" customWidth="1"/>
    <col min="6" max="6" width="16.625" style="43" customWidth="1"/>
    <col min="7" max="7" width="24.625" style="43" customWidth="1"/>
    <col min="8" max="8" width="16.5" style="43" customWidth="1"/>
    <col min="9" max="9" width="12.25" style="86" customWidth="1"/>
    <col min="10" max="16384" width="9.5" style="43"/>
  </cols>
  <sheetData>
    <row r="1" spans="1:10" ht="30" x14ac:dyDescent="0.25">
      <c r="A1" s="72" t="s">
        <v>1042</v>
      </c>
      <c r="B1" s="72" t="s">
        <v>1031</v>
      </c>
      <c r="C1" s="72" t="s">
        <v>1032</v>
      </c>
      <c r="D1" s="72" t="s">
        <v>1038</v>
      </c>
      <c r="E1" s="72" t="s">
        <v>1037</v>
      </c>
      <c r="F1" s="72" t="s">
        <v>1036</v>
      </c>
      <c r="G1" s="72" t="s">
        <v>1033</v>
      </c>
      <c r="H1" s="72" t="s">
        <v>1034</v>
      </c>
      <c r="I1" s="72" t="s">
        <v>1035</v>
      </c>
    </row>
    <row r="2" spans="1:10" ht="60" x14ac:dyDescent="0.25">
      <c r="A2" s="71" t="s">
        <v>992</v>
      </c>
      <c r="B2" s="71" t="s">
        <v>993</v>
      </c>
      <c r="C2" s="71" t="s">
        <v>994</v>
      </c>
      <c r="D2" s="70" t="s">
        <v>1039</v>
      </c>
      <c r="E2" s="70" t="s">
        <v>1040</v>
      </c>
      <c r="F2" s="71" t="s">
        <v>995</v>
      </c>
      <c r="G2" s="71" t="s">
        <v>996</v>
      </c>
      <c r="H2" s="71" t="s">
        <v>997</v>
      </c>
      <c r="I2" s="84" t="s">
        <v>998</v>
      </c>
    </row>
    <row r="3" spans="1:10" ht="105" x14ac:dyDescent="0.25">
      <c r="A3" s="71" t="s">
        <v>999</v>
      </c>
      <c r="B3" s="71" t="s">
        <v>1000</v>
      </c>
      <c r="C3" s="71" t="s">
        <v>1001</v>
      </c>
      <c r="D3" s="70" t="s">
        <v>1021</v>
      </c>
      <c r="E3" s="71" t="s">
        <v>1002</v>
      </c>
      <c r="F3" s="70" t="s">
        <v>1022</v>
      </c>
      <c r="G3" s="71" t="s">
        <v>996</v>
      </c>
      <c r="H3" s="70" t="s">
        <v>1023</v>
      </c>
      <c r="I3" s="84" t="s">
        <v>998</v>
      </c>
    </row>
    <row r="4" spans="1:10" ht="75" x14ac:dyDescent="0.25">
      <c r="A4" s="71" t="s">
        <v>1003</v>
      </c>
      <c r="B4" s="70" t="s">
        <v>1024</v>
      </c>
      <c r="C4" s="71" t="s">
        <v>1004</v>
      </c>
      <c r="D4" s="70" t="s">
        <v>1041</v>
      </c>
      <c r="E4" s="70" t="s">
        <v>1025</v>
      </c>
      <c r="F4" s="70" t="s">
        <v>1026</v>
      </c>
      <c r="G4" s="71" t="s">
        <v>1005</v>
      </c>
      <c r="H4" s="70" t="s">
        <v>1027</v>
      </c>
      <c r="I4" s="84" t="s">
        <v>1006</v>
      </c>
    </row>
    <row r="5" spans="1:10" ht="105" x14ac:dyDescent="0.25">
      <c r="A5" s="71" t="s">
        <v>1007</v>
      </c>
      <c r="B5" s="71" t="s">
        <v>1008</v>
      </c>
      <c r="C5" s="70" t="s">
        <v>1028</v>
      </c>
      <c r="D5" s="70" t="s">
        <v>1019</v>
      </c>
      <c r="E5" s="70" t="s">
        <v>1029</v>
      </c>
      <c r="F5" s="70" t="s">
        <v>1020</v>
      </c>
      <c r="G5" s="71" t="s">
        <v>1009</v>
      </c>
      <c r="H5" s="71" t="s">
        <v>1010</v>
      </c>
      <c r="I5" s="84" t="s">
        <v>1011</v>
      </c>
    </row>
    <row r="6" spans="1:10" ht="45" x14ac:dyDescent="0.25">
      <c r="A6" s="71" t="s">
        <v>1012</v>
      </c>
      <c r="B6" s="71" t="s">
        <v>1013</v>
      </c>
      <c r="C6" s="71" t="s">
        <v>1014</v>
      </c>
      <c r="D6" s="70" t="s">
        <v>1030</v>
      </c>
      <c r="E6" s="71" t="s">
        <v>1015</v>
      </c>
      <c r="F6" s="71" t="s">
        <v>1016</v>
      </c>
      <c r="G6" s="71" t="s">
        <v>1017</v>
      </c>
      <c r="H6" s="71" t="s">
        <v>1010</v>
      </c>
      <c r="I6" s="84" t="s">
        <v>1018</v>
      </c>
    </row>
    <row r="7" spans="1:10" ht="15" customHeight="1" x14ac:dyDescent="0.25">
      <c r="B7" s="69"/>
      <c r="C7" s="69"/>
      <c r="D7" s="69"/>
      <c r="E7" s="69"/>
      <c r="F7" s="69"/>
      <c r="G7" s="69"/>
      <c r="H7" s="69"/>
      <c r="I7" s="85"/>
      <c r="J7" s="69"/>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BB272"/>
  <sheetViews>
    <sheetView topLeftCell="K4" workbookViewId="0">
      <selection activeCell="O10" sqref="O10"/>
    </sheetView>
  </sheetViews>
  <sheetFormatPr defaultColWidth="9" defaultRowHeight="14.25" x14ac:dyDescent="0.2"/>
  <cols>
    <col min="1" max="2" width="9" style="10"/>
    <col min="3" max="3" width="12.5" style="10" customWidth="1"/>
    <col min="4" max="4" width="11.125" style="10" bestFit="1" customWidth="1"/>
    <col min="5" max="6" width="9" style="10"/>
    <col min="7" max="7" width="22" style="10" bestFit="1" customWidth="1"/>
    <col min="8" max="8" width="7.875" style="10" customWidth="1"/>
    <col min="9" max="9" width="40.25" style="10" bestFit="1" customWidth="1"/>
    <col min="10" max="10" width="9" style="10"/>
    <col min="11" max="11" width="47.875" style="10" bestFit="1" customWidth="1"/>
    <col min="12" max="12" width="9" style="10"/>
    <col min="13" max="13" width="14.125" style="10" bestFit="1" customWidth="1"/>
    <col min="14" max="14" width="21.625" style="10" customWidth="1"/>
    <col min="15" max="15" width="11.875" style="10" customWidth="1"/>
    <col min="16" max="16" width="10.125" style="10" customWidth="1"/>
    <col min="17" max="17" width="11.5" style="10" customWidth="1"/>
    <col min="18" max="26" width="9" style="10"/>
    <col min="27" max="27" width="19.5" style="10" customWidth="1"/>
    <col min="28" max="36" width="9" style="10"/>
    <col min="37" max="37" width="36.125" style="10" bestFit="1" customWidth="1"/>
    <col min="38" max="38" width="9.875" style="10" customWidth="1"/>
    <col min="39" max="39" width="17.25" style="10" customWidth="1"/>
    <col min="40" max="42" width="9" style="10"/>
    <col min="43" max="43" width="12.5" style="10" customWidth="1"/>
    <col min="44" max="44" width="9" style="10"/>
    <col min="45" max="45" width="12.875" style="10" customWidth="1"/>
    <col min="46" max="49" width="9" style="10"/>
    <col min="50" max="50" width="28.875" style="10" customWidth="1"/>
    <col min="51" max="51" width="16.625" style="10" customWidth="1"/>
    <col min="52" max="16384" width="9" style="10"/>
  </cols>
  <sheetData>
    <row r="1" spans="1:54" s="17" customFormat="1" ht="82.5" customHeight="1" thickBot="1" x14ac:dyDescent="0.25">
      <c r="A1" s="15" t="s">
        <v>302</v>
      </c>
      <c r="B1" s="15" t="s">
        <v>303</v>
      </c>
      <c r="C1" s="15" t="s">
        <v>304</v>
      </c>
      <c r="D1" s="15" t="s">
        <v>305</v>
      </c>
      <c r="E1" s="15"/>
      <c r="F1" s="15"/>
      <c r="G1" s="15" t="s">
        <v>306</v>
      </c>
      <c r="H1" s="15" t="s">
        <v>307</v>
      </c>
      <c r="I1" s="15" t="s">
        <v>308</v>
      </c>
      <c r="J1" s="15"/>
      <c r="K1" s="15" t="s">
        <v>309</v>
      </c>
      <c r="L1" s="15"/>
      <c r="M1" s="15" t="s">
        <v>310</v>
      </c>
      <c r="N1" s="15" t="s">
        <v>311</v>
      </c>
      <c r="O1" s="15" t="s">
        <v>312</v>
      </c>
      <c r="P1" s="15" t="s">
        <v>313</v>
      </c>
      <c r="Q1" s="15" t="s">
        <v>314</v>
      </c>
      <c r="R1" s="15" t="s">
        <v>315</v>
      </c>
      <c r="S1" s="15" t="s">
        <v>316</v>
      </c>
      <c r="T1" s="15" t="s">
        <v>317</v>
      </c>
      <c r="U1" s="15" t="s">
        <v>318</v>
      </c>
      <c r="V1" s="15" t="s">
        <v>319</v>
      </c>
      <c r="W1" s="15" t="s">
        <v>320</v>
      </c>
      <c r="X1" s="16" t="s">
        <v>321</v>
      </c>
      <c r="Y1" s="16" t="s">
        <v>322</v>
      </c>
      <c r="Z1" s="16" t="s">
        <v>6</v>
      </c>
      <c r="AA1" s="16" t="s">
        <v>323</v>
      </c>
      <c r="AB1" s="16" t="s">
        <v>324</v>
      </c>
      <c r="AC1" s="16" t="s">
        <v>325</v>
      </c>
      <c r="AD1" s="16" t="s">
        <v>326</v>
      </c>
      <c r="AE1" s="16" t="s">
        <v>327</v>
      </c>
      <c r="AG1" s="3" t="s">
        <v>326</v>
      </c>
      <c r="AH1" s="18" t="s">
        <v>505</v>
      </c>
      <c r="AK1" s="17" t="s">
        <v>580</v>
      </c>
    </row>
    <row r="2" spans="1:54" ht="16.5" customHeight="1" x14ac:dyDescent="0.2">
      <c r="D2" s="19" t="s">
        <v>337</v>
      </c>
      <c r="E2" s="20"/>
      <c r="F2" s="20"/>
      <c r="G2" s="19" t="s">
        <v>338</v>
      </c>
      <c r="I2" s="19" t="s">
        <v>339</v>
      </c>
      <c r="J2" s="20"/>
      <c r="K2" s="19" t="s">
        <v>340</v>
      </c>
      <c r="L2" s="20"/>
      <c r="M2" s="10" t="s">
        <v>341</v>
      </c>
      <c r="W2" s="10" t="s">
        <v>262</v>
      </c>
      <c r="Y2" s="10" t="s">
        <v>342</v>
      </c>
      <c r="AA2" s="8" t="s">
        <v>1</v>
      </c>
      <c r="AB2" s="9"/>
      <c r="AD2" s="10" t="s">
        <v>261</v>
      </c>
      <c r="AK2" s="19" t="s">
        <v>340</v>
      </c>
      <c r="AM2" s="10" t="s">
        <v>628</v>
      </c>
      <c r="AN2" s="10" t="s">
        <v>627</v>
      </c>
      <c r="AQ2" s="10" t="s">
        <v>763</v>
      </c>
      <c r="AS2" s="19" t="s">
        <v>370</v>
      </c>
      <c r="AU2" s="10" t="s">
        <v>805</v>
      </c>
      <c r="AX2" s="10" t="s">
        <v>841</v>
      </c>
      <c r="AY2" s="21">
        <v>5</v>
      </c>
      <c r="BA2" s="67" t="s">
        <v>966</v>
      </c>
    </row>
    <row r="3" spans="1:54" ht="16.5" customHeight="1" thickBot="1" x14ac:dyDescent="0.25">
      <c r="D3" s="20" t="s">
        <v>343</v>
      </c>
      <c r="E3" s="22"/>
      <c r="F3" s="22"/>
      <c r="G3" s="19" t="s">
        <v>344</v>
      </c>
      <c r="I3" s="20" t="s">
        <v>345</v>
      </c>
      <c r="J3" s="22"/>
      <c r="K3" s="19" t="s">
        <v>26</v>
      </c>
      <c r="L3" s="20"/>
      <c r="M3" s="10" t="s">
        <v>346</v>
      </c>
      <c r="W3" s="10" t="s">
        <v>347</v>
      </c>
      <c r="Y3" s="10" t="s">
        <v>348</v>
      </c>
      <c r="AA3" s="8" t="s">
        <v>2</v>
      </c>
      <c r="AB3" s="9"/>
      <c r="AD3" s="10" t="s">
        <v>349</v>
      </c>
      <c r="AH3" s="18" t="s">
        <v>574</v>
      </c>
      <c r="AK3" s="19" t="s">
        <v>26</v>
      </c>
      <c r="AM3" s="10" t="s">
        <v>630</v>
      </c>
      <c r="AN3" s="10" t="s">
        <v>629</v>
      </c>
      <c r="AQ3" s="10" t="s">
        <v>765</v>
      </c>
      <c r="AS3" s="19" t="s">
        <v>370</v>
      </c>
      <c r="AU3" s="10" t="s">
        <v>806</v>
      </c>
      <c r="AX3" s="10" t="s">
        <v>842</v>
      </c>
      <c r="AY3" s="23">
        <v>4</v>
      </c>
      <c r="BA3" s="67" t="s">
        <v>1094</v>
      </c>
    </row>
    <row r="4" spans="1:54" ht="15" thickBot="1" x14ac:dyDescent="0.25">
      <c r="B4" s="73" t="s">
        <v>350</v>
      </c>
      <c r="C4" s="10" t="s">
        <v>351</v>
      </c>
      <c r="D4" s="22" t="s">
        <v>352</v>
      </c>
      <c r="E4" s="24"/>
      <c r="F4" s="24"/>
      <c r="G4" s="19" t="s">
        <v>353</v>
      </c>
      <c r="I4" s="22" t="s">
        <v>354</v>
      </c>
      <c r="J4" s="24"/>
      <c r="K4" s="19" t="s">
        <v>27</v>
      </c>
      <c r="L4" s="20"/>
      <c r="N4" s="75" t="s">
        <v>956</v>
      </c>
      <c r="O4" s="77" t="s">
        <v>957</v>
      </c>
      <c r="P4" s="77" t="s">
        <v>958</v>
      </c>
      <c r="Q4" s="78" t="s">
        <v>959</v>
      </c>
      <c r="W4" s="10" t="s">
        <v>355</v>
      </c>
      <c r="AA4" s="8" t="s">
        <v>3</v>
      </c>
      <c r="AB4" s="9"/>
      <c r="AH4" s="18" t="s">
        <v>575</v>
      </c>
      <c r="AK4" s="19" t="s">
        <v>27</v>
      </c>
      <c r="AM4" s="10" t="s">
        <v>632</v>
      </c>
      <c r="AN4" s="10" t="s">
        <v>631</v>
      </c>
      <c r="AQ4" s="10" t="s">
        <v>764</v>
      </c>
      <c r="AS4" s="19" t="s">
        <v>370</v>
      </c>
      <c r="AU4" s="10" t="s">
        <v>807</v>
      </c>
      <c r="AX4" s="10" t="s">
        <v>843</v>
      </c>
      <c r="AY4" s="23">
        <v>3</v>
      </c>
    </row>
    <row r="5" spans="1:54" ht="15" thickBot="1" x14ac:dyDescent="0.25">
      <c r="B5" s="73" t="s">
        <v>356</v>
      </c>
      <c r="C5" s="10" t="s">
        <v>357</v>
      </c>
      <c r="D5" s="25" t="s">
        <v>358</v>
      </c>
      <c r="G5" s="19" t="s">
        <v>359</v>
      </c>
      <c r="I5" s="25" t="s">
        <v>360</v>
      </c>
      <c r="J5" s="24"/>
      <c r="K5" s="19" t="s">
        <v>755</v>
      </c>
      <c r="L5" s="20"/>
      <c r="N5" s="75" t="s">
        <v>628</v>
      </c>
      <c r="O5" s="77">
        <v>9655420</v>
      </c>
      <c r="P5" s="77" t="s">
        <v>627</v>
      </c>
      <c r="Q5" s="77" t="s">
        <v>911</v>
      </c>
      <c r="AA5" s="8" t="s">
        <v>804</v>
      </c>
      <c r="AB5" s="9"/>
      <c r="AH5" s="18" t="s">
        <v>572</v>
      </c>
      <c r="AK5" s="19" t="s">
        <v>800</v>
      </c>
      <c r="AM5" s="10" t="s">
        <v>677</v>
      </c>
      <c r="AN5" s="10" t="s">
        <v>676</v>
      </c>
      <c r="AQ5" s="10" t="s">
        <v>766</v>
      </c>
      <c r="AS5" s="19" t="s">
        <v>362</v>
      </c>
      <c r="AU5" s="10" t="s">
        <v>808</v>
      </c>
      <c r="AX5" s="10" t="s">
        <v>844</v>
      </c>
      <c r="AY5" s="26">
        <v>2</v>
      </c>
    </row>
    <row r="6" spans="1:54" s="35" customFormat="1" ht="29.25" thickBot="1" x14ac:dyDescent="0.25">
      <c r="B6" s="74" t="s">
        <v>263</v>
      </c>
      <c r="C6" s="35" t="s">
        <v>264</v>
      </c>
      <c r="D6" s="36" t="s">
        <v>361</v>
      </c>
      <c r="G6" s="37" t="s">
        <v>362</v>
      </c>
      <c r="I6" s="36" t="s">
        <v>363</v>
      </c>
      <c r="J6" s="38"/>
      <c r="K6" s="37" t="s">
        <v>28</v>
      </c>
      <c r="L6" s="39"/>
      <c r="N6" s="75" t="s">
        <v>630</v>
      </c>
      <c r="O6" s="79">
        <v>9566473</v>
      </c>
      <c r="P6" s="75" t="s">
        <v>629</v>
      </c>
      <c r="Q6" s="75" t="s">
        <v>909</v>
      </c>
      <c r="AA6" s="40" t="s">
        <v>167</v>
      </c>
      <c r="AB6" s="41"/>
      <c r="AH6" s="35" t="s">
        <v>573</v>
      </c>
      <c r="AK6" s="37" t="s">
        <v>28</v>
      </c>
      <c r="AM6" s="35" t="s">
        <v>679</v>
      </c>
      <c r="AN6" s="35" t="s">
        <v>678</v>
      </c>
      <c r="AQ6" s="35" t="s">
        <v>767</v>
      </c>
      <c r="AS6" s="37" t="s">
        <v>359</v>
      </c>
      <c r="AU6" s="35" t="s">
        <v>809</v>
      </c>
      <c r="AX6" s="35" t="s">
        <v>845</v>
      </c>
      <c r="AY6" s="14">
        <v>1</v>
      </c>
    </row>
    <row r="7" spans="1:54" x14ac:dyDescent="0.2">
      <c r="B7" s="73" t="s">
        <v>204</v>
      </c>
      <c r="C7" s="10" t="s">
        <v>203</v>
      </c>
      <c r="D7" s="24" t="s">
        <v>364</v>
      </c>
      <c r="G7" s="19" t="s">
        <v>365</v>
      </c>
      <c r="I7" s="28" t="s">
        <v>366</v>
      </c>
      <c r="J7" s="24"/>
      <c r="K7" s="19" t="s">
        <v>29</v>
      </c>
      <c r="L7" s="20"/>
      <c r="N7" s="128" t="s">
        <v>1104</v>
      </c>
      <c r="O7" s="129">
        <v>9911525</v>
      </c>
      <c r="P7" s="130" t="s">
        <v>1106</v>
      </c>
      <c r="Q7" s="130" t="s">
        <v>1105</v>
      </c>
      <c r="AA7" s="8" t="s">
        <v>4</v>
      </c>
      <c r="AB7" s="9"/>
      <c r="AH7" s="18" t="s">
        <v>486</v>
      </c>
      <c r="AK7" s="19" t="s">
        <v>29</v>
      </c>
      <c r="AM7" s="10" t="s">
        <v>711</v>
      </c>
      <c r="AN7" s="10" t="s">
        <v>710</v>
      </c>
      <c r="AQ7" s="35" t="s">
        <v>1057</v>
      </c>
      <c r="AR7" s="35"/>
      <c r="AS7" s="19" t="s">
        <v>370</v>
      </c>
      <c r="AU7" s="10" t="s">
        <v>810</v>
      </c>
      <c r="AX7" s="10" t="s">
        <v>846</v>
      </c>
    </row>
    <row r="8" spans="1:54" x14ac:dyDescent="0.2">
      <c r="B8" s="73" t="s">
        <v>367</v>
      </c>
      <c r="C8" s="10" t="s">
        <v>281</v>
      </c>
      <c r="D8" s="28" t="s">
        <v>368</v>
      </c>
      <c r="G8" s="19" t="s">
        <v>369</v>
      </c>
      <c r="H8" s="11"/>
      <c r="I8" s="24" t="s">
        <v>7</v>
      </c>
      <c r="J8" s="24"/>
      <c r="K8" s="19" t="s">
        <v>576</v>
      </c>
      <c r="L8" s="20"/>
      <c r="N8" s="75" t="s">
        <v>632</v>
      </c>
      <c r="O8" s="75">
        <v>9667746</v>
      </c>
      <c r="P8" s="75" t="s">
        <v>631</v>
      </c>
      <c r="Q8" s="75" t="s">
        <v>910</v>
      </c>
      <c r="AA8" s="8" t="s">
        <v>5</v>
      </c>
      <c r="AB8" s="9"/>
      <c r="AH8" s="10" t="s">
        <v>571</v>
      </c>
      <c r="AK8" s="19" t="s">
        <v>576</v>
      </c>
      <c r="AM8" s="10" t="s">
        <v>634</v>
      </c>
      <c r="AN8" s="10" t="s">
        <v>633</v>
      </c>
      <c r="AQ8" s="10" t="s">
        <v>769</v>
      </c>
      <c r="AS8" s="19" t="s">
        <v>370</v>
      </c>
      <c r="AU8" s="10" t="s">
        <v>811</v>
      </c>
      <c r="AX8" s="10" t="s">
        <v>847</v>
      </c>
      <c r="BB8" s="10" t="s">
        <v>854</v>
      </c>
    </row>
    <row r="9" spans="1:54" x14ac:dyDescent="0.2">
      <c r="B9" s="73" t="s">
        <v>265</v>
      </c>
      <c r="C9" s="10" t="s">
        <v>266</v>
      </c>
      <c r="G9" s="19" t="s">
        <v>370</v>
      </c>
      <c r="H9" s="11"/>
      <c r="I9" s="24" t="s">
        <v>581</v>
      </c>
      <c r="J9" s="24"/>
      <c r="K9" s="19" t="s">
        <v>30</v>
      </c>
      <c r="L9" s="20"/>
      <c r="N9" s="75" t="s">
        <v>677</v>
      </c>
      <c r="O9" s="75">
        <v>9372327</v>
      </c>
      <c r="P9" s="75" t="s">
        <v>676</v>
      </c>
      <c r="Q9" s="75" t="s">
        <v>931</v>
      </c>
      <c r="AK9" s="19" t="s">
        <v>30</v>
      </c>
      <c r="AM9" s="10" t="s">
        <v>636</v>
      </c>
      <c r="AN9" s="10" t="s">
        <v>635</v>
      </c>
      <c r="AQ9" s="10" t="s">
        <v>768</v>
      </c>
      <c r="AS9" s="19" t="s">
        <v>353</v>
      </c>
      <c r="AU9" s="10" t="s">
        <v>812</v>
      </c>
      <c r="AX9" s="10" t="s">
        <v>848</v>
      </c>
    </row>
    <row r="10" spans="1:54" x14ac:dyDescent="0.2">
      <c r="B10" s="73" t="s">
        <v>234</v>
      </c>
      <c r="C10" s="10" t="s">
        <v>233</v>
      </c>
      <c r="G10" s="19"/>
      <c r="H10" s="11"/>
      <c r="I10" s="24" t="s">
        <v>582</v>
      </c>
      <c r="J10" s="24"/>
      <c r="K10" s="19" t="s">
        <v>31</v>
      </c>
      <c r="L10" s="20"/>
      <c r="N10" s="75" t="s">
        <v>679</v>
      </c>
      <c r="O10" s="75">
        <v>9539169</v>
      </c>
      <c r="P10" s="75" t="s">
        <v>678</v>
      </c>
      <c r="Q10" s="75" t="s">
        <v>1086</v>
      </c>
      <c r="AK10" s="19" t="s">
        <v>31</v>
      </c>
      <c r="AM10" s="10" t="s">
        <v>694</v>
      </c>
      <c r="AN10" s="10" t="s">
        <v>693</v>
      </c>
      <c r="AQ10" s="10" t="s">
        <v>770</v>
      </c>
      <c r="AS10" s="19" t="s">
        <v>370</v>
      </c>
      <c r="AU10" s="10" t="s">
        <v>813</v>
      </c>
      <c r="AX10" s="10" t="s">
        <v>849</v>
      </c>
    </row>
    <row r="11" spans="1:54" x14ac:dyDescent="0.2">
      <c r="B11" s="73" t="s">
        <v>269</v>
      </c>
      <c r="C11" s="10" t="s">
        <v>272</v>
      </c>
      <c r="G11" s="20" t="s">
        <v>371</v>
      </c>
      <c r="H11" s="11"/>
      <c r="I11" s="24" t="s">
        <v>8</v>
      </c>
      <c r="J11" s="24"/>
      <c r="K11" s="19" t="s">
        <v>756</v>
      </c>
      <c r="L11" s="20"/>
      <c r="N11" s="75" t="s">
        <v>711</v>
      </c>
      <c r="O11" s="77">
        <v>9382061</v>
      </c>
      <c r="P11" s="77" t="s">
        <v>710</v>
      </c>
      <c r="Q11" s="77" t="s">
        <v>949</v>
      </c>
      <c r="AK11" s="19" t="s">
        <v>577</v>
      </c>
      <c r="AM11" s="10" t="s">
        <v>696</v>
      </c>
      <c r="AN11" s="10" t="s">
        <v>695</v>
      </c>
      <c r="AQ11" s="10" t="s">
        <v>771</v>
      </c>
      <c r="AS11" s="19" t="s">
        <v>370</v>
      </c>
      <c r="AU11" s="10" t="s">
        <v>814</v>
      </c>
      <c r="AX11" s="10" t="s">
        <v>850</v>
      </c>
    </row>
    <row r="12" spans="1:54" x14ac:dyDescent="0.2">
      <c r="B12" s="73" t="s">
        <v>282</v>
      </c>
      <c r="C12" s="10" t="s">
        <v>283</v>
      </c>
      <c r="G12" s="20" t="s">
        <v>372</v>
      </c>
      <c r="H12" s="11"/>
      <c r="I12" s="24" t="s">
        <v>9</v>
      </c>
      <c r="J12" s="24"/>
      <c r="K12" s="19" t="s">
        <v>757</v>
      </c>
      <c r="L12" s="20"/>
      <c r="N12" s="75" t="s">
        <v>1069</v>
      </c>
      <c r="O12" s="75">
        <v>9894478</v>
      </c>
      <c r="P12" s="75" t="s">
        <v>1070</v>
      </c>
      <c r="Q12" s="75" t="s">
        <v>1071</v>
      </c>
      <c r="AK12" s="19" t="s">
        <v>578</v>
      </c>
      <c r="AM12" s="10" t="s">
        <v>713</v>
      </c>
      <c r="AN12" s="10" t="s">
        <v>712</v>
      </c>
      <c r="AQ12" s="10" t="s">
        <v>772</v>
      </c>
      <c r="AS12" s="19" t="s">
        <v>370</v>
      </c>
      <c r="AU12" s="10" t="s">
        <v>815</v>
      </c>
      <c r="AX12" s="10" t="s">
        <v>851</v>
      </c>
    </row>
    <row r="13" spans="1:54" x14ac:dyDescent="0.2">
      <c r="B13" s="73" t="s">
        <v>222</v>
      </c>
      <c r="C13" s="10" t="s">
        <v>221</v>
      </c>
      <c r="G13" s="20" t="s">
        <v>373</v>
      </c>
      <c r="H13" s="11"/>
      <c r="I13" s="24" t="s">
        <v>10</v>
      </c>
      <c r="J13" s="24"/>
      <c r="K13" s="19" t="s">
        <v>579</v>
      </c>
      <c r="L13" s="20"/>
      <c r="N13" s="75" t="s">
        <v>1072</v>
      </c>
      <c r="O13" s="75">
        <v>9894466</v>
      </c>
      <c r="P13" s="75" t="s">
        <v>1073</v>
      </c>
      <c r="Q13" s="75" t="s">
        <v>1074</v>
      </c>
      <c r="AK13" s="19" t="s">
        <v>579</v>
      </c>
      <c r="AM13" s="10" t="s">
        <v>715</v>
      </c>
      <c r="AN13" s="10" t="s">
        <v>714</v>
      </c>
      <c r="AQ13" s="10" t="s">
        <v>773</v>
      </c>
      <c r="AS13" s="19" t="s">
        <v>370</v>
      </c>
      <c r="AU13" s="10" t="s">
        <v>816</v>
      </c>
      <c r="AX13" s="10" t="s">
        <v>852</v>
      </c>
    </row>
    <row r="14" spans="1:54" x14ac:dyDescent="0.2">
      <c r="B14" s="73" t="s">
        <v>273</v>
      </c>
      <c r="C14" s="10" t="s">
        <v>274</v>
      </c>
      <c r="G14" s="22" t="s">
        <v>374</v>
      </c>
      <c r="H14" s="11"/>
      <c r="I14" s="24" t="s">
        <v>11</v>
      </c>
      <c r="J14" s="24"/>
      <c r="K14" s="19" t="s">
        <v>801</v>
      </c>
      <c r="L14" s="22"/>
      <c r="N14" s="128" t="s">
        <v>1107</v>
      </c>
      <c r="O14" s="129">
        <v>991537</v>
      </c>
      <c r="P14" s="130" t="s">
        <v>1108</v>
      </c>
      <c r="Q14" s="130" t="s">
        <v>1109</v>
      </c>
      <c r="AK14" s="19" t="s">
        <v>376</v>
      </c>
      <c r="AM14" s="10" t="s">
        <v>717</v>
      </c>
      <c r="AN14" s="10" t="s">
        <v>716</v>
      </c>
      <c r="AQ14" s="10" t="s">
        <v>775</v>
      </c>
      <c r="AS14" s="19" t="s">
        <v>338</v>
      </c>
      <c r="AU14" s="10" t="s">
        <v>817</v>
      </c>
      <c r="AX14" s="10" t="s">
        <v>853</v>
      </c>
    </row>
    <row r="15" spans="1:54" x14ac:dyDescent="0.2">
      <c r="B15" s="73" t="s">
        <v>230</v>
      </c>
      <c r="C15" s="10" t="s">
        <v>229</v>
      </c>
      <c r="G15" s="25" t="s">
        <v>375</v>
      </c>
      <c r="H15" s="11"/>
      <c r="I15" s="24" t="s">
        <v>12</v>
      </c>
      <c r="J15" s="24"/>
      <c r="K15" s="20" t="s">
        <v>378</v>
      </c>
      <c r="L15" s="22"/>
      <c r="N15" s="75" t="s">
        <v>634</v>
      </c>
      <c r="O15" s="75">
        <v>9696785</v>
      </c>
      <c r="P15" s="75" t="s">
        <v>633</v>
      </c>
      <c r="Q15" s="75" t="s">
        <v>912</v>
      </c>
      <c r="AM15" s="10" t="s">
        <v>681</v>
      </c>
      <c r="AN15" s="10" t="s">
        <v>680</v>
      </c>
      <c r="AQ15" s="10" t="s">
        <v>774</v>
      </c>
      <c r="AS15" s="19" t="s">
        <v>370</v>
      </c>
      <c r="AU15" s="10" t="s">
        <v>818</v>
      </c>
    </row>
    <row r="16" spans="1:54" x14ac:dyDescent="0.2">
      <c r="B16" s="73" t="s">
        <v>228</v>
      </c>
      <c r="C16" s="10" t="s">
        <v>227</v>
      </c>
      <c r="G16" s="25" t="s">
        <v>377</v>
      </c>
      <c r="H16" s="11"/>
      <c r="I16" s="24" t="s">
        <v>584</v>
      </c>
      <c r="J16" s="24"/>
      <c r="K16" s="20" t="s">
        <v>380</v>
      </c>
      <c r="L16" s="22"/>
      <c r="N16" s="75" t="s">
        <v>636</v>
      </c>
      <c r="O16" s="75">
        <v>9622813</v>
      </c>
      <c r="P16" s="75" t="s">
        <v>635</v>
      </c>
      <c r="Q16" s="75" t="s">
        <v>913</v>
      </c>
      <c r="AM16" s="10" t="s">
        <v>638</v>
      </c>
      <c r="AN16" s="10" t="s">
        <v>637</v>
      </c>
      <c r="AQ16" s="10" t="s">
        <v>776</v>
      </c>
      <c r="AS16" s="19" t="s">
        <v>370</v>
      </c>
      <c r="AU16" s="10" t="s">
        <v>819</v>
      </c>
    </row>
    <row r="17" spans="2:47" x14ac:dyDescent="0.2">
      <c r="B17" s="73" t="s">
        <v>275</v>
      </c>
      <c r="C17" s="10" t="s">
        <v>276</v>
      </c>
      <c r="G17" s="25" t="s">
        <v>379</v>
      </c>
      <c r="H17" s="11"/>
      <c r="I17" s="24" t="s">
        <v>13</v>
      </c>
      <c r="J17" s="24"/>
      <c r="K17" s="20" t="s">
        <v>382</v>
      </c>
      <c r="L17" s="22"/>
      <c r="N17" s="75" t="s">
        <v>694</v>
      </c>
      <c r="O17" s="77">
        <v>9405083</v>
      </c>
      <c r="P17" s="77" t="s">
        <v>693</v>
      </c>
      <c r="Q17" s="77" t="s">
        <v>934</v>
      </c>
      <c r="AM17" s="10" t="s">
        <v>719</v>
      </c>
      <c r="AN17" s="10" t="s">
        <v>718</v>
      </c>
      <c r="AQ17" s="10" t="s">
        <v>777</v>
      </c>
      <c r="AS17" s="19" t="s">
        <v>370</v>
      </c>
      <c r="AU17" s="10" t="s">
        <v>820</v>
      </c>
    </row>
    <row r="18" spans="2:47" x14ac:dyDescent="0.2">
      <c r="B18" s="73" t="s">
        <v>236</v>
      </c>
      <c r="C18" s="10" t="s">
        <v>235</v>
      </c>
      <c r="G18" s="25"/>
      <c r="H18" s="11"/>
      <c r="I18" s="24" t="s">
        <v>14</v>
      </c>
      <c r="J18" s="24"/>
      <c r="K18" s="20" t="s">
        <v>758</v>
      </c>
      <c r="L18" s="22"/>
      <c r="N18" s="75" t="s">
        <v>696</v>
      </c>
      <c r="O18" s="77">
        <v>9398307</v>
      </c>
      <c r="P18" s="77" t="s">
        <v>695</v>
      </c>
      <c r="Q18" s="77" t="s">
        <v>281</v>
      </c>
      <c r="AM18" s="10" t="s">
        <v>721</v>
      </c>
      <c r="AN18" s="10" t="s">
        <v>720</v>
      </c>
      <c r="AQ18" s="10" t="s">
        <v>778</v>
      </c>
      <c r="AS18" s="19" t="s">
        <v>370</v>
      </c>
      <c r="AU18" s="10" t="s">
        <v>821</v>
      </c>
    </row>
    <row r="19" spans="2:47" x14ac:dyDescent="0.2">
      <c r="B19" s="73" t="s">
        <v>384</v>
      </c>
      <c r="C19" s="10" t="s">
        <v>198</v>
      </c>
      <c r="G19" s="27" t="s">
        <v>381</v>
      </c>
      <c r="H19" s="11"/>
      <c r="I19" s="24" t="s">
        <v>15</v>
      </c>
      <c r="J19" s="24"/>
      <c r="K19" s="20" t="s">
        <v>386</v>
      </c>
      <c r="L19" s="22"/>
      <c r="N19" s="75" t="s">
        <v>713</v>
      </c>
      <c r="O19" s="77">
        <v>9367736</v>
      </c>
      <c r="P19" s="77" t="s">
        <v>712</v>
      </c>
      <c r="Q19" s="77" t="s">
        <v>278</v>
      </c>
      <c r="AM19" s="10" t="s">
        <v>723</v>
      </c>
      <c r="AN19" s="10" t="s">
        <v>722</v>
      </c>
      <c r="AQ19" s="10" t="s">
        <v>779</v>
      </c>
      <c r="AS19" s="19" t="s">
        <v>370</v>
      </c>
      <c r="AU19" s="10" t="s">
        <v>822</v>
      </c>
    </row>
    <row r="20" spans="2:47" x14ac:dyDescent="0.2">
      <c r="B20" s="73" t="s">
        <v>238</v>
      </c>
      <c r="C20" s="10" t="s">
        <v>237</v>
      </c>
      <c r="G20" s="27" t="s">
        <v>383</v>
      </c>
      <c r="H20" s="11"/>
      <c r="I20" s="24" t="s">
        <v>16</v>
      </c>
      <c r="J20" s="24"/>
      <c r="K20" s="20" t="s">
        <v>388</v>
      </c>
      <c r="L20" s="22"/>
      <c r="N20" s="75" t="s">
        <v>715</v>
      </c>
      <c r="O20" s="77">
        <v>9367724</v>
      </c>
      <c r="P20" s="77" t="s">
        <v>714</v>
      </c>
      <c r="Q20" s="77" t="s">
        <v>271</v>
      </c>
      <c r="AM20" s="10" t="s">
        <v>725</v>
      </c>
      <c r="AN20" s="10" t="s">
        <v>724</v>
      </c>
      <c r="AQ20" s="10" t="s">
        <v>780</v>
      </c>
      <c r="AS20" s="19" t="s">
        <v>370</v>
      </c>
      <c r="AU20" s="10" t="s">
        <v>823</v>
      </c>
    </row>
    <row r="21" spans="2:47" x14ac:dyDescent="0.2">
      <c r="B21" s="73" t="s">
        <v>240</v>
      </c>
      <c r="C21" s="10" t="s">
        <v>239</v>
      </c>
      <c r="G21" s="27" t="s">
        <v>385</v>
      </c>
      <c r="H21" s="11"/>
      <c r="I21" s="24" t="s">
        <v>17</v>
      </c>
      <c r="J21" s="24"/>
      <c r="K21" s="20" t="s">
        <v>762</v>
      </c>
      <c r="L21" s="22"/>
      <c r="N21" s="75" t="s">
        <v>265</v>
      </c>
      <c r="O21" s="77">
        <v>9347310</v>
      </c>
      <c r="P21" s="77" t="s">
        <v>904</v>
      </c>
      <c r="Q21" s="77" t="s">
        <v>266</v>
      </c>
      <c r="AM21" s="10" t="s">
        <v>698</v>
      </c>
      <c r="AN21" s="10" t="s">
        <v>697</v>
      </c>
      <c r="AQ21" s="10" t="s">
        <v>781</v>
      </c>
      <c r="AS21" s="19" t="s">
        <v>370</v>
      </c>
      <c r="AU21" s="10" t="s">
        <v>824</v>
      </c>
    </row>
    <row r="22" spans="2:47" x14ac:dyDescent="0.2">
      <c r="B22" s="73" t="s">
        <v>242</v>
      </c>
      <c r="C22" s="10" t="s">
        <v>241</v>
      </c>
      <c r="G22" s="27" t="s">
        <v>387</v>
      </c>
      <c r="H22" s="11"/>
      <c r="I22" s="24" t="s">
        <v>391</v>
      </c>
      <c r="J22" s="24"/>
      <c r="K22" s="20" t="s">
        <v>392</v>
      </c>
      <c r="L22" s="22"/>
      <c r="N22" s="80" t="s">
        <v>717</v>
      </c>
      <c r="O22" s="81">
        <v>9788605</v>
      </c>
      <c r="P22" s="81" t="s">
        <v>716</v>
      </c>
      <c r="Q22" s="81" t="s">
        <v>965</v>
      </c>
      <c r="AM22" s="10" t="s">
        <v>236</v>
      </c>
      <c r="AN22" s="10" t="s">
        <v>726</v>
      </c>
      <c r="AQ22" s="10" t="s">
        <v>782</v>
      </c>
      <c r="AS22" s="19" t="s">
        <v>370</v>
      </c>
      <c r="AU22" s="10" t="s">
        <v>825</v>
      </c>
    </row>
    <row r="23" spans="2:47" x14ac:dyDescent="0.2">
      <c r="B23" s="73" t="s">
        <v>248</v>
      </c>
      <c r="C23" s="10" t="s">
        <v>247</v>
      </c>
      <c r="G23" s="27"/>
      <c r="H23" s="11"/>
      <c r="I23" s="24" t="s">
        <v>18</v>
      </c>
      <c r="J23" s="24"/>
      <c r="K23" s="20" t="s">
        <v>394</v>
      </c>
      <c r="L23" s="22"/>
      <c r="N23" s="75" t="s">
        <v>681</v>
      </c>
      <c r="O23" s="75">
        <v>9182356</v>
      </c>
      <c r="P23" s="75" t="s">
        <v>680</v>
      </c>
      <c r="Q23" s="75" t="s">
        <v>221</v>
      </c>
      <c r="AM23" s="10" t="s">
        <v>700</v>
      </c>
      <c r="AN23" s="10" t="s">
        <v>699</v>
      </c>
      <c r="AQ23" s="10" t="s">
        <v>783</v>
      </c>
      <c r="AS23" s="19" t="s">
        <v>370</v>
      </c>
      <c r="AU23" s="10" t="s">
        <v>826</v>
      </c>
    </row>
    <row r="24" spans="2:47" x14ac:dyDescent="0.2">
      <c r="B24" s="73" t="s">
        <v>285</v>
      </c>
      <c r="C24" s="10" t="s">
        <v>286</v>
      </c>
      <c r="G24" s="24" t="s">
        <v>389</v>
      </c>
      <c r="H24" s="11"/>
      <c r="I24" s="24" t="s">
        <v>583</v>
      </c>
      <c r="J24" s="24"/>
      <c r="K24" s="20" t="s">
        <v>761</v>
      </c>
      <c r="L24" s="22"/>
      <c r="N24" s="75" t="s">
        <v>638</v>
      </c>
      <c r="O24" s="75">
        <v>9591973</v>
      </c>
      <c r="P24" s="75" t="s">
        <v>637</v>
      </c>
      <c r="Q24" s="75" t="s">
        <v>914</v>
      </c>
      <c r="AM24" s="10" t="s">
        <v>240</v>
      </c>
      <c r="AN24" s="10" t="s">
        <v>727</v>
      </c>
      <c r="AQ24" s="10" t="s">
        <v>784</v>
      </c>
      <c r="AS24" s="19" t="s">
        <v>370</v>
      </c>
      <c r="AU24" s="10" t="s">
        <v>827</v>
      </c>
    </row>
    <row r="25" spans="2:47" x14ac:dyDescent="0.2">
      <c r="B25" s="73" t="s">
        <v>287</v>
      </c>
      <c r="C25" s="10" t="s">
        <v>288</v>
      </c>
      <c r="G25" s="24" t="s">
        <v>390</v>
      </c>
      <c r="H25" s="11"/>
      <c r="I25" s="24" t="s">
        <v>19</v>
      </c>
      <c r="J25" s="24"/>
      <c r="K25" s="20" t="s">
        <v>760</v>
      </c>
      <c r="L25" s="22"/>
      <c r="N25" s="75" t="s">
        <v>719</v>
      </c>
      <c r="O25" s="77">
        <v>9812743</v>
      </c>
      <c r="P25" s="77" t="s">
        <v>718</v>
      </c>
      <c r="Q25" s="77" t="s">
        <v>939</v>
      </c>
      <c r="AM25" s="10" t="s">
        <v>640</v>
      </c>
      <c r="AN25" s="10" t="s">
        <v>639</v>
      </c>
      <c r="AQ25" s="10" t="s">
        <v>785</v>
      </c>
      <c r="AS25" s="19" t="s">
        <v>365</v>
      </c>
      <c r="AU25" s="10" t="s">
        <v>828</v>
      </c>
    </row>
    <row r="26" spans="2:47" x14ac:dyDescent="0.2">
      <c r="B26" s="73" t="s">
        <v>250</v>
      </c>
      <c r="C26" s="10" t="s">
        <v>249</v>
      </c>
      <c r="G26" s="24"/>
      <c r="H26" s="11"/>
      <c r="I26" s="24" t="s">
        <v>20</v>
      </c>
      <c r="J26" s="24"/>
      <c r="K26" s="20" t="s">
        <v>759</v>
      </c>
      <c r="L26" s="22"/>
      <c r="N26" s="75" t="s">
        <v>721</v>
      </c>
      <c r="O26" s="77">
        <v>9812755</v>
      </c>
      <c r="P26" s="77" t="s">
        <v>720</v>
      </c>
      <c r="Q26" s="77" t="s">
        <v>940</v>
      </c>
      <c r="AM26" s="10" t="s">
        <v>750</v>
      </c>
      <c r="AN26" s="10" t="s">
        <v>728</v>
      </c>
      <c r="AQ26" s="10" t="s">
        <v>786</v>
      </c>
      <c r="AS26" s="19" t="s">
        <v>370</v>
      </c>
      <c r="AU26" s="10" t="s">
        <v>829</v>
      </c>
    </row>
    <row r="27" spans="2:47" x14ac:dyDescent="0.2">
      <c r="B27" s="73" t="s">
        <v>293</v>
      </c>
      <c r="C27" s="10" t="s">
        <v>294</v>
      </c>
      <c r="G27" s="28" t="s">
        <v>393</v>
      </c>
      <c r="H27" s="11"/>
      <c r="I27" s="24" t="s">
        <v>21</v>
      </c>
      <c r="J27" s="24"/>
      <c r="K27" s="20" t="s">
        <v>802</v>
      </c>
      <c r="L27" s="22"/>
      <c r="N27" s="75" t="s">
        <v>723</v>
      </c>
      <c r="O27" s="77">
        <v>9433810</v>
      </c>
      <c r="P27" s="77" t="s">
        <v>722</v>
      </c>
      <c r="Q27" s="77" t="s">
        <v>941</v>
      </c>
      <c r="AM27" s="10" t="s">
        <v>730</v>
      </c>
      <c r="AN27" s="10" t="s">
        <v>729</v>
      </c>
      <c r="AQ27" s="10" t="s">
        <v>787</v>
      </c>
      <c r="AS27" s="19" t="s">
        <v>370</v>
      </c>
      <c r="AU27" s="10" t="s">
        <v>830</v>
      </c>
    </row>
    <row r="28" spans="2:47" x14ac:dyDescent="0.2">
      <c r="B28" s="73" t="s">
        <v>252</v>
      </c>
      <c r="C28" s="10" t="s">
        <v>251</v>
      </c>
      <c r="G28" s="28" t="s">
        <v>395</v>
      </c>
      <c r="H28" s="11"/>
      <c r="I28" s="24" t="s">
        <v>22</v>
      </c>
      <c r="J28" s="24"/>
      <c r="K28" s="25" t="s">
        <v>336</v>
      </c>
      <c r="L28" s="22"/>
      <c r="N28" s="75" t="s">
        <v>725</v>
      </c>
      <c r="O28" s="77">
        <v>9387255</v>
      </c>
      <c r="P28" s="77" t="s">
        <v>724</v>
      </c>
      <c r="Q28" s="77" t="s">
        <v>276</v>
      </c>
      <c r="AM28" s="10" t="s">
        <v>732</v>
      </c>
      <c r="AN28" s="10" t="s">
        <v>731</v>
      </c>
      <c r="AQ28" s="10" t="s">
        <v>788</v>
      </c>
      <c r="AS28" s="19" t="s">
        <v>370</v>
      </c>
      <c r="AU28" s="10" t="s">
        <v>831</v>
      </c>
    </row>
    <row r="29" spans="2:47" x14ac:dyDescent="0.2">
      <c r="B29" s="73" t="s">
        <v>254</v>
      </c>
      <c r="C29" s="10" t="s">
        <v>253</v>
      </c>
      <c r="G29" s="28" t="s">
        <v>396</v>
      </c>
      <c r="H29" s="11"/>
      <c r="I29" s="24" t="s">
        <v>23</v>
      </c>
      <c r="K29" s="25" t="s">
        <v>32</v>
      </c>
      <c r="L29" s="22"/>
      <c r="N29" s="75" t="s">
        <v>698</v>
      </c>
      <c r="O29" s="77">
        <v>9838008</v>
      </c>
      <c r="P29" s="77" t="s">
        <v>697</v>
      </c>
      <c r="Q29" s="77" t="s">
        <v>935</v>
      </c>
      <c r="AM29" s="10" t="s">
        <v>642</v>
      </c>
      <c r="AN29" s="10" t="s">
        <v>641</v>
      </c>
      <c r="AQ29" s="10" t="s">
        <v>789</v>
      </c>
      <c r="AS29" s="19" t="s">
        <v>370</v>
      </c>
      <c r="AU29" s="10" t="s">
        <v>832</v>
      </c>
    </row>
    <row r="30" spans="2:47" x14ac:dyDescent="0.2">
      <c r="B30" s="73" t="s">
        <v>256</v>
      </c>
      <c r="C30" s="10" t="s">
        <v>255</v>
      </c>
      <c r="G30" s="28" t="s">
        <v>397</v>
      </c>
      <c r="H30" s="11"/>
      <c r="I30" s="24" t="s">
        <v>24</v>
      </c>
      <c r="K30" s="25" t="s">
        <v>168</v>
      </c>
      <c r="L30" s="22"/>
      <c r="N30" s="75" t="s">
        <v>236</v>
      </c>
      <c r="O30" s="77">
        <v>9337901</v>
      </c>
      <c r="P30" s="77" t="s">
        <v>726</v>
      </c>
      <c r="Q30" s="77" t="s">
        <v>235</v>
      </c>
      <c r="AM30" s="10" t="s">
        <v>644</v>
      </c>
      <c r="AN30" s="10" t="s">
        <v>643</v>
      </c>
      <c r="AQ30" s="10" t="s">
        <v>790</v>
      </c>
      <c r="AS30" s="19" t="s">
        <v>370</v>
      </c>
      <c r="AU30" s="10" t="s">
        <v>833</v>
      </c>
    </row>
    <row r="31" spans="2:47" x14ac:dyDescent="0.2">
      <c r="B31" s="73" t="s">
        <v>212</v>
      </c>
      <c r="C31" s="10" t="s">
        <v>211</v>
      </c>
      <c r="H31" s="11"/>
      <c r="I31" s="24" t="s">
        <v>169</v>
      </c>
      <c r="K31" s="25" t="s">
        <v>33</v>
      </c>
      <c r="L31" s="22"/>
      <c r="N31" s="75" t="s">
        <v>982</v>
      </c>
      <c r="O31" s="77">
        <v>9882358</v>
      </c>
      <c r="P31" s="77" t="s">
        <v>989</v>
      </c>
      <c r="Q31" s="77" t="s">
        <v>1052</v>
      </c>
      <c r="AM31" s="10" t="s">
        <v>683</v>
      </c>
      <c r="AN31" s="10" t="s">
        <v>682</v>
      </c>
      <c r="AQ31" s="10" t="s">
        <v>794</v>
      </c>
      <c r="AS31" s="19" t="s">
        <v>370</v>
      </c>
      <c r="AU31" s="10" t="s">
        <v>834</v>
      </c>
    </row>
    <row r="32" spans="2:47" x14ac:dyDescent="0.2">
      <c r="B32" s="73" t="s">
        <v>220</v>
      </c>
      <c r="C32" s="10" t="s">
        <v>219</v>
      </c>
      <c r="H32" s="11"/>
      <c r="I32" s="24" t="s">
        <v>25</v>
      </c>
      <c r="K32" s="25" t="s">
        <v>34</v>
      </c>
      <c r="L32" s="22"/>
      <c r="N32" s="75" t="s">
        <v>983</v>
      </c>
      <c r="O32" s="77">
        <v>9882360</v>
      </c>
      <c r="P32" s="77" t="s">
        <v>990</v>
      </c>
      <c r="Q32" s="77" t="s">
        <v>1058</v>
      </c>
      <c r="AM32" s="10" t="s">
        <v>646</v>
      </c>
      <c r="AN32" s="10" t="s">
        <v>645</v>
      </c>
      <c r="AQ32" s="10" t="s">
        <v>791</v>
      </c>
      <c r="AS32" s="19" t="s">
        <v>344</v>
      </c>
      <c r="AU32" s="10" t="s">
        <v>835</v>
      </c>
    </row>
    <row r="33" spans="2:47" x14ac:dyDescent="0.2">
      <c r="B33" s="73" t="s">
        <v>277</v>
      </c>
      <c r="C33" s="10" t="s">
        <v>278</v>
      </c>
      <c r="I33" s="24"/>
      <c r="K33" s="25" t="s">
        <v>35</v>
      </c>
      <c r="L33" s="22"/>
      <c r="N33" s="75" t="s">
        <v>980</v>
      </c>
      <c r="O33" s="77">
        <v>9882346</v>
      </c>
      <c r="P33" s="77" t="s">
        <v>987</v>
      </c>
      <c r="Q33" s="77" t="s">
        <v>1051</v>
      </c>
      <c r="AM33" s="10" t="s">
        <v>734</v>
      </c>
      <c r="AN33" s="10" t="s">
        <v>733</v>
      </c>
      <c r="AQ33" s="10" t="s">
        <v>792</v>
      </c>
      <c r="AS33" s="19" t="s">
        <v>370</v>
      </c>
      <c r="AU33" s="10" t="s">
        <v>836</v>
      </c>
    </row>
    <row r="34" spans="2:47" x14ac:dyDescent="0.2">
      <c r="B34" s="73" t="s">
        <v>270</v>
      </c>
      <c r="C34" s="10" t="s">
        <v>271</v>
      </c>
      <c r="K34" s="25" t="s">
        <v>36</v>
      </c>
      <c r="L34" s="22"/>
      <c r="N34" s="75" t="s">
        <v>700</v>
      </c>
      <c r="O34" s="82">
        <v>9855484</v>
      </c>
      <c r="P34" s="77" t="s">
        <v>699</v>
      </c>
      <c r="Q34" s="77" t="s">
        <v>968</v>
      </c>
      <c r="AM34" s="10" t="s">
        <v>736</v>
      </c>
      <c r="AN34" s="10" t="s">
        <v>735</v>
      </c>
      <c r="AQ34" s="10" t="s">
        <v>793</v>
      </c>
      <c r="AS34" s="19" t="s">
        <v>370</v>
      </c>
      <c r="AU34" s="10" t="s">
        <v>837</v>
      </c>
    </row>
    <row r="35" spans="2:47" x14ac:dyDescent="0.2">
      <c r="B35" s="73" t="s">
        <v>200</v>
      </c>
      <c r="C35" s="10" t="s">
        <v>199</v>
      </c>
      <c r="K35" s="25" t="s">
        <v>37</v>
      </c>
      <c r="L35" s="22"/>
      <c r="N35" s="75" t="s">
        <v>973</v>
      </c>
      <c r="O35" s="77">
        <v>9882334</v>
      </c>
      <c r="P35" s="77" t="s">
        <v>974</v>
      </c>
      <c r="Q35" s="77" t="s">
        <v>991</v>
      </c>
      <c r="AM35" s="10" t="s">
        <v>738</v>
      </c>
      <c r="AN35" s="10" t="s">
        <v>737</v>
      </c>
      <c r="AQ35" s="10" t="s">
        <v>795</v>
      </c>
      <c r="AS35" s="19" t="s">
        <v>370</v>
      </c>
      <c r="AU35" s="10" t="s">
        <v>838</v>
      </c>
    </row>
    <row r="36" spans="2:47" x14ac:dyDescent="0.2">
      <c r="B36" s="73" t="s">
        <v>267</v>
      </c>
      <c r="C36" s="10" t="s">
        <v>398</v>
      </c>
      <c r="I36" s="24" t="s">
        <v>169</v>
      </c>
      <c r="K36" s="25" t="s">
        <v>38</v>
      </c>
      <c r="L36" s="22"/>
      <c r="N36" s="80" t="s">
        <v>1102</v>
      </c>
      <c r="O36" s="81">
        <v>9900461</v>
      </c>
      <c r="P36" s="81" t="s">
        <v>1100</v>
      </c>
      <c r="Q36" s="81" t="s">
        <v>1101</v>
      </c>
      <c r="AM36" s="10" t="s">
        <v>751</v>
      </c>
      <c r="AN36" s="10" t="s">
        <v>647</v>
      </c>
      <c r="AQ36" s="10" t="s">
        <v>796</v>
      </c>
      <c r="AS36" s="19" t="s">
        <v>369</v>
      </c>
      <c r="AU36" s="10" t="s">
        <v>839</v>
      </c>
    </row>
    <row r="37" spans="2:47" x14ac:dyDescent="0.2">
      <c r="B37" s="73" t="s">
        <v>214</v>
      </c>
      <c r="C37" s="10" t="s">
        <v>213</v>
      </c>
      <c r="E37" s="11"/>
      <c r="F37" s="11"/>
      <c r="I37" s="24" t="s">
        <v>25</v>
      </c>
      <c r="K37" s="25" t="s">
        <v>39</v>
      </c>
      <c r="L37" s="29"/>
      <c r="N37" s="75" t="s">
        <v>238</v>
      </c>
      <c r="O37" s="77">
        <v>9296810</v>
      </c>
      <c r="P37" s="77" t="s">
        <v>905</v>
      </c>
      <c r="Q37" s="77" t="s">
        <v>237</v>
      </c>
      <c r="AM37" s="10" t="s">
        <v>685</v>
      </c>
      <c r="AN37" s="10" t="s">
        <v>684</v>
      </c>
      <c r="AQ37" s="10" t="s">
        <v>797</v>
      </c>
      <c r="AS37" s="19" t="s">
        <v>370</v>
      </c>
      <c r="AU37" s="10" t="s">
        <v>840</v>
      </c>
    </row>
    <row r="38" spans="2:47" x14ac:dyDescent="0.2">
      <c r="B38" s="73" t="s">
        <v>289</v>
      </c>
      <c r="C38" s="10" t="s">
        <v>290</v>
      </c>
      <c r="E38" s="11"/>
      <c r="F38" s="11"/>
      <c r="K38" s="25" t="s">
        <v>40</v>
      </c>
      <c r="L38" s="29"/>
      <c r="N38" s="75" t="s">
        <v>240</v>
      </c>
      <c r="O38" s="77">
        <v>9310850</v>
      </c>
      <c r="P38" s="77" t="s">
        <v>727</v>
      </c>
      <c r="Q38" s="77" t="s">
        <v>239</v>
      </c>
      <c r="AM38" s="10" t="s">
        <v>252</v>
      </c>
      <c r="AN38" s="10" t="s">
        <v>648</v>
      </c>
      <c r="AQ38" s="10" t="s">
        <v>798</v>
      </c>
      <c r="AS38" s="19" t="s">
        <v>370</v>
      </c>
    </row>
    <row r="39" spans="2:47" x14ac:dyDescent="0.2">
      <c r="B39" s="73" t="s">
        <v>291</v>
      </c>
      <c r="C39" s="10" t="s">
        <v>292</v>
      </c>
      <c r="E39" s="11"/>
      <c r="F39" s="11"/>
      <c r="K39" s="25" t="s">
        <v>41</v>
      </c>
      <c r="L39" s="29"/>
      <c r="N39" s="75" t="s">
        <v>640</v>
      </c>
      <c r="O39" s="75">
        <v>9725445</v>
      </c>
      <c r="P39" s="75" t="s">
        <v>639</v>
      </c>
      <c r="Q39" s="75" t="s">
        <v>915</v>
      </c>
      <c r="AM39" s="10" t="s">
        <v>650</v>
      </c>
      <c r="AN39" s="10" t="s">
        <v>649</v>
      </c>
    </row>
    <row r="40" spans="2:47" x14ac:dyDescent="0.2">
      <c r="B40" s="73" t="s">
        <v>216</v>
      </c>
      <c r="C40" s="10" t="s">
        <v>215</v>
      </c>
      <c r="E40" s="11"/>
      <c r="K40" s="25" t="s">
        <v>42</v>
      </c>
      <c r="L40" s="29"/>
      <c r="N40" s="75" t="s">
        <v>750</v>
      </c>
      <c r="O40" s="77">
        <v>9222651</v>
      </c>
      <c r="P40" s="77" t="s">
        <v>728</v>
      </c>
      <c r="Q40" s="77" t="s">
        <v>942</v>
      </c>
      <c r="AM40" s="10" t="s">
        <v>652</v>
      </c>
      <c r="AN40" s="10" t="s">
        <v>651</v>
      </c>
    </row>
    <row r="41" spans="2:47" x14ac:dyDescent="0.2">
      <c r="B41" s="73" t="s">
        <v>218</v>
      </c>
      <c r="C41" s="10" t="s">
        <v>217</v>
      </c>
      <c r="E41" s="11"/>
      <c r="G41" s="11"/>
      <c r="K41" s="25" t="s">
        <v>43</v>
      </c>
      <c r="L41" s="29"/>
      <c r="N41" s="75" t="s">
        <v>730</v>
      </c>
      <c r="O41" s="77">
        <v>9228291</v>
      </c>
      <c r="P41" s="77" t="s">
        <v>729</v>
      </c>
      <c r="Q41" s="77" t="s">
        <v>951</v>
      </c>
      <c r="AM41" s="10" t="s">
        <v>654</v>
      </c>
      <c r="AN41" s="10" t="s">
        <v>653</v>
      </c>
    </row>
    <row r="42" spans="2:47" x14ac:dyDescent="0.2">
      <c r="B42" s="73" t="s">
        <v>258</v>
      </c>
      <c r="C42" s="10" t="s">
        <v>257</v>
      </c>
      <c r="E42" s="11"/>
      <c r="G42" s="11"/>
      <c r="K42" s="25" t="s">
        <v>44</v>
      </c>
      <c r="L42" s="29"/>
      <c r="N42" s="75" t="s">
        <v>732</v>
      </c>
      <c r="O42" s="77">
        <v>9254252</v>
      </c>
      <c r="P42" s="77" t="s">
        <v>731</v>
      </c>
      <c r="Q42" s="77" t="s">
        <v>950</v>
      </c>
      <c r="AM42" s="10" t="s">
        <v>656</v>
      </c>
      <c r="AN42" s="10" t="s">
        <v>655</v>
      </c>
    </row>
    <row r="43" spans="2:47" x14ac:dyDescent="0.2">
      <c r="B43" s="73" t="s">
        <v>210</v>
      </c>
      <c r="C43" s="10" t="s">
        <v>209</v>
      </c>
      <c r="E43" s="11"/>
      <c r="G43" s="11"/>
      <c r="K43" s="25" t="s">
        <v>45</v>
      </c>
      <c r="L43" s="29"/>
      <c r="N43" s="75" t="s">
        <v>642</v>
      </c>
      <c r="O43" s="75">
        <v>9687746</v>
      </c>
      <c r="P43" s="75" t="s">
        <v>641</v>
      </c>
      <c r="Q43" s="75" t="s">
        <v>916</v>
      </c>
      <c r="AM43" s="10" t="s">
        <v>254</v>
      </c>
      <c r="AN43" s="10" t="s">
        <v>657</v>
      </c>
    </row>
    <row r="44" spans="2:47" x14ac:dyDescent="0.2">
      <c r="B44" s="73" t="s">
        <v>226</v>
      </c>
      <c r="C44" s="10" t="s">
        <v>225</v>
      </c>
      <c r="E44" s="11"/>
      <c r="K44" s="25" t="s">
        <v>46</v>
      </c>
      <c r="L44" s="29"/>
      <c r="N44" s="75" t="s">
        <v>644</v>
      </c>
      <c r="O44" s="75">
        <v>9565053</v>
      </c>
      <c r="P44" s="75" t="s">
        <v>643</v>
      </c>
      <c r="Q44" s="75" t="s">
        <v>294</v>
      </c>
      <c r="AM44" s="10" t="s">
        <v>675</v>
      </c>
      <c r="AN44" s="10" t="s">
        <v>674</v>
      </c>
    </row>
    <row r="45" spans="2:47" x14ac:dyDescent="0.2">
      <c r="B45" s="73" t="s">
        <v>399</v>
      </c>
      <c r="C45" s="10" t="s">
        <v>284</v>
      </c>
      <c r="E45" s="11"/>
      <c r="K45" s="25" t="s">
        <v>47</v>
      </c>
      <c r="L45" s="29"/>
      <c r="N45" s="75" t="s">
        <v>683</v>
      </c>
      <c r="O45" s="75">
        <v>9561277</v>
      </c>
      <c r="P45" s="75" t="s">
        <v>682</v>
      </c>
      <c r="Q45" s="75" t="s">
        <v>932</v>
      </c>
      <c r="AM45" s="10" t="s">
        <v>659</v>
      </c>
      <c r="AN45" s="10" t="s">
        <v>658</v>
      </c>
    </row>
    <row r="46" spans="2:47" x14ac:dyDescent="0.2">
      <c r="B46" s="73" t="s">
        <v>232</v>
      </c>
      <c r="C46" s="10" t="s">
        <v>231</v>
      </c>
      <c r="E46" s="11"/>
      <c r="K46" s="25" t="s">
        <v>48</v>
      </c>
      <c r="L46" s="29"/>
      <c r="N46" s="75" t="s">
        <v>646</v>
      </c>
      <c r="O46" s="75">
        <v>9547001</v>
      </c>
      <c r="P46" s="75" t="s">
        <v>645</v>
      </c>
      <c r="Q46" s="75" t="s">
        <v>953</v>
      </c>
      <c r="AM46" s="10" t="s">
        <v>687</v>
      </c>
      <c r="AN46" s="10" t="s">
        <v>686</v>
      </c>
    </row>
    <row r="47" spans="2:47" x14ac:dyDescent="0.2">
      <c r="B47" s="73" t="s">
        <v>260</v>
      </c>
      <c r="C47" s="10" t="s">
        <v>259</v>
      </c>
      <c r="E47" s="11"/>
      <c r="K47" s="25" t="s">
        <v>49</v>
      </c>
      <c r="L47" s="29"/>
      <c r="N47" s="75" t="s">
        <v>1087</v>
      </c>
      <c r="O47" s="75">
        <v>9902093</v>
      </c>
      <c r="P47" s="75" t="s">
        <v>1088</v>
      </c>
      <c r="Q47" s="75" t="s">
        <v>1089</v>
      </c>
      <c r="AM47" s="10" t="s">
        <v>702</v>
      </c>
      <c r="AN47" s="10" t="s">
        <v>701</v>
      </c>
    </row>
    <row r="48" spans="2:47" x14ac:dyDescent="0.2">
      <c r="B48" s="73" t="s">
        <v>202</v>
      </c>
      <c r="C48" s="10" t="s">
        <v>201</v>
      </c>
      <c r="E48" s="11"/>
      <c r="K48" s="25" t="s">
        <v>50</v>
      </c>
      <c r="L48" s="29"/>
      <c r="N48" s="75" t="s">
        <v>734</v>
      </c>
      <c r="O48" s="77">
        <v>9830288</v>
      </c>
      <c r="P48" s="77" t="s">
        <v>733</v>
      </c>
      <c r="Q48" s="77" t="s">
        <v>943</v>
      </c>
      <c r="AM48" s="10" t="s">
        <v>661</v>
      </c>
      <c r="AN48" s="10" t="s">
        <v>660</v>
      </c>
    </row>
    <row r="49" spans="2:40" x14ac:dyDescent="0.2">
      <c r="B49" s="73" t="s">
        <v>197</v>
      </c>
      <c r="C49" s="10" t="s">
        <v>196</v>
      </c>
      <c r="E49" s="11"/>
      <c r="K49" s="25" t="s">
        <v>51</v>
      </c>
      <c r="L49" s="29"/>
      <c r="N49" s="75" t="s">
        <v>736</v>
      </c>
      <c r="O49" s="77">
        <v>9426283</v>
      </c>
      <c r="P49" s="77" t="s">
        <v>735</v>
      </c>
      <c r="Q49" s="77" t="s">
        <v>286</v>
      </c>
      <c r="AM49" s="10" t="s">
        <v>689</v>
      </c>
      <c r="AN49" s="10" t="s">
        <v>688</v>
      </c>
    </row>
    <row r="50" spans="2:40" x14ac:dyDescent="0.2">
      <c r="B50" s="73" t="s">
        <v>224</v>
      </c>
      <c r="C50" s="10" t="s">
        <v>223</v>
      </c>
      <c r="E50" s="11"/>
      <c r="K50" s="25" t="s">
        <v>52</v>
      </c>
      <c r="L50" s="29"/>
      <c r="N50" s="75" t="s">
        <v>738</v>
      </c>
      <c r="O50" s="77">
        <v>9830290</v>
      </c>
      <c r="P50" s="77" t="s">
        <v>737</v>
      </c>
      <c r="Q50" s="77" t="s">
        <v>944</v>
      </c>
      <c r="AM50" s="10" t="s">
        <v>663</v>
      </c>
      <c r="AN50" s="10" t="s">
        <v>662</v>
      </c>
    </row>
    <row r="51" spans="2:40" x14ac:dyDescent="0.2">
      <c r="B51" s="73" t="s">
        <v>400</v>
      </c>
      <c r="C51" s="10" t="s">
        <v>401</v>
      </c>
      <c r="E51" s="11"/>
      <c r="K51" s="25" t="s">
        <v>402</v>
      </c>
      <c r="L51" s="29"/>
      <c r="N51" s="81" t="s">
        <v>1048</v>
      </c>
      <c r="O51" s="81">
        <v>9863223</v>
      </c>
      <c r="P51" s="81" t="s">
        <v>1049</v>
      </c>
      <c r="Q51" s="81" t="s">
        <v>1050</v>
      </c>
      <c r="AM51" s="10" t="s">
        <v>740</v>
      </c>
      <c r="AN51" s="10" t="s">
        <v>739</v>
      </c>
    </row>
    <row r="52" spans="2:40" x14ac:dyDescent="0.2">
      <c r="B52" s="73" t="s">
        <v>206</v>
      </c>
      <c r="C52" s="10" t="s">
        <v>205</v>
      </c>
      <c r="E52" s="11"/>
      <c r="K52" s="22" t="s">
        <v>335</v>
      </c>
      <c r="L52" s="29"/>
      <c r="N52" s="75" t="s">
        <v>1075</v>
      </c>
      <c r="O52" s="75">
        <v>9442524</v>
      </c>
      <c r="P52" s="75" t="s">
        <v>1076</v>
      </c>
      <c r="Q52" s="75" t="s">
        <v>1077</v>
      </c>
      <c r="AM52" s="10" t="s">
        <v>742</v>
      </c>
      <c r="AN52" s="10" t="s">
        <v>741</v>
      </c>
    </row>
    <row r="53" spans="2:40" x14ac:dyDescent="0.2">
      <c r="B53" s="73" t="s">
        <v>403</v>
      </c>
      <c r="C53" s="10" t="s">
        <v>404</v>
      </c>
      <c r="E53" s="11"/>
      <c r="K53" s="22" t="s">
        <v>405</v>
      </c>
      <c r="L53" s="29"/>
      <c r="N53" s="75" t="s">
        <v>899</v>
      </c>
      <c r="O53" s="75">
        <v>9774862</v>
      </c>
      <c r="P53" s="75" t="s">
        <v>647</v>
      </c>
      <c r="Q53" s="75" t="s">
        <v>917</v>
      </c>
      <c r="AM53" s="10" t="s">
        <v>665</v>
      </c>
      <c r="AN53" s="10" t="s">
        <v>664</v>
      </c>
    </row>
    <row r="54" spans="2:40" x14ac:dyDescent="0.2">
      <c r="B54" s="73" t="s">
        <v>246</v>
      </c>
      <c r="C54" s="10" t="s">
        <v>245</v>
      </c>
      <c r="E54" s="11"/>
      <c r="K54" s="22" t="s">
        <v>170</v>
      </c>
      <c r="L54" s="29"/>
      <c r="N54" s="75" t="s">
        <v>1078</v>
      </c>
      <c r="O54" s="75">
        <v>9760471</v>
      </c>
      <c r="P54" s="75" t="s">
        <v>1079</v>
      </c>
      <c r="Q54" s="75" t="s">
        <v>1080</v>
      </c>
      <c r="AM54" s="10" t="s">
        <v>667</v>
      </c>
      <c r="AN54" s="10" t="s">
        <v>666</v>
      </c>
    </row>
    <row r="55" spans="2:40" x14ac:dyDescent="0.2">
      <c r="B55" s="73" t="s">
        <v>195</v>
      </c>
      <c r="C55" s="10" t="s">
        <v>194</v>
      </c>
      <c r="E55" s="11"/>
      <c r="K55" s="22" t="s">
        <v>406</v>
      </c>
      <c r="L55" s="29"/>
      <c r="N55" s="75" t="s">
        <v>685</v>
      </c>
      <c r="O55" s="75">
        <v>9403217</v>
      </c>
      <c r="P55" s="75" t="s">
        <v>684</v>
      </c>
      <c r="Q55" s="75" t="s">
        <v>933</v>
      </c>
      <c r="AM55" s="10" t="s">
        <v>258</v>
      </c>
      <c r="AN55" s="10" t="s">
        <v>690</v>
      </c>
    </row>
    <row r="56" spans="2:40" x14ac:dyDescent="0.2">
      <c r="B56" s="73" t="s">
        <v>193</v>
      </c>
      <c r="C56" s="10" t="s">
        <v>192</v>
      </c>
      <c r="E56" s="11"/>
      <c r="K56" s="22" t="s">
        <v>407</v>
      </c>
      <c r="L56" s="29"/>
      <c r="N56" s="75" t="s">
        <v>252</v>
      </c>
      <c r="O56" s="75">
        <v>9236066</v>
      </c>
      <c r="P56" s="75" t="s">
        <v>648</v>
      </c>
      <c r="Q56" s="75" t="s">
        <v>251</v>
      </c>
      <c r="AM56" s="10" t="s">
        <v>669</v>
      </c>
      <c r="AN56" s="10" t="s">
        <v>668</v>
      </c>
    </row>
    <row r="57" spans="2:40" x14ac:dyDescent="0.2">
      <c r="B57" s="73" t="s">
        <v>244</v>
      </c>
      <c r="C57" s="10" t="s">
        <v>243</v>
      </c>
      <c r="E57" s="11"/>
      <c r="K57" s="22" t="s">
        <v>408</v>
      </c>
      <c r="L57" s="29"/>
      <c r="N57" s="75" t="s">
        <v>650</v>
      </c>
      <c r="O57" s="75">
        <v>9424106</v>
      </c>
      <c r="P57" s="75" t="s">
        <v>649</v>
      </c>
      <c r="Q57" s="75" t="s">
        <v>918</v>
      </c>
      <c r="AM57" s="10" t="s">
        <v>744</v>
      </c>
      <c r="AN57" s="10" t="s">
        <v>743</v>
      </c>
    </row>
    <row r="58" spans="2:40" x14ac:dyDescent="0.2">
      <c r="B58" s="73" t="s">
        <v>208</v>
      </c>
      <c r="C58" s="10" t="s">
        <v>207</v>
      </c>
      <c r="E58" s="11"/>
      <c r="K58" s="22" t="s">
        <v>409</v>
      </c>
      <c r="L58" s="29"/>
      <c r="N58" s="75" t="s">
        <v>652</v>
      </c>
      <c r="O58" s="75">
        <v>9276767</v>
      </c>
      <c r="P58" s="75" t="s">
        <v>651</v>
      </c>
      <c r="Q58" s="75" t="s">
        <v>919</v>
      </c>
      <c r="AM58" s="10" t="s">
        <v>692</v>
      </c>
      <c r="AN58" s="10" t="s">
        <v>691</v>
      </c>
    </row>
    <row r="59" spans="2:40" x14ac:dyDescent="0.2">
      <c r="B59" s="73" t="s">
        <v>279</v>
      </c>
      <c r="C59" s="10" t="s">
        <v>280</v>
      </c>
      <c r="E59" s="11"/>
      <c r="K59" s="22" t="s">
        <v>410</v>
      </c>
      <c r="L59" s="29"/>
      <c r="N59" s="75" t="s">
        <v>654</v>
      </c>
      <c r="O59" s="75">
        <v>9310006</v>
      </c>
      <c r="P59" s="75" t="s">
        <v>653</v>
      </c>
      <c r="Q59" s="75" t="s">
        <v>920</v>
      </c>
      <c r="AM59" s="10" t="s">
        <v>671</v>
      </c>
      <c r="AN59" s="10" t="s">
        <v>670</v>
      </c>
    </row>
    <row r="60" spans="2:40" x14ac:dyDescent="0.2">
      <c r="B60" s="73" t="s">
        <v>411</v>
      </c>
      <c r="C60" s="10" t="s">
        <v>268</v>
      </c>
      <c r="E60" s="11"/>
      <c r="K60" s="22" t="s">
        <v>412</v>
      </c>
      <c r="L60" s="29"/>
      <c r="N60" s="75" t="s">
        <v>656</v>
      </c>
      <c r="O60" s="75">
        <v>9246293</v>
      </c>
      <c r="P60" s="75" t="s">
        <v>906</v>
      </c>
      <c r="Q60" s="75" t="s">
        <v>908</v>
      </c>
      <c r="AM60" s="10" t="s">
        <v>673</v>
      </c>
      <c r="AN60" s="10" t="s">
        <v>672</v>
      </c>
    </row>
    <row r="61" spans="2:40" x14ac:dyDescent="0.2">
      <c r="K61" s="22" t="s">
        <v>413</v>
      </c>
      <c r="L61" s="29"/>
      <c r="N61" s="75" t="s">
        <v>254</v>
      </c>
      <c r="O61" s="75">
        <v>9156759</v>
      </c>
      <c r="P61" s="75" t="s">
        <v>657</v>
      </c>
      <c r="Q61" s="75" t="s">
        <v>253</v>
      </c>
      <c r="AM61" s="10" t="s">
        <v>260</v>
      </c>
      <c r="AN61" s="10" t="s">
        <v>747</v>
      </c>
    </row>
    <row r="62" spans="2:40" x14ac:dyDescent="0.2">
      <c r="K62" s="22" t="s">
        <v>414</v>
      </c>
      <c r="L62" s="29"/>
      <c r="N62" s="75" t="s">
        <v>675</v>
      </c>
      <c r="O62" s="75">
        <v>9316945</v>
      </c>
      <c r="P62" s="75" t="s">
        <v>674</v>
      </c>
      <c r="Q62" s="75" t="s">
        <v>921</v>
      </c>
      <c r="AM62" s="10" t="s">
        <v>749</v>
      </c>
      <c r="AN62" s="10" t="s">
        <v>748</v>
      </c>
    </row>
    <row r="63" spans="2:40" x14ac:dyDescent="0.2">
      <c r="K63" s="22" t="s">
        <v>415</v>
      </c>
      <c r="L63" s="29"/>
      <c r="N63" s="75" t="s">
        <v>900</v>
      </c>
      <c r="O63" s="75">
        <v>9788679</v>
      </c>
      <c r="P63" s="75" t="s">
        <v>901</v>
      </c>
      <c r="Q63" s="75" t="s">
        <v>922</v>
      </c>
      <c r="AM63" s="10" t="s">
        <v>752</v>
      </c>
      <c r="AN63" s="10" t="s">
        <v>745</v>
      </c>
    </row>
    <row r="64" spans="2:40" x14ac:dyDescent="0.2">
      <c r="K64" s="22" t="s">
        <v>416</v>
      </c>
      <c r="L64" s="29"/>
      <c r="N64" s="75" t="s">
        <v>902</v>
      </c>
      <c r="O64" s="75">
        <v>9788681</v>
      </c>
      <c r="P64" s="75" t="s">
        <v>903</v>
      </c>
      <c r="Q64" s="75" t="s">
        <v>923</v>
      </c>
      <c r="AM64" s="10" t="s">
        <v>753</v>
      </c>
      <c r="AN64" s="10" t="s">
        <v>746</v>
      </c>
    </row>
    <row r="65" spans="5:40" x14ac:dyDescent="0.2">
      <c r="K65" s="22" t="s">
        <v>417</v>
      </c>
      <c r="L65" s="29"/>
      <c r="N65" s="75" t="s">
        <v>659</v>
      </c>
      <c r="O65" s="75">
        <v>9668051</v>
      </c>
      <c r="P65" s="75" t="s">
        <v>658</v>
      </c>
      <c r="Q65" s="75" t="s">
        <v>924</v>
      </c>
      <c r="AM65" s="10" t="s">
        <v>246</v>
      </c>
      <c r="AN65" s="10" t="s">
        <v>703</v>
      </c>
    </row>
    <row r="66" spans="5:40" x14ac:dyDescent="0.2">
      <c r="K66" s="22" t="s">
        <v>418</v>
      </c>
      <c r="L66" s="29"/>
      <c r="N66" s="75" t="s">
        <v>687</v>
      </c>
      <c r="O66" s="75">
        <v>9110107</v>
      </c>
      <c r="P66" s="75" t="s">
        <v>686</v>
      </c>
      <c r="Q66" s="75" t="s">
        <v>219</v>
      </c>
      <c r="AM66" s="10" t="s">
        <v>705</v>
      </c>
      <c r="AN66" s="10" t="s">
        <v>704</v>
      </c>
    </row>
    <row r="67" spans="5:40" x14ac:dyDescent="0.2">
      <c r="E67" s="11"/>
      <c r="K67" s="22" t="s">
        <v>419</v>
      </c>
      <c r="L67" s="29"/>
      <c r="N67" s="75" t="s">
        <v>702</v>
      </c>
      <c r="O67" s="77">
        <v>9760782</v>
      </c>
      <c r="P67" s="77" t="s">
        <v>701</v>
      </c>
      <c r="Q67" s="77" t="s">
        <v>936</v>
      </c>
      <c r="AM67" s="10" t="s">
        <v>707</v>
      </c>
      <c r="AN67" s="10" t="s">
        <v>706</v>
      </c>
    </row>
    <row r="68" spans="5:40" x14ac:dyDescent="0.2">
      <c r="E68" s="11"/>
      <c r="K68" s="22" t="s">
        <v>420</v>
      </c>
      <c r="L68" s="29"/>
      <c r="N68" s="81" t="s">
        <v>1061</v>
      </c>
      <c r="O68" s="81">
        <v>9520376</v>
      </c>
      <c r="P68" s="81" t="s">
        <v>1062</v>
      </c>
      <c r="Q68" s="81" t="s">
        <v>1063</v>
      </c>
      <c r="AM68" s="10" t="s">
        <v>244</v>
      </c>
      <c r="AN68" s="10" t="s">
        <v>708</v>
      </c>
    </row>
    <row r="69" spans="5:40" x14ac:dyDescent="0.2">
      <c r="E69" s="11"/>
      <c r="K69" s="22" t="s">
        <v>421</v>
      </c>
      <c r="L69" s="29"/>
      <c r="N69" s="81" t="s">
        <v>1065</v>
      </c>
      <c r="O69" s="81">
        <v>9425277</v>
      </c>
      <c r="P69" s="81" t="s">
        <v>1064</v>
      </c>
      <c r="Q69" s="81" t="s">
        <v>1066</v>
      </c>
      <c r="AM69" s="10" t="s">
        <v>279</v>
      </c>
      <c r="AN69" s="10" t="s">
        <v>709</v>
      </c>
    </row>
    <row r="70" spans="5:40" x14ac:dyDescent="0.2">
      <c r="E70" s="11"/>
      <c r="K70" s="22" t="s">
        <v>422</v>
      </c>
      <c r="L70" s="29"/>
      <c r="N70" s="75" t="s">
        <v>661</v>
      </c>
      <c r="O70" s="75">
        <v>9696797</v>
      </c>
      <c r="P70" s="75" t="s">
        <v>660</v>
      </c>
      <c r="Q70" s="75" t="s">
        <v>925</v>
      </c>
    </row>
    <row r="71" spans="5:40" x14ac:dyDescent="0.2">
      <c r="E71" s="11"/>
      <c r="K71" s="22" t="s">
        <v>423</v>
      </c>
      <c r="L71" s="29"/>
      <c r="N71" s="75" t="s">
        <v>689</v>
      </c>
      <c r="O71" s="75">
        <v>9460887</v>
      </c>
      <c r="P71" s="75" t="s">
        <v>688</v>
      </c>
      <c r="Q71" s="75" t="s">
        <v>284</v>
      </c>
    </row>
    <row r="72" spans="5:40" x14ac:dyDescent="0.2">
      <c r="E72" s="11"/>
      <c r="K72" s="22" t="s">
        <v>424</v>
      </c>
      <c r="L72" s="29"/>
      <c r="N72" s="75" t="s">
        <v>663</v>
      </c>
      <c r="O72" s="75">
        <v>9514391</v>
      </c>
      <c r="P72" s="75" t="s">
        <v>662</v>
      </c>
      <c r="Q72" s="75" t="s">
        <v>292</v>
      </c>
    </row>
    <row r="73" spans="5:40" x14ac:dyDescent="0.2">
      <c r="K73" s="22" t="s">
        <v>425</v>
      </c>
      <c r="L73" s="29"/>
      <c r="N73" s="75" t="s">
        <v>740</v>
      </c>
      <c r="O73" s="77">
        <v>9793375</v>
      </c>
      <c r="P73" s="77" t="s">
        <v>739</v>
      </c>
      <c r="Q73" s="77" t="s">
        <v>945</v>
      </c>
    </row>
    <row r="74" spans="5:40" x14ac:dyDescent="0.2">
      <c r="K74" s="22" t="s">
        <v>426</v>
      </c>
      <c r="L74" s="29"/>
      <c r="N74" s="75" t="s">
        <v>742</v>
      </c>
      <c r="O74" s="77">
        <v>9793387</v>
      </c>
      <c r="P74" s="77" t="s">
        <v>741</v>
      </c>
      <c r="Q74" s="77" t="s">
        <v>946</v>
      </c>
    </row>
    <row r="75" spans="5:40" x14ac:dyDescent="0.2">
      <c r="K75" s="22" t="s">
        <v>803</v>
      </c>
      <c r="L75" s="29"/>
      <c r="N75" s="75" t="s">
        <v>665</v>
      </c>
      <c r="O75" s="75">
        <v>9552331</v>
      </c>
      <c r="P75" s="75" t="s">
        <v>664</v>
      </c>
      <c r="Q75" s="75" t="s">
        <v>926</v>
      </c>
    </row>
    <row r="76" spans="5:40" x14ac:dyDescent="0.2">
      <c r="K76" s="27" t="s">
        <v>334</v>
      </c>
      <c r="L76" s="29"/>
      <c r="N76" s="75" t="s">
        <v>667</v>
      </c>
      <c r="O76" s="75">
        <v>9621247</v>
      </c>
      <c r="P76" s="75" t="s">
        <v>666</v>
      </c>
      <c r="Q76" s="75" t="s">
        <v>927</v>
      </c>
    </row>
    <row r="77" spans="5:40" x14ac:dyDescent="0.2">
      <c r="K77" s="27" t="s">
        <v>427</v>
      </c>
      <c r="L77" s="29"/>
      <c r="N77" s="75" t="s">
        <v>258</v>
      </c>
      <c r="O77" s="75">
        <v>9293648</v>
      </c>
      <c r="P77" s="75" t="s">
        <v>690</v>
      </c>
      <c r="Q77" s="75" t="s">
        <v>257</v>
      </c>
    </row>
    <row r="78" spans="5:40" x14ac:dyDescent="0.2">
      <c r="K78" s="27" t="s">
        <v>171</v>
      </c>
      <c r="L78" s="29"/>
      <c r="N78" s="75" t="s">
        <v>1081</v>
      </c>
      <c r="O78" s="75">
        <v>9894480</v>
      </c>
      <c r="P78" s="75" t="s">
        <v>1082</v>
      </c>
      <c r="Q78" s="75" t="s">
        <v>1083</v>
      </c>
    </row>
    <row r="79" spans="5:40" x14ac:dyDescent="0.2">
      <c r="K79" s="27" t="s">
        <v>428</v>
      </c>
      <c r="L79" s="29"/>
      <c r="N79" s="75" t="s">
        <v>669</v>
      </c>
      <c r="O79" s="75">
        <v>9806768</v>
      </c>
      <c r="P79" s="75" t="s">
        <v>668</v>
      </c>
      <c r="Q79" s="75" t="s">
        <v>928</v>
      </c>
    </row>
    <row r="80" spans="5:40" x14ac:dyDescent="0.2">
      <c r="K80" s="27" t="s">
        <v>429</v>
      </c>
      <c r="L80" s="29"/>
      <c r="N80" s="75" t="s">
        <v>744</v>
      </c>
      <c r="O80" s="77">
        <v>9771028</v>
      </c>
      <c r="P80" s="77" t="s">
        <v>907</v>
      </c>
      <c r="Q80" s="77" t="s">
        <v>952</v>
      </c>
    </row>
    <row r="81" spans="11:17" x14ac:dyDescent="0.2">
      <c r="K81" s="27" t="s">
        <v>430</v>
      </c>
      <c r="L81" s="29"/>
      <c r="N81" s="75" t="s">
        <v>692</v>
      </c>
      <c r="O81" s="75">
        <v>9267687</v>
      </c>
      <c r="P81" s="75" t="s">
        <v>691</v>
      </c>
      <c r="Q81" s="75" t="s">
        <v>225</v>
      </c>
    </row>
    <row r="82" spans="11:17" x14ac:dyDescent="0.2">
      <c r="K82" s="27" t="s">
        <v>431</v>
      </c>
      <c r="L82" s="29"/>
      <c r="N82" s="80" t="s">
        <v>1096</v>
      </c>
      <c r="O82" s="75">
        <v>9903140</v>
      </c>
      <c r="P82" s="81" t="s">
        <v>1098</v>
      </c>
      <c r="Q82" s="83" t="s">
        <v>1097</v>
      </c>
    </row>
    <row r="83" spans="11:17" x14ac:dyDescent="0.2">
      <c r="K83" s="27" t="s">
        <v>432</v>
      </c>
      <c r="L83" s="29"/>
      <c r="N83" s="75" t="s">
        <v>1099</v>
      </c>
      <c r="O83" s="75">
        <v>9767467</v>
      </c>
      <c r="P83" s="75" t="s">
        <v>1084</v>
      </c>
      <c r="Q83" s="75" t="s">
        <v>1085</v>
      </c>
    </row>
    <row r="84" spans="11:17" x14ac:dyDescent="0.2">
      <c r="K84" s="27" t="s">
        <v>433</v>
      </c>
      <c r="L84" s="29"/>
      <c r="N84" s="75" t="s">
        <v>671</v>
      </c>
      <c r="O84" s="75">
        <v>9666510</v>
      </c>
      <c r="P84" s="75" t="s">
        <v>670</v>
      </c>
      <c r="Q84" s="75" t="s">
        <v>929</v>
      </c>
    </row>
    <row r="85" spans="11:17" x14ac:dyDescent="0.2">
      <c r="K85" s="27" t="s">
        <v>434</v>
      </c>
      <c r="L85" s="29"/>
      <c r="N85" s="75" t="s">
        <v>969</v>
      </c>
      <c r="O85" s="77">
        <v>9859181</v>
      </c>
      <c r="P85" s="77" t="s">
        <v>970</v>
      </c>
      <c r="Q85" s="77" t="s">
        <v>971</v>
      </c>
    </row>
    <row r="86" spans="11:17" x14ac:dyDescent="0.2">
      <c r="K86" s="27" t="s">
        <v>435</v>
      </c>
      <c r="L86" s="29"/>
      <c r="N86" s="75" t="s">
        <v>673</v>
      </c>
      <c r="O86" s="75">
        <v>9748124</v>
      </c>
      <c r="P86" s="75" t="s">
        <v>672</v>
      </c>
      <c r="Q86" s="75" t="s">
        <v>930</v>
      </c>
    </row>
    <row r="87" spans="11:17" x14ac:dyDescent="0.2">
      <c r="K87" s="27" t="s">
        <v>436</v>
      </c>
      <c r="L87" s="29"/>
      <c r="N87" s="75" t="s">
        <v>260</v>
      </c>
      <c r="O87" s="75">
        <v>9123934</v>
      </c>
      <c r="P87" s="75" t="s">
        <v>747</v>
      </c>
      <c r="Q87" s="75" t="s">
        <v>259</v>
      </c>
    </row>
    <row r="88" spans="11:17" x14ac:dyDescent="0.2">
      <c r="K88" s="27" t="s">
        <v>437</v>
      </c>
      <c r="L88" s="29"/>
      <c r="N88" s="75" t="s">
        <v>981</v>
      </c>
      <c r="O88" s="77">
        <v>9882425</v>
      </c>
      <c r="P88" s="77" t="s">
        <v>988</v>
      </c>
      <c r="Q88" s="77" t="s">
        <v>1053</v>
      </c>
    </row>
    <row r="89" spans="11:17" x14ac:dyDescent="0.2">
      <c r="K89" s="27" t="s">
        <v>438</v>
      </c>
      <c r="L89" s="29"/>
      <c r="N89" s="75" t="s">
        <v>977</v>
      </c>
      <c r="O89" s="77">
        <v>9882396</v>
      </c>
      <c r="P89" s="77" t="s">
        <v>984</v>
      </c>
      <c r="Q89" s="77" t="s">
        <v>1054</v>
      </c>
    </row>
    <row r="90" spans="11:17" x14ac:dyDescent="0.2">
      <c r="K90" s="27" t="s">
        <v>439</v>
      </c>
      <c r="L90" s="29"/>
      <c r="N90" s="75" t="s">
        <v>979</v>
      </c>
      <c r="O90" s="77">
        <v>9882413</v>
      </c>
      <c r="P90" s="77" t="s">
        <v>986</v>
      </c>
      <c r="Q90" s="77" t="s">
        <v>1055</v>
      </c>
    </row>
    <row r="91" spans="11:17" x14ac:dyDescent="0.2">
      <c r="K91" s="27" t="s">
        <v>440</v>
      </c>
      <c r="L91" s="29"/>
      <c r="N91" s="75" t="s">
        <v>978</v>
      </c>
      <c r="O91" s="77">
        <v>9882401</v>
      </c>
      <c r="P91" s="77" t="s">
        <v>985</v>
      </c>
      <c r="Q91" s="77" t="s">
        <v>1056</v>
      </c>
    </row>
    <row r="92" spans="11:17" x14ac:dyDescent="0.2">
      <c r="K92" s="27" t="s">
        <v>441</v>
      </c>
      <c r="L92" s="29"/>
      <c r="N92" s="75" t="s">
        <v>749</v>
      </c>
      <c r="O92" s="75">
        <v>9344071</v>
      </c>
      <c r="P92" s="75" t="s">
        <v>748</v>
      </c>
      <c r="Q92" s="75" t="s">
        <v>401</v>
      </c>
    </row>
    <row r="93" spans="11:17" x14ac:dyDescent="0.2">
      <c r="K93" s="27" t="s">
        <v>442</v>
      </c>
      <c r="L93" s="29"/>
      <c r="N93" s="75" t="s">
        <v>964</v>
      </c>
      <c r="O93" s="77">
        <v>9790361</v>
      </c>
      <c r="P93" s="77" t="s">
        <v>745</v>
      </c>
      <c r="Q93" s="77" t="s">
        <v>947</v>
      </c>
    </row>
    <row r="94" spans="11:17" x14ac:dyDescent="0.2">
      <c r="K94" s="27" t="s">
        <v>443</v>
      </c>
      <c r="L94" s="29"/>
      <c r="N94" s="75" t="s">
        <v>963</v>
      </c>
      <c r="O94" s="77">
        <v>9790373</v>
      </c>
      <c r="P94" s="77" t="s">
        <v>746</v>
      </c>
      <c r="Q94" s="77" t="s">
        <v>948</v>
      </c>
    </row>
    <row r="95" spans="11:17" x14ac:dyDescent="0.2">
      <c r="K95" s="27" t="s">
        <v>444</v>
      </c>
      <c r="L95" s="29"/>
      <c r="N95" s="75" t="s">
        <v>246</v>
      </c>
      <c r="O95" s="77">
        <v>9339973</v>
      </c>
      <c r="P95" s="77" t="s">
        <v>703</v>
      </c>
      <c r="Q95" s="77" t="s">
        <v>245</v>
      </c>
    </row>
    <row r="96" spans="11:17" x14ac:dyDescent="0.2">
      <c r="K96" s="27" t="s">
        <v>445</v>
      </c>
      <c r="L96" s="29"/>
      <c r="N96" s="75" t="s">
        <v>705</v>
      </c>
      <c r="O96" s="77">
        <v>9770696</v>
      </c>
      <c r="P96" s="77" t="s">
        <v>704</v>
      </c>
      <c r="Q96" s="77" t="s">
        <v>937</v>
      </c>
    </row>
    <row r="97" spans="11:17" x14ac:dyDescent="0.2">
      <c r="K97" s="27" t="s">
        <v>446</v>
      </c>
      <c r="L97" s="29"/>
      <c r="N97" s="75" t="s">
        <v>707</v>
      </c>
      <c r="O97" s="77">
        <v>9787754</v>
      </c>
      <c r="P97" s="77" t="s">
        <v>706</v>
      </c>
      <c r="Q97" s="77" t="s">
        <v>938</v>
      </c>
    </row>
    <row r="98" spans="11:17" x14ac:dyDescent="0.2">
      <c r="K98" s="27" t="s">
        <v>447</v>
      </c>
      <c r="L98" s="29"/>
      <c r="N98" s="75" t="s">
        <v>244</v>
      </c>
      <c r="O98" s="77">
        <v>9311270</v>
      </c>
      <c r="P98" s="77" t="s">
        <v>708</v>
      </c>
      <c r="Q98" s="77" t="s">
        <v>243</v>
      </c>
    </row>
    <row r="99" spans="11:17" x14ac:dyDescent="0.2">
      <c r="K99" s="27" t="s">
        <v>448</v>
      </c>
      <c r="L99" s="29"/>
      <c r="N99" s="75" t="s">
        <v>279</v>
      </c>
      <c r="O99" s="77">
        <v>9387267</v>
      </c>
      <c r="P99" s="77" t="s">
        <v>709</v>
      </c>
      <c r="Q99" s="77" t="s">
        <v>280</v>
      </c>
    </row>
    <row r="100" spans="11:17" x14ac:dyDescent="0.2">
      <c r="K100" s="28" t="s">
        <v>333</v>
      </c>
      <c r="L100" s="29"/>
      <c r="N100" s="75" t="s">
        <v>1092</v>
      </c>
      <c r="O100" s="75">
        <v>9875226</v>
      </c>
      <c r="P100" s="75" t="s">
        <v>1090</v>
      </c>
      <c r="Q100" s="75" t="s">
        <v>1091</v>
      </c>
    </row>
    <row r="101" spans="11:17" x14ac:dyDescent="0.2">
      <c r="K101" s="28" t="s">
        <v>449</v>
      </c>
      <c r="L101" s="29"/>
      <c r="N101" s="103"/>
      <c r="O101" s="104"/>
      <c r="P101" s="104"/>
      <c r="Q101" s="104"/>
    </row>
    <row r="102" spans="11:17" x14ac:dyDescent="0.2">
      <c r="K102" s="28" t="s">
        <v>450</v>
      </c>
      <c r="L102" s="29"/>
    </row>
    <row r="103" spans="11:17" x14ac:dyDescent="0.2">
      <c r="K103" s="28" t="s">
        <v>451</v>
      </c>
      <c r="L103" s="29"/>
    </row>
    <row r="104" spans="11:17" x14ac:dyDescent="0.2">
      <c r="K104" s="28" t="s">
        <v>452</v>
      </c>
      <c r="L104" s="29"/>
    </row>
    <row r="105" spans="11:17" x14ac:dyDescent="0.2">
      <c r="K105" s="28" t="s">
        <v>453</v>
      </c>
      <c r="L105" s="29"/>
    </row>
    <row r="106" spans="11:17" x14ac:dyDescent="0.2">
      <c r="K106" s="28" t="s">
        <v>454</v>
      </c>
      <c r="L106" s="29"/>
    </row>
    <row r="107" spans="11:17" x14ac:dyDescent="0.2">
      <c r="K107" s="28" t="s">
        <v>455</v>
      </c>
      <c r="L107" s="29"/>
    </row>
    <row r="108" spans="11:17" x14ac:dyDescent="0.2">
      <c r="K108" s="28" t="s">
        <v>456</v>
      </c>
      <c r="L108" s="29"/>
    </row>
    <row r="109" spans="11:17" x14ac:dyDescent="0.2">
      <c r="K109" s="28" t="s">
        <v>457</v>
      </c>
      <c r="L109" s="29"/>
    </row>
    <row r="110" spans="11:17" x14ac:dyDescent="0.2">
      <c r="K110" s="28" t="s">
        <v>458</v>
      </c>
      <c r="L110" s="29"/>
    </row>
    <row r="111" spans="11:17" x14ac:dyDescent="0.2">
      <c r="K111" s="28" t="s">
        <v>459</v>
      </c>
      <c r="L111" s="29"/>
    </row>
    <row r="112" spans="11:17" x14ac:dyDescent="0.2">
      <c r="K112" s="28" t="s">
        <v>460</v>
      </c>
      <c r="L112" s="29"/>
    </row>
    <row r="113" spans="11:12" x14ac:dyDescent="0.2">
      <c r="K113" s="28" t="s">
        <v>461</v>
      </c>
      <c r="L113" s="29"/>
    </row>
    <row r="114" spans="11:12" x14ac:dyDescent="0.2">
      <c r="K114" s="28" t="s">
        <v>462</v>
      </c>
      <c r="L114" s="29"/>
    </row>
    <row r="115" spans="11:12" x14ac:dyDescent="0.2">
      <c r="K115" s="28" t="s">
        <v>463</v>
      </c>
      <c r="L115" s="29"/>
    </row>
    <row r="116" spans="11:12" x14ac:dyDescent="0.2">
      <c r="K116" s="28" t="s">
        <v>464</v>
      </c>
      <c r="L116" s="29"/>
    </row>
    <row r="117" spans="11:12" x14ac:dyDescent="0.2">
      <c r="K117" s="28" t="s">
        <v>465</v>
      </c>
      <c r="L117" s="29"/>
    </row>
    <row r="118" spans="11:12" x14ac:dyDescent="0.2">
      <c r="K118" s="28" t="s">
        <v>466</v>
      </c>
      <c r="L118" s="29"/>
    </row>
    <row r="119" spans="11:12" x14ac:dyDescent="0.2">
      <c r="K119" s="28" t="s">
        <v>467</v>
      </c>
      <c r="L119" s="29"/>
    </row>
    <row r="120" spans="11:12" x14ac:dyDescent="0.2">
      <c r="K120" s="28" t="s">
        <v>468</v>
      </c>
      <c r="L120" s="29"/>
    </row>
    <row r="121" spans="11:12" x14ac:dyDescent="0.2">
      <c r="K121" s="28" t="s">
        <v>469</v>
      </c>
      <c r="L121" s="29"/>
    </row>
    <row r="122" spans="11:12" x14ac:dyDescent="0.2">
      <c r="K122" s="28" t="s">
        <v>470</v>
      </c>
      <c r="L122" s="29"/>
    </row>
    <row r="123" spans="11:12" x14ac:dyDescent="0.2">
      <c r="K123" s="28" t="s">
        <v>471</v>
      </c>
      <c r="L123" s="29"/>
    </row>
    <row r="124" spans="11:12" x14ac:dyDescent="0.2">
      <c r="K124" s="30" t="s">
        <v>53</v>
      </c>
      <c r="L124" s="29"/>
    </row>
    <row r="125" spans="11:12" x14ac:dyDescent="0.2">
      <c r="K125" s="31" t="s">
        <v>54</v>
      </c>
      <c r="L125" s="29"/>
    </row>
    <row r="126" spans="11:12" x14ac:dyDescent="0.2">
      <c r="K126" s="31" t="s">
        <v>55</v>
      </c>
      <c r="L126" s="29"/>
    </row>
    <row r="127" spans="11:12" x14ac:dyDescent="0.2">
      <c r="K127" s="31" t="s">
        <v>56</v>
      </c>
      <c r="L127" s="29"/>
    </row>
    <row r="128" spans="11:12" x14ac:dyDescent="0.2">
      <c r="K128" s="31" t="s">
        <v>57</v>
      </c>
      <c r="L128" s="29"/>
    </row>
    <row r="129" spans="11:12" x14ac:dyDescent="0.2">
      <c r="K129" s="31" t="s">
        <v>58</v>
      </c>
      <c r="L129" s="29"/>
    </row>
    <row r="130" spans="11:12" x14ac:dyDescent="0.2">
      <c r="K130" s="32" t="s">
        <v>59</v>
      </c>
      <c r="L130" s="29"/>
    </row>
    <row r="131" spans="11:12" x14ac:dyDescent="0.2">
      <c r="K131" s="30" t="s">
        <v>172</v>
      </c>
      <c r="L131" s="29"/>
    </row>
    <row r="132" spans="11:12" x14ac:dyDescent="0.2">
      <c r="K132" s="31" t="s">
        <v>173</v>
      </c>
      <c r="L132" s="29"/>
    </row>
    <row r="133" spans="11:12" x14ac:dyDescent="0.2">
      <c r="K133" s="31" t="s">
        <v>60</v>
      </c>
      <c r="L133" s="29"/>
    </row>
    <row r="134" spans="11:12" x14ac:dyDescent="0.2">
      <c r="K134" s="31" t="s">
        <v>61</v>
      </c>
      <c r="L134" s="29"/>
    </row>
    <row r="135" spans="11:12" x14ac:dyDescent="0.2">
      <c r="K135" s="31" t="s">
        <v>62</v>
      </c>
      <c r="L135" s="29"/>
    </row>
    <row r="136" spans="11:12" x14ac:dyDescent="0.2">
      <c r="K136" s="31" t="s">
        <v>63</v>
      </c>
      <c r="L136" s="29"/>
    </row>
    <row r="137" spans="11:12" x14ac:dyDescent="0.2">
      <c r="K137" s="32" t="s">
        <v>64</v>
      </c>
      <c r="L137" s="29"/>
    </row>
    <row r="138" spans="11:12" x14ac:dyDescent="0.2">
      <c r="K138" s="30" t="s">
        <v>174</v>
      </c>
      <c r="L138" s="29"/>
    </row>
    <row r="139" spans="11:12" x14ac:dyDescent="0.2">
      <c r="K139" s="31" t="s">
        <v>65</v>
      </c>
      <c r="L139" s="29"/>
    </row>
    <row r="140" spans="11:12" x14ac:dyDescent="0.2">
      <c r="K140" s="31" t="s">
        <v>66</v>
      </c>
      <c r="L140" s="29"/>
    </row>
    <row r="141" spans="11:12" x14ac:dyDescent="0.2">
      <c r="K141" s="31" t="s">
        <v>67</v>
      </c>
      <c r="L141" s="29"/>
    </row>
    <row r="142" spans="11:12" x14ac:dyDescent="0.2">
      <c r="K142" s="31" t="s">
        <v>68</v>
      </c>
      <c r="L142" s="29"/>
    </row>
    <row r="143" spans="11:12" x14ac:dyDescent="0.2">
      <c r="K143" s="31" t="s">
        <v>69</v>
      </c>
      <c r="L143" s="29"/>
    </row>
    <row r="144" spans="11:12" x14ac:dyDescent="0.2">
      <c r="K144" s="31" t="s">
        <v>175</v>
      </c>
      <c r="L144" s="29"/>
    </row>
    <row r="145" spans="11:12" x14ac:dyDescent="0.2">
      <c r="K145" s="31" t="s">
        <v>70</v>
      </c>
      <c r="L145" s="29"/>
    </row>
    <row r="146" spans="11:12" x14ac:dyDescent="0.2">
      <c r="K146" s="31" t="s">
        <v>71</v>
      </c>
      <c r="L146" s="29"/>
    </row>
    <row r="147" spans="11:12" x14ac:dyDescent="0.2">
      <c r="K147" s="32" t="s">
        <v>176</v>
      </c>
      <c r="L147" s="29"/>
    </row>
    <row r="148" spans="11:12" x14ac:dyDescent="0.2">
      <c r="K148" s="30" t="s">
        <v>72</v>
      </c>
      <c r="L148" s="29"/>
    </row>
    <row r="149" spans="11:12" x14ac:dyDescent="0.2">
      <c r="K149" s="31" t="s">
        <v>73</v>
      </c>
      <c r="L149" s="29"/>
    </row>
    <row r="150" spans="11:12" x14ac:dyDescent="0.2">
      <c r="K150" s="31" t="s">
        <v>74</v>
      </c>
      <c r="L150" s="29"/>
    </row>
    <row r="151" spans="11:12" x14ac:dyDescent="0.2">
      <c r="K151" s="31" t="s">
        <v>75</v>
      </c>
      <c r="L151" s="29"/>
    </row>
    <row r="152" spans="11:12" x14ac:dyDescent="0.2">
      <c r="K152" s="32" t="s">
        <v>76</v>
      </c>
      <c r="L152" s="29"/>
    </row>
    <row r="153" spans="11:12" x14ac:dyDescent="0.2">
      <c r="K153" s="30" t="s">
        <v>77</v>
      </c>
      <c r="L153" s="29"/>
    </row>
    <row r="154" spans="11:12" x14ac:dyDescent="0.2">
      <c r="K154" s="31" t="s">
        <v>78</v>
      </c>
      <c r="L154" s="29"/>
    </row>
    <row r="155" spans="11:12" x14ac:dyDescent="0.2">
      <c r="K155" s="32" t="s">
        <v>79</v>
      </c>
      <c r="L155" s="29"/>
    </row>
    <row r="156" spans="11:12" x14ac:dyDescent="0.2">
      <c r="K156" s="33" t="s">
        <v>80</v>
      </c>
      <c r="L156" s="29"/>
    </row>
    <row r="157" spans="11:12" x14ac:dyDescent="0.2">
      <c r="K157" s="33" t="s">
        <v>81</v>
      </c>
      <c r="L157" s="29"/>
    </row>
    <row r="158" spans="11:12" x14ac:dyDescent="0.2">
      <c r="K158" s="33" t="s">
        <v>177</v>
      </c>
      <c r="L158" s="29"/>
    </row>
    <row r="159" spans="11:12" x14ac:dyDescent="0.2">
      <c r="K159" s="33" t="s">
        <v>82</v>
      </c>
      <c r="L159" s="29"/>
    </row>
    <row r="160" spans="11:12" x14ac:dyDescent="0.2">
      <c r="K160" s="33" t="s">
        <v>83</v>
      </c>
      <c r="L160" s="29"/>
    </row>
    <row r="161" spans="11:12" x14ac:dyDescent="0.2">
      <c r="K161" s="30" t="s">
        <v>84</v>
      </c>
      <c r="L161" s="29"/>
    </row>
    <row r="162" spans="11:12" x14ac:dyDescent="0.2">
      <c r="K162" s="31" t="s">
        <v>85</v>
      </c>
      <c r="L162" s="29"/>
    </row>
    <row r="163" spans="11:12" x14ac:dyDescent="0.2">
      <c r="K163" s="31" t="s">
        <v>86</v>
      </c>
      <c r="L163" s="29"/>
    </row>
    <row r="164" spans="11:12" x14ac:dyDescent="0.2">
      <c r="K164" s="31" t="s">
        <v>87</v>
      </c>
      <c r="L164" s="29"/>
    </row>
    <row r="165" spans="11:12" x14ac:dyDescent="0.2">
      <c r="K165" s="31" t="s">
        <v>88</v>
      </c>
      <c r="L165" s="29"/>
    </row>
    <row r="166" spans="11:12" x14ac:dyDescent="0.2">
      <c r="K166" s="31" t="s">
        <v>89</v>
      </c>
      <c r="L166" s="29"/>
    </row>
    <row r="167" spans="11:12" x14ac:dyDescent="0.2">
      <c r="K167" s="31" t="s">
        <v>90</v>
      </c>
      <c r="L167" s="29"/>
    </row>
    <row r="168" spans="11:12" x14ac:dyDescent="0.2">
      <c r="K168" s="31" t="s">
        <v>91</v>
      </c>
      <c r="L168" s="29"/>
    </row>
    <row r="169" spans="11:12" x14ac:dyDescent="0.2">
      <c r="K169" s="31" t="s">
        <v>92</v>
      </c>
      <c r="L169" s="29"/>
    </row>
    <row r="170" spans="11:12" x14ac:dyDescent="0.2">
      <c r="K170" s="31" t="s">
        <v>93</v>
      </c>
      <c r="L170" s="29"/>
    </row>
    <row r="171" spans="11:12" x14ac:dyDescent="0.2">
      <c r="K171" s="31" t="s">
        <v>94</v>
      </c>
      <c r="L171" s="29"/>
    </row>
    <row r="172" spans="11:12" x14ac:dyDescent="0.2">
      <c r="K172" s="31" t="s">
        <v>95</v>
      </c>
      <c r="L172" s="29"/>
    </row>
    <row r="173" spans="11:12" x14ac:dyDescent="0.2">
      <c r="K173" s="31" t="s">
        <v>96</v>
      </c>
      <c r="L173" s="29"/>
    </row>
    <row r="174" spans="11:12" x14ac:dyDescent="0.2">
      <c r="K174" s="31" t="s">
        <v>97</v>
      </c>
      <c r="L174" s="29"/>
    </row>
    <row r="175" spans="11:12" x14ac:dyDescent="0.2">
      <c r="K175" s="31" t="s">
        <v>98</v>
      </c>
      <c r="L175" s="29"/>
    </row>
    <row r="176" spans="11:12" x14ac:dyDescent="0.2">
      <c r="K176" s="31" t="s">
        <v>178</v>
      </c>
      <c r="L176" s="29"/>
    </row>
    <row r="177" spans="11:12" x14ac:dyDescent="0.2">
      <c r="K177" s="31" t="s">
        <v>99</v>
      </c>
      <c r="L177" s="29"/>
    </row>
    <row r="178" spans="11:12" x14ac:dyDescent="0.2">
      <c r="K178" s="32" t="s">
        <v>100</v>
      </c>
      <c r="L178" s="29"/>
    </row>
    <row r="179" spans="11:12" x14ac:dyDescent="0.2">
      <c r="K179" s="30" t="s">
        <v>101</v>
      </c>
      <c r="L179" s="29"/>
    </row>
    <row r="180" spans="11:12" x14ac:dyDescent="0.2">
      <c r="K180" s="31" t="s">
        <v>102</v>
      </c>
      <c r="L180" s="29"/>
    </row>
    <row r="181" spans="11:12" x14ac:dyDescent="0.2">
      <c r="K181" s="31" t="s">
        <v>103</v>
      </c>
      <c r="L181" s="29"/>
    </row>
    <row r="182" spans="11:12" x14ac:dyDescent="0.2">
      <c r="K182" s="31" t="s">
        <v>104</v>
      </c>
      <c r="L182" s="29"/>
    </row>
    <row r="183" spans="11:12" x14ac:dyDescent="0.2">
      <c r="K183" s="31" t="s">
        <v>105</v>
      </c>
      <c r="L183" s="29"/>
    </row>
    <row r="184" spans="11:12" x14ac:dyDescent="0.2">
      <c r="K184" s="31" t="s">
        <v>106</v>
      </c>
    </row>
    <row r="185" spans="11:12" x14ac:dyDescent="0.2">
      <c r="K185" s="31" t="s">
        <v>107</v>
      </c>
    </row>
    <row r="186" spans="11:12" x14ac:dyDescent="0.2">
      <c r="K186" s="31" t="s">
        <v>108</v>
      </c>
    </row>
    <row r="187" spans="11:12" x14ac:dyDescent="0.2">
      <c r="K187" s="31" t="s">
        <v>109</v>
      </c>
    </row>
    <row r="188" spans="11:12" x14ac:dyDescent="0.2">
      <c r="K188" s="31" t="s">
        <v>110</v>
      </c>
    </row>
    <row r="189" spans="11:12" x14ac:dyDescent="0.2">
      <c r="K189" s="31" t="s">
        <v>111</v>
      </c>
    </row>
    <row r="190" spans="11:12" x14ac:dyDescent="0.2">
      <c r="K190" s="31" t="s">
        <v>112</v>
      </c>
    </row>
    <row r="191" spans="11:12" x14ac:dyDescent="0.2">
      <c r="K191" s="31" t="s">
        <v>113</v>
      </c>
    </row>
    <row r="192" spans="11:12" x14ac:dyDescent="0.2">
      <c r="K192" s="31" t="s">
        <v>179</v>
      </c>
    </row>
    <row r="193" spans="11:11" x14ac:dyDescent="0.2">
      <c r="K193" s="32" t="s">
        <v>114</v>
      </c>
    </row>
    <row r="194" spans="11:11" x14ac:dyDescent="0.2">
      <c r="K194" s="30" t="s">
        <v>115</v>
      </c>
    </row>
    <row r="195" spans="11:11" x14ac:dyDescent="0.2">
      <c r="K195" s="31" t="s">
        <v>116</v>
      </c>
    </row>
    <row r="196" spans="11:11" x14ac:dyDescent="0.2">
      <c r="K196" s="31" t="s">
        <v>117</v>
      </c>
    </row>
    <row r="197" spans="11:11" x14ac:dyDescent="0.2">
      <c r="K197" s="31" t="s">
        <v>118</v>
      </c>
    </row>
    <row r="198" spans="11:11" x14ac:dyDescent="0.2">
      <c r="K198" s="31" t="s">
        <v>119</v>
      </c>
    </row>
    <row r="199" spans="11:11" x14ac:dyDescent="0.2">
      <c r="K199" s="31" t="s">
        <v>120</v>
      </c>
    </row>
    <row r="200" spans="11:11" x14ac:dyDescent="0.2">
      <c r="K200" s="32" t="s">
        <v>121</v>
      </c>
    </row>
    <row r="201" spans="11:11" x14ac:dyDescent="0.2">
      <c r="K201" s="30" t="s">
        <v>122</v>
      </c>
    </row>
    <row r="202" spans="11:11" x14ac:dyDescent="0.2">
      <c r="K202" s="31" t="s">
        <v>123</v>
      </c>
    </row>
    <row r="203" spans="11:11" x14ac:dyDescent="0.2">
      <c r="K203" s="31" t="s">
        <v>124</v>
      </c>
    </row>
    <row r="204" spans="11:11" x14ac:dyDescent="0.2">
      <c r="K204" s="31" t="s">
        <v>125</v>
      </c>
    </row>
    <row r="205" spans="11:11" x14ac:dyDescent="0.2">
      <c r="K205" s="31" t="s">
        <v>180</v>
      </c>
    </row>
    <row r="206" spans="11:11" x14ac:dyDescent="0.2">
      <c r="K206" s="31" t="s">
        <v>126</v>
      </c>
    </row>
    <row r="207" spans="11:11" x14ac:dyDescent="0.2">
      <c r="K207" s="31" t="s">
        <v>181</v>
      </c>
    </row>
    <row r="208" spans="11:11" x14ac:dyDescent="0.2">
      <c r="K208" s="31" t="s">
        <v>182</v>
      </c>
    </row>
    <row r="209" spans="11:11" x14ac:dyDescent="0.2">
      <c r="K209" s="31" t="s">
        <v>183</v>
      </c>
    </row>
    <row r="210" spans="11:11" x14ac:dyDescent="0.2">
      <c r="K210" s="31" t="s">
        <v>127</v>
      </c>
    </row>
    <row r="211" spans="11:11" x14ac:dyDescent="0.2">
      <c r="K211" s="31" t="s">
        <v>184</v>
      </c>
    </row>
    <row r="212" spans="11:11" x14ac:dyDescent="0.2">
      <c r="K212" s="31" t="s">
        <v>128</v>
      </c>
    </row>
    <row r="213" spans="11:11" x14ac:dyDescent="0.2">
      <c r="K213" s="31" t="s">
        <v>185</v>
      </c>
    </row>
    <row r="214" spans="11:11" x14ac:dyDescent="0.2">
      <c r="K214" s="31" t="s">
        <v>129</v>
      </c>
    </row>
    <row r="215" spans="11:11" x14ac:dyDescent="0.2">
      <c r="K215" s="31" t="s">
        <v>130</v>
      </c>
    </row>
    <row r="216" spans="11:11" x14ac:dyDescent="0.2">
      <c r="K216" s="31" t="s">
        <v>131</v>
      </c>
    </row>
    <row r="217" spans="11:11" x14ac:dyDescent="0.2">
      <c r="K217" s="31" t="s">
        <v>132</v>
      </c>
    </row>
    <row r="218" spans="11:11" x14ac:dyDescent="0.2">
      <c r="K218" s="31" t="s">
        <v>186</v>
      </c>
    </row>
    <row r="219" spans="11:11" x14ac:dyDescent="0.2">
      <c r="K219" s="31" t="s">
        <v>187</v>
      </c>
    </row>
    <row r="220" spans="11:11" x14ac:dyDescent="0.2">
      <c r="K220" s="31" t="s">
        <v>133</v>
      </c>
    </row>
    <row r="221" spans="11:11" x14ac:dyDescent="0.2">
      <c r="K221" s="32" t="s">
        <v>188</v>
      </c>
    </row>
    <row r="222" spans="11:11" x14ac:dyDescent="0.2">
      <c r="K222" s="30" t="s">
        <v>134</v>
      </c>
    </row>
    <row r="223" spans="11:11" x14ac:dyDescent="0.2">
      <c r="K223" s="31" t="s">
        <v>135</v>
      </c>
    </row>
    <row r="224" spans="11:11" x14ac:dyDescent="0.2">
      <c r="K224" s="31" t="s">
        <v>136</v>
      </c>
    </row>
    <row r="225" spans="11:11" x14ac:dyDescent="0.2">
      <c r="K225" s="31" t="s">
        <v>137</v>
      </c>
    </row>
    <row r="226" spans="11:11" x14ac:dyDescent="0.2">
      <c r="K226" s="31" t="s">
        <v>138</v>
      </c>
    </row>
    <row r="227" spans="11:11" x14ac:dyDescent="0.2">
      <c r="K227" s="31" t="s">
        <v>139</v>
      </c>
    </row>
    <row r="228" spans="11:11" x14ac:dyDescent="0.2">
      <c r="K228" s="31" t="s">
        <v>140</v>
      </c>
    </row>
    <row r="229" spans="11:11" x14ac:dyDescent="0.2">
      <c r="K229" s="32" t="s">
        <v>141</v>
      </c>
    </row>
    <row r="230" spans="11:11" x14ac:dyDescent="0.2">
      <c r="K230" s="33" t="s">
        <v>142</v>
      </c>
    </row>
    <row r="231" spans="11:11" x14ac:dyDescent="0.2">
      <c r="K231" s="33" t="s">
        <v>143</v>
      </c>
    </row>
    <row r="232" spans="11:11" x14ac:dyDescent="0.2">
      <c r="K232" s="30" t="s">
        <v>144</v>
      </c>
    </row>
    <row r="233" spans="11:11" x14ac:dyDescent="0.2">
      <c r="K233" s="31" t="s">
        <v>145</v>
      </c>
    </row>
    <row r="234" spans="11:11" x14ac:dyDescent="0.2">
      <c r="K234" s="31" t="s">
        <v>146</v>
      </c>
    </row>
    <row r="235" spans="11:11" x14ac:dyDescent="0.2">
      <c r="K235" s="31" t="s">
        <v>147</v>
      </c>
    </row>
    <row r="236" spans="11:11" x14ac:dyDescent="0.2">
      <c r="K236" s="31" t="s">
        <v>148</v>
      </c>
    </row>
    <row r="237" spans="11:11" x14ac:dyDescent="0.2">
      <c r="K237" s="31" t="s">
        <v>189</v>
      </c>
    </row>
    <row r="238" spans="11:11" x14ac:dyDescent="0.2">
      <c r="K238" s="31" t="s">
        <v>149</v>
      </c>
    </row>
    <row r="239" spans="11:11" x14ac:dyDescent="0.2">
      <c r="K239" s="32" t="s">
        <v>150</v>
      </c>
    </row>
    <row r="240" spans="11:11" x14ac:dyDescent="0.2">
      <c r="K240" s="30" t="s">
        <v>151</v>
      </c>
    </row>
    <row r="241" spans="11:11" x14ac:dyDescent="0.2">
      <c r="K241" s="31" t="s">
        <v>152</v>
      </c>
    </row>
    <row r="242" spans="11:11" x14ac:dyDescent="0.2">
      <c r="K242" s="31" t="s">
        <v>153</v>
      </c>
    </row>
    <row r="243" spans="11:11" x14ac:dyDescent="0.2">
      <c r="K243" s="31" t="s">
        <v>154</v>
      </c>
    </row>
    <row r="244" spans="11:11" x14ac:dyDescent="0.2">
      <c r="K244" s="31" t="s">
        <v>155</v>
      </c>
    </row>
    <row r="245" spans="11:11" x14ac:dyDescent="0.2">
      <c r="K245" s="31" t="s">
        <v>156</v>
      </c>
    </row>
    <row r="246" spans="11:11" x14ac:dyDescent="0.2">
      <c r="K246" s="31" t="s">
        <v>328</v>
      </c>
    </row>
    <row r="247" spans="11:11" x14ac:dyDescent="0.2">
      <c r="K247" s="31" t="s">
        <v>329</v>
      </c>
    </row>
    <row r="248" spans="11:11" x14ac:dyDescent="0.2">
      <c r="K248" s="31" t="s">
        <v>330</v>
      </c>
    </row>
    <row r="249" spans="11:11" x14ac:dyDescent="0.2">
      <c r="K249" s="31" t="s">
        <v>331</v>
      </c>
    </row>
    <row r="250" spans="11:11" x14ac:dyDescent="0.2">
      <c r="K250" s="32" t="s">
        <v>332</v>
      </c>
    </row>
    <row r="251" spans="11:11" x14ac:dyDescent="0.2">
      <c r="K251" s="30" t="s">
        <v>157</v>
      </c>
    </row>
    <row r="252" spans="11:11" x14ac:dyDescent="0.2">
      <c r="K252" s="31" t="s">
        <v>158</v>
      </c>
    </row>
    <row r="253" spans="11:11" x14ac:dyDescent="0.2">
      <c r="K253" s="31" t="s">
        <v>159</v>
      </c>
    </row>
    <row r="254" spans="11:11" x14ac:dyDescent="0.2">
      <c r="K254" s="31" t="s">
        <v>160</v>
      </c>
    </row>
    <row r="255" spans="11:11" x14ac:dyDescent="0.2">
      <c r="K255" s="31" t="s">
        <v>161</v>
      </c>
    </row>
    <row r="256" spans="11:11" x14ac:dyDescent="0.2">
      <c r="K256" s="32" t="s">
        <v>162</v>
      </c>
    </row>
    <row r="257" spans="11:11" x14ac:dyDescent="0.2">
      <c r="K257" s="30" t="s">
        <v>190</v>
      </c>
    </row>
    <row r="258" spans="11:11" x14ac:dyDescent="0.2">
      <c r="K258" s="31" t="s">
        <v>163</v>
      </c>
    </row>
    <row r="259" spans="11:11" x14ac:dyDescent="0.2">
      <c r="K259" s="31" t="s">
        <v>164</v>
      </c>
    </row>
    <row r="260" spans="11:11" x14ac:dyDescent="0.2">
      <c r="K260" s="32" t="s">
        <v>165</v>
      </c>
    </row>
    <row r="261" spans="11:11" x14ac:dyDescent="0.2">
      <c r="K261" s="30" t="s">
        <v>191</v>
      </c>
    </row>
    <row r="262" spans="11:11" x14ac:dyDescent="0.2">
      <c r="K262" s="32" t="s">
        <v>166</v>
      </c>
    </row>
    <row r="263" spans="11:11" x14ac:dyDescent="0.2">
      <c r="K263" s="68" t="s">
        <v>967</v>
      </c>
    </row>
    <row r="264" spans="11:11" x14ac:dyDescent="0.2">
      <c r="K264" s="34" t="s">
        <v>472</v>
      </c>
    </row>
    <row r="265" spans="11:11" x14ac:dyDescent="0.2">
      <c r="K265" s="34" t="s">
        <v>473</v>
      </c>
    </row>
    <row r="266" spans="11:11" x14ac:dyDescent="0.2">
      <c r="K266" s="34" t="s">
        <v>474</v>
      </c>
    </row>
    <row r="267" spans="11:11" x14ac:dyDescent="0.2">
      <c r="K267" s="34" t="s">
        <v>475</v>
      </c>
    </row>
    <row r="268" spans="11:11" x14ac:dyDescent="0.2">
      <c r="K268" s="30" t="s">
        <v>476</v>
      </c>
    </row>
    <row r="269" spans="11:11" x14ac:dyDescent="0.2">
      <c r="K269" s="34" t="s">
        <v>477</v>
      </c>
    </row>
    <row r="270" spans="11:11" x14ac:dyDescent="0.2">
      <c r="K270" s="34" t="s">
        <v>478</v>
      </c>
    </row>
    <row r="271" spans="11:11" x14ac:dyDescent="0.2">
      <c r="K271" s="34" t="s">
        <v>479</v>
      </c>
    </row>
    <row r="272" spans="11:11" x14ac:dyDescent="0.2">
      <c r="K272" s="34" t="s">
        <v>480</v>
      </c>
    </row>
  </sheetData>
  <sortState xmlns:xlrd2="http://schemas.microsoft.com/office/spreadsheetml/2017/richdata2" ref="AQ2:AS41">
    <sortCondition ref="AQ2:AQ41"/>
  </sortState>
  <phoneticPr fontId="3"/>
  <conditionalFormatting sqref="N54:Q99">
    <cfRule type="duplicateValues" dxfId="8" priority="2"/>
  </conditionalFormatting>
  <conditionalFormatting sqref="O100">
    <cfRule type="duplicateValues" dxfId="7" priority="1"/>
  </conditionalFormatting>
  <conditionalFormatting sqref="N6:N53">
    <cfRule type="duplicateValues" dxfId="6" priority="24"/>
  </conditionalFormatting>
  <hyperlinks>
    <hyperlink ref="BA2" r:id="rId1" xr:uid="{00000000-0004-0000-0400-000000000000}"/>
    <hyperlink ref="BA3" r:id="rId2" xr:uid="{4CFFECBA-F5AB-4A6F-90F9-C3F14ECAF091}"/>
  </hyperlinks>
  <pageMargins left="0.75" right="0.75" top="1" bottom="1" header="0.51200000000000001" footer="0.51200000000000001"/>
  <pageSetup paperSize="9" orientation="portrait" r:id="rId3"/>
  <headerFooter alignWithMargins="0"/>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4"/>
  <sheetViews>
    <sheetView workbookViewId="0">
      <selection activeCell="C20" sqref="C20"/>
    </sheetView>
  </sheetViews>
  <sheetFormatPr defaultColWidth="9" defaultRowHeight="12.75" x14ac:dyDescent="0.2"/>
  <cols>
    <col min="1" max="1" width="5.5" style="75" customWidth="1"/>
    <col min="2" max="2" width="6.25" style="75" bestFit="1" customWidth="1"/>
    <col min="3" max="3" width="89.125" style="75" bestFit="1" customWidth="1"/>
    <col min="4" max="16384" width="9" style="75"/>
  </cols>
  <sheetData>
    <row r="1" spans="2:3" x14ac:dyDescent="0.2">
      <c r="B1" s="75" t="s">
        <v>510</v>
      </c>
      <c r="C1" s="75" t="s">
        <v>511</v>
      </c>
    </row>
    <row r="2" spans="2:3" x14ac:dyDescent="0.2">
      <c r="C2" s="75" t="s">
        <v>567</v>
      </c>
    </row>
    <row r="3" spans="2:3" x14ac:dyDescent="0.2">
      <c r="C3" s="75" t="s">
        <v>569</v>
      </c>
    </row>
    <row r="4" spans="2:3" x14ac:dyDescent="0.2">
      <c r="B4" s="75" t="s">
        <v>1067</v>
      </c>
      <c r="C4" s="75" t="s">
        <v>1068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B5ADEF623609343A95B77611D72174E" ma:contentTypeVersion="13" ma:contentTypeDescription="Create a new document." ma:contentTypeScope="" ma:versionID="d026dd3cb2a6f0e524b72c05948a4d1b">
  <xsd:schema xmlns:xsd="http://www.w3.org/2001/XMLSchema" xmlns:xs="http://www.w3.org/2001/XMLSchema" xmlns:p="http://schemas.microsoft.com/office/2006/metadata/properties" xmlns:ns2="ca9ae2f1-2f71-4efd-9b89-8a5ee18bab67" xmlns:ns3="88ba725a-4900-4775-9b4b-a37cb0540096" targetNamespace="http://schemas.microsoft.com/office/2006/metadata/properties" ma:root="true" ma:fieldsID="fa3d3ec87b1aef1fc33323c15f2feb19" ns2:_="" ns3:_="">
    <xsd:import namespace="ca9ae2f1-2f71-4efd-9b89-8a5ee18bab67"/>
    <xsd:import namespace="88ba725a-4900-4775-9b4b-a37cb05400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9ae2f1-2f71-4efd-9b89-8a5ee18bab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ba725a-4900-4775-9b4b-a37cb05400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1CC0C689-C85F-4CA1-B001-5F6BFCAAB9D7}">
  <ds:schemaRefs>
    <ds:schemaRef ds:uri="http://schemas.microsoft.com/sharepoint/v3/contenttype/forms"/>
  </ds:schemaRefs>
</ds:datastoreItem>
</file>

<file path=customXml/itemProps2.xml><?xml version="1.0" encoding="utf-8"?>
<ds:datastoreItem xmlns:ds="http://schemas.openxmlformats.org/officeDocument/2006/customXml" ds:itemID="{506C6ECC-533E-483B-9D92-B14E59FC4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9ae2f1-2f71-4efd-9b89-8a5ee18bab67"/>
    <ds:schemaRef ds:uri="88ba725a-4900-4775-9b4b-a37cb05400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29CE3DD-6303-4AE8-981C-2E5FE0B1B5FE}">
  <ds:schemaRefs>
    <ds:schemaRef ds:uri="http://schemas.openxmlformats.org/package/2006/metadata/core-properties"/>
    <ds:schemaRef ds:uri="http://schemas.microsoft.com/office/2006/metadata/properties"/>
    <ds:schemaRef ds:uri="http://schemas.microsoft.com/office/2006/documentManagement/types"/>
    <ds:schemaRef ds:uri="http://schemas.microsoft.com/office/infopath/2007/PartnerControls"/>
    <ds:schemaRef ds:uri="ca9ae2f1-2f71-4efd-9b89-8a5ee18bab67"/>
    <ds:schemaRef ds:uri="http://purl.org/dc/terms/"/>
    <ds:schemaRef ds:uri="http://purl.org/dc/elements/1.1/"/>
    <ds:schemaRef ds:uri="http://www.w3.org/XML/1998/namespace"/>
    <ds:schemaRef ds:uri="88ba725a-4900-4775-9b4b-a37cb0540096"/>
    <ds:schemaRef ds:uri="http://purl.org/dc/dcmitype/"/>
  </ds:schemaRefs>
</ds:datastoreItem>
</file>

<file path=customXml/itemProps4.xml><?xml version="1.0" encoding="utf-8"?>
<ds:datastoreItem xmlns:ds="http://schemas.openxmlformats.org/officeDocument/2006/customXml" ds:itemID="{C2157E39-E796-4D19-A734-BD0A23FF56A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DRSEND</vt:lpstr>
      <vt:lpstr>Instructions</vt:lpstr>
      <vt:lpstr>csv</vt:lpstr>
      <vt:lpstr>Severity Matrix</vt:lpstr>
      <vt:lpstr>ListInfo</vt:lpstr>
      <vt:lpstr>Changelog</vt:lpstr>
      <vt:lpstr>ACC</vt:lpstr>
      <vt:lpstr>AEQ</vt:lpstr>
      <vt:lpstr>ahoge</vt:lpstr>
      <vt:lpstr>amoge</vt:lpstr>
      <vt:lpstr>batPath</vt:lpstr>
      <vt:lpstr>bhoge</vt:lpstr>
      <vt:lpstr>BLR</vt:lpstr>
      <vt:lpstr>bmoge</vt:lpstr>
      <vt:lpstr>choge</vt:lpstr>
      <vt:lpstr>CLS</vt:lpstr>
      <vt:lpstr>cmoge</vt:lpstr>
      <vt:lpstr>copyline</vt:lpstr>
      <vt:lpstr>CRG</vt:lpstr>
      <vt:lpstr>CRT</vt:lpstr>
      <vt:lpstr>csvSavePath</vt:lpstr>
      <vt:lpstr>DCK</vt:lpstr>
      <vt:lpstr>DCR</vt:lpstr>
      <vt:lpstr>Deatail4</vt:lpstr>
      <vt:lpstr>DefCode1</vt:lpstr>
      <vt:lpstr>DefCode2</vt:lpstr>
      <vt:lpstr>DefCode3</vt:lpstr>
      <vt:lpstr>DefCode4</vt:lpstr>
      <vt:lpstr>DefCode5</vt:lpstr>
      <vt:lpstr>DefCode6</vt:lpstr>
      <vt:lpstr>DefCode7</vt:lpstr>
      <vt:lpstr>Detail1</vt:lpstr>
      <vt:lpstr>Detail2</vt:lpstr>
      <vt:lpstr>Detail3</vt:lpstr>
      <vt:lpstr>Detail4</vt:lpstr>
      <vt:lpstr>Detail5</vt:lpstr>
      <vt:lpstr>Detail6</vt:lpstr>
      <vt:lpstr>Detail7</vt:lpstr>
      <vt:lpstr>dhoge</vt:lpstr>
      <vt:lpstr>dmoge</vt:lpstr>
      <vt:lpstr>DSH</vt:lpstr>
      <vt:lpstr>ehoge</vt:lpstr>
      <vt:lpstr>ELC</vt:lpstr>
      <vt:lpstr>emoge</vt:lpstr>
      <vt:lpstr>ext</vt:lpstr>
      <vt:lpstr>FFA</vt:lpstr>
      <vt:lpstr>fhoge</vt:lpstr>
      <vt:lpstr>FitUnfit</vt:lpstr>
      <vt:lpstr>fmoge</vt:lpstr>
      <vt:lpstr>fullDefCode</vt:lpstr>
      <vt:lpstr>fullList</vt:lpstr>
      <vt:lpstr>GEN</vt:lpstr>
      <vt:lpstr>ghoge</vt:lpstr>
      <vt:lpstr>gmoge</vt:lpstr>
      <vt:lpstr>HAC</vt:lpstr>
      <vt:lpstr>IGS</vt:lpstr>
      <vt:lpstr>ILL</vt:lpstr>
      <vt:lpstr>INJ</vt:lpstr>
      <vt:lpstr>Inspector1</vt:lpstr>
      <vt:lpstr>Inspector2</vt:lpstr>
      <vt:lpstr>Inspector3</vt:lpstr>
      <vt:lpstr>Inspector4</vt:lpstr>
      <vt:lpstr>Inspector5</vt:lpstr>
      <vt:lpstr>Inspector6</vt:lpstr>
      <vt:lpstr>Inspector7</vt:lpstr>
      <vt:lpstr>LLE</vt:lpstr>
      <vt:lpstr>LSA</vt:lpstr>
      <vt:lpstr>MacBrk</vt:lpstr>
      <vt:lpstr>MajMin</vt:lpstr>
      <vt:lpstr>MEN</vt:lpstr>
      <vt:lpstr>MMS</vt:lpstr>
      <vt:lpstr>MPR</vt:lpstr>
      <vt:lpstr>NEQ</vt:lpstr>
      <vt:lpstr>NIL</vt:lpstr>
      <vt:lpstr>ODD</vt:lpstr>
      <vt:lpstr>orgcode</vt:lpstr>
      <vt:lpstr>OTR</vt:lpstr>
      <vt:lpstr>PAE</vt:lpstr>
      <vt:lpstr>pasteline</vt:lpstr>
      <vt:lpstr>PAV</vt:lpstr>
      <vt:lpstr>DRSEND!Print_Area</vt:lpstr>
      <vt:lpstr>PSC</vt:lpstr>
      <vt:lpstr>Reason</vt:lpstr>
      <vt:lpstr>RepBy</vt:lpstr>
      <vt:lpstr>severity</vt:lpstr>
      <vt:lpstr>SHF</vt:lpstr>
      <vt:lpstr>shipname</vt:lpstr>
      <vt:lpstr>Status</vt:lpstr>
      <vt:lpstr>STR</vt:lpstr>
      <vt:lpstr>threelettershipcode</vt:lpstr>
      <vt:lpstr>vesseldata</vt:lpstr>
      <vt:lpstr>VET</vt:lpstr>
      <vt:lpstr>vettingeq</vt:lpstr>
      <vt:lpstr>WAR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mmsadmin</cp:lastModifiedBy>
  <cp:lastPrinted>2020-04-22T13:54:49Z</cp:lastPrinted>
  <dcterms:created xsi:type="dcterms:W3CDTF">1997-01-08T22:48:59Z</dcterms:created>
  <dcterms:modified xsi:type="dcterms:W3CDTF">2022-05-31T08:01:03Z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0x010100EB5ADEF623609343A95B77611D72174E</vt:lpwstr>
  </property>
</Properties>
</file>